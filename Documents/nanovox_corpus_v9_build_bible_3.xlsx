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 Model" sheetId="2" state="visible" r:id="rId4"/>
    <sheet name="Call Tag Schema" sheetId="3" state="visible" r:id="rId5"/>
    <sheet name="Outcomes" sheetId="4" state="visible" r:id="rId6"/>
    <sheet name="Escalation Logic" sheetId="5" state="visible" r:id="rId7"/>
    <sheet name="Call Quality Framework" sheetId="6" state="visible" r:id="rId8"/>
    <sheet name="Signal Taxonomy" sheetId="7" state="visible" r:id="rId9"/>
    <sheet name="Touchpoints" sheetId="8" state="visible" r:id="rId10"/>
    <sheet name="Metrics" sheetId="9" state="visible" r:id="rId11"/>
    <sheet name="Intelligence Register" sheetId="10" state="visible" r:id="rId12"/>
    <sheet name="Questions Worth Asking" sheetId="11" state="visible" r:id="rId13"/>
    <sheet name="Rules — Program" sheetId="12" state="visible" r:id="rId14"/>
    <sheet name="Rules — Administration" sheetId="13" state="visible" r:id="rId15"/>
    <sheet name="Rules — Carrier" sheetId="14" state="visible" r:id="rId16"/>
    <sheet name="Corrections &amp; Sources" sheetId="15" state="visible" r:id="rId17"/>
    <sheet name="Weekly Volume" sheetId="16" state="visible" r:id="rId18"/>
    <sheet name="Employer Master" sheetId="17" state="visible" r:id="rId19"/>
    <sheet name="Member Master" sheetId="18" state="visible" r:id="rId20"/>
    <sheet name="Employer Contacts" sheetId="19" state="visible" r:id="rId21"/>
    <sheet name="Broker Master" sheetId="20" state="visible" r:id="rId22"/>
    <sheet name="Product &amp; Carrier" sheetId="21" state="visible" r:id="rId23"/>
    <sheet name="Agent Roster" sheetId="22" state="visible" r:id="rId24"/>
    <sheet name="Distribution Targets" sheetId="23" state="visible" r:id="rId25"/>
    <sheet name="Coverage Matrix" sheetId="24" state="visible" r:id="rId26"/>
    <sheet name="Root Cause" sheetId="25" state="visible" r:id="rId27"/>
    <sheet name="Account Risk Design" sheetId="26" state="visible" r:id="rId28"/>
    <sheet name="Transcript Tracker" sheetId="27" state="visible" r:id="rId29"/>
    <sheet name="Batch Coverage" sheetId="28" state="visible" r:id="rId3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<sst xmlns="http://schemas.openxmlformats.org/spreadsheetml/2006/main" count="18142" uniqueCount="5071">
  <si>
    <t xml:space="preserve">NanoVox — Corpus v9 Build Bible</t>
  </si>
  <si>
    <t xml:space="preserve">600 calls · 12 weeks · Mon 6 Jul – Fri 25 Sep 2026 · 95 employers sized to ChoiceBuilder's real 2–500 band · 122 verified rules</t>
  </si>
  <si>
    <t xml:space="preserve">What this is</t>
  </si>
  <si>
    <t xml:space="preserve">The single reference for building the NanoVox corpus and the intelligence layer on top of it. The analytical framework is unchanged from v8 — data model, tag schema, outcomes, escalation logic, quality framework, metrics, intelligence register and the three rule layers all carry over intact. What changed is the sample: 600 calls instead of 360, and a group-size distribution rebuilt to match the population ChoiceBuilder actually serves.</t>
  </si>
  <si>
    <t xml:space="preserve">Why 600 and not 360</t>
  </si>
  <si>
    <t xml:space="preserve">360 was sized against the v7 framework. v8 added five dimensions that each multiply the number of cells needing a denominator — touchpoint, escalation trigger_type, rule_id, control exception type and process_gap. Working backwards from the tightest of those, knowledge failure by rule_id needed about 620 calls to put the top rule above fifteen, control exceptions by type about 640, self-inflicted demand by component about 470, and the consecutive-window account risk test about 600. 600 clears all of them bar the last few escalation trigger types, which are reported as counts rather than rates by design.</t>
  </si>
  <si>
    <t xml:space="preserve">Why group size had to be rebuilt</t>
  </si>
  <si>
    <t xml:space="preserve">ChoiceBuilder serves groups of 2–500 eligible employees, and the published book is roughly 10,000 groups to 140,000 members — an average near 14. The v8 sample averaged 70 lives a group, which is not that population. Size is not cosmetic here: it decides which rules apply. Below 20 eligible a group is under Cal-COBRA and ChoiceBuilder sends the election notice; at 20 and above it is federal COBRA and the duty is solely the employer's. The administration fee steps at 8, 20 and 199. Voluntary dental minimums differ for 2–9 against 10–500 groups. Orthodontia availability is gated at 5, 10 and 25 eligible. A corpus without small groups cannot exercise any of it.</t>
  </si>
  <si>
    <t xml:space="preserve">The size distribution</t>
  </si>
  <si>
    <t xml:space="preserve">95 employers: 22 in the 2–8 band, 24 in 9–20, 38 in 21–199 and 11 at 200 and above. That puts 46 groups under the federal COBRA threshold and 49 at or above it, so both regimes are live. Because the corpus is call-weighted rather than group-weighted, larger groups are over-represented relative to the book — that is correct, since groups with more members generate more calls, but it is stated here so nobody reads the sample as the book.</t>
  </si>
  <si>
    <t xml:space="preserve">Participation is modelled, not assumed</t>
  </si>
  <si>
    <t xml:space="preserve">Enrolled lives are derived from eligible employees and a participation rate that depends on whether dental is employer-sponsored or voluntary, and the Employer Master flags every group at or below its applicable threshold. Several groups are deliberately placed below 70% on employer-sponsored dental, and several voluntary groups sit below the enrolled-headcount minimums, so the non-renewal scenarios in the register are real rather than illustrative.</t>
  </si>
  <si>
    <t xml:space="preserve">The one modelling rule</t>
  </si>
  <si>
    <t xml:space="preserve">A member belongs to an employer. An employer has exactly one broker of record. The member record never carries a broker field — attribution is inherited through the employer, so a broker of record change is corrected in one place and every historical call follows.</t>
  </si>
  <si>
    <t xml:space="preserve">Control totals</t>
  </si>
  <si>
    <t xml:space="preserve">Weekly Volume, Employer Master, Product &amp; Carrier, Agent Roster and Distribution Targets must each sum to 600. Member Master must sum to 390 member calls and Employer Contacts to 210. Each sheet carries its own check row. A variance means the design is internally inconsistent and transcript writing should stop.</t>
  </si>
  <si>
    <t xml:space="preserve">What 600 still will not support</t>
  </si>
  <si>
    <t xml:space="preserve">Per-broker complaint rates as precise multiples — a three-group broker carries ten attributed calls, which names a list credibly but does not support '8.5 times the median' as a spoken number. Weekly sub-category claims — fifty calls a week still makes last week's unresolved billing calls about seven. And escalation trigger types five through eight, which are named with explicit counts and never quoted as rates.</t>
  </si>
  <si>
    <t xml:space="preserve">Out of scope, deliberately</t>
  </si>
  <si>
    <t xml:space="preserve">No broker-initiated calls. No finance or commission queue. No email. The single-source question — that this platform infers everything from conversations and cannot see a silent account — is parked by decision, not by oversight.</t>
  </si>
  <si>
    <t xml:space="preserve">Still open</t>
  </si>
  <si>
    <t xml:space="preserve">Three items need CHOICE, on the Corrections &amp; Sources sheet: the life guaranteed issue amount, the carrier mix by member, and whether monthly full-roster reconciliation exists at all.</t>
  </si>
  <si>
    <t xml:space="preserve">CORPUS CALIBRATION AT 600</t>
  </si>
  <si>
    <t xml:space="preserve">Outcome mix: resolved 368, partially resolved 73, escalated 34, unresolved 125. Resolved lands at 61% against a 62% target — close to a real call-centre mix, by design of the final 150.</t>
  </si>
  <si>
    <t xml:space="preserve">Product mix runs slightly harder than real volume: program-level 83 against a target of 67 (early batches over-weighted group-level billing and enrolment calls), which leaves dental 263, vision 129 and chiro 52 a little under target.</t>
  </si>
  <si>
    <t xml:space="preserve">Root cause: 266 of 600 calls (44%) trace to a Choice-owned or Choice-system root cause.</t>
  </si>
  <si>
    <t xml:space="preserve">Treat the corpus as slightly harder than a real call centre on signal density; the outcome mix itself is realistic.</t>
  </si>
  <si>
    <t xml:space="preserve">Open items that need CHOICE before any real-data run: life guaranteed-issue amount; carrier mix by member; whether a monthly full-roster reconciliation exists.</t>
  </si>
  <si>
    <t xml:space="preserve">Data model</t>
  </si>
  <si>
    <t xml:space="preserve">Eight entities and the keys that join them. The important decision recorded here is that broker is a property of the employer and never of the member — a member inherits their broker through their group, so when a broker of record changes there is exactly one row to correct and every historical call re-attributes automatically. The second decision is that signals and rubric markers are separate entities rather than columns on the call, because one call can raise several of each and because a refused marker must remain visible for the score to be auditable. Read this before the Call Tag Schema; the schema describes what gets written, this describes where it lives.</t>
  </si>
  <si>
    <t xml:space="preserve">Entity</t>
  </si>
  <si>
    <t xml:space="preserve">Primary key</t>
  </si>
  <si>
    <t xml:space="preserve">Foreign keys</t>
  </si>
  <si>
    <t xml:space="preserve">Cardinality</t>
  </si>
  <si>
    <t xml:space="preserve">Fields held here</t>
  </si>
  <si>
    <t xml:space="preserve">Why it lives here</t>
  </si>
  <si>
    <t xml:space="preserve">Broker</t>
  </si>
  <si>
    <t xml:space="preserve">BRK-nn</t>
  </si>
  <si>
    <t xml:space="preserve">—</t>
  </si>
  <si>
    <t xml:space="preserve">1 broker → many employers</t>
  </si>
  <si>
    <t xml:space="preserve">Agency name, groups in book, lives in book, region, appointment date</t>
  </si>
  <si>
    <t xml:space="preserve">Book size must come from Choice's broker records, never from call counts. Deriving it from calls makes the rate self-referential.</t>
  </si>
  <si>
    <t xml:space="preserve">Employer</t>
  </si>
  <si>
    <t xml:space="preserve">EMP-nnnn</t>
  </si>
  <si>
    <t xml:space="preserve">BRK-nn (broker of record)</t>
  </si>
  <si>
    <t xml:space="preserve">1 employer → many members; 1 employer → 1–3 contacts</t>
  </si>
  <si>
    <t xml:space="preserve">Legal name, industry, SIC, enrolled lives, region, renewal month, lines held, effective date, premium</t>
  </si>
  <si>
    <t xml:space="preserve">The join point for everything. Industry, size and renewal month are never spoken on a call, so they must be reference data.</t>
  </si>
  <si>
    <t xml:space="preserve">Member</t>
  </si>
  <si>
    <t xml:space="preserve">CB-nnnnnnn</t>
  </si>
  <si>
    <t xml:space="preserve">1 member → many calls</t>
  </si>
  <si>
    <t xml:space="preserve">Name, DOB, lines enrolled, effective date, dependents, home zip</t>
  </si>
  <si>
    <t xml:space="preserve">Broker is deliberately absent. Inherit it through the employer so a broker of record change corrects in one place.</t>
  </si>
  <si>
    <t xml:space="preserve">Employer contact</t>
  </si>
  <si>
    <t xml:space="preserve">CON-nnn</t>
  </si>
  <si>
    <t xml:space="preserve">1 contact → many calls</t>
  </si>
  <si>
    <t xml:space="preserve">Name, role, authority level (can bind / cannot bind)</t>
  </si>
  <si>
    <t xml:space="preserve">Employer calls come from an HR or finance person, not from the group itself. Authority level decides what an agent may action.</t>
  </si>
  <si>
    <t xml:space="preserve">Agent</t>
  </si>
  <si>
    <t xml:space="preserve">AGT-nn</t>
  </si>
  <si>
    <t xml:space="preserve">1 agent → many calls</t>
  </si>
  <si>
    <t xml:space="preserve">Name, band, hire date, queue</t>
  </si>
  <si>
    <t xml:space="preserve">Score is a property of agent and call. It never rolls up to an account.</t>
  </si>
  <si>
    <t xml:space="preserve">Call</t>
  </si>
  <si>
    <t xml:space="preserve">C-nnnn</t>
  </si>
  <si>
    <t xml:space="preserve">CB / CON, EMP, BRK (derived), AGT</t>
  </si>
  <si>
    <t xml:space="preserve">1 call → many tags; 1 call → many signals</t>
  </si>
  <si>
    <t xml:space="preserve">Timestamp, duration, queue, outcome, category, product lines, quality score, transcript</t>
  </si>
  <si>
    <t xml:space="preserve">The fact table. Every metric in this workbook is an aggregation over this one entity.</t>
  </si>
  <si>
    <t xml:space="preserve">Signal</t>
  </si>
  <si>
    <t xml:space="preserve">SIG-nnnn</t>
  </si>
  <si>
    <t xml:space="preserve">many signals → 1 call</t>
  </si>
  <si>
    <t xml:space="preserve">Signal type, severity, owner, evidence turn reference</t>
  </si>
  <si>
    <t xml:space="preserve">Separate from the call so one call can raise several, and so signal density counts distinct types rather than occurrences.</t>
  </si>
  <si>
    <t xml:space="preserve">Rubric marker</t>
  </si>
  <si>
    <t xml:space="preserve">MRK-nnnnn</t>
  </si>
  <si>
    <t xml:space="preserve">many markers → 1 call</t>
  </si>
  <si>
    <t xml:space="preserve">Dimension, polarity, magnitude, quoted evidence, verification status</t>
  </si>
  <si>
    <t xml:space="preserve">Kept at marker level so a refused marker is visible. A score with no marker trail is not auditable.</t>
  </si>
  <si>
    <t xml:space="preserve">Join path for broker attribution</t>
  </si>
  <si>
    <t xml:space="preserve">Call → Member → Employer → Broker.  For employer calls: Call → Contact → Employer → Broker.  A broker is only counted in a metric when named aloud in the transcript; the inherited link supplies identity, the transcript supplies the evidence. Where the broker named aloud does not match the employer's broker of record, that mismatch is itself a finding — either the member is confused or the record is stale.</t>
  </si>
  <si>
    <t xml:space="preserve">Call tag schema — 20 fields</t>
  </si>
  <si>
    <t xml:space="preserve">Sixteen fields the pipeline must emit for every call. This is the contract between the analysis pipeline and everything downstream: every metric, every signal and every intelligence claim in this workbook is an aggregation over these sixteen fields and nothing else. If a new insight needs data that is not here, the schema changes first and the insight second. Two fields are new in v8 — process_gap, which captures an improvement proposal raised inside a call and gives it a lifecycle so it cannot die as a note, and touchpoint, which records where in the member journey the failure actually originated rather than where it surfaced.</t>
  </si>
  <si>
    <t xml:space="preserve">#</t>
  </si>
  <si>
    <t xml:space="preserve">Tag</t>
  </si>
  <si>
    <t xml:space="preserve">Type</t>
  </si>
  <si>
    <t xml:space="preserve">Allowed values</t>
  </si>
  <si>
    <t xml:space="preserve">Emitted by</t>
  </si>
  <si>
    <t xml:space="preserve">Notes for development</t>
  </si>
  <si>
    <t xml:space="preserve">outcome</t>
  </si>
  <si>
    <t xml:space="preserve">enum</t>
  </si>
  <si>
    <t xml:space="preserve">RESOLVED · PARTIALLY_RESOLVED · ESCALATED · UNRESOLVED</t>
  </si>
  <si>
    <t xml:space="preserve">L2</t>
  </si>
  <si>
    <t xml:space="preserve">Single-valued. Drives FCR, repeat and escalation metrics.</t>
  </si>
  <si>
    <t xml:space="preserve">category</t>
  </si>
  <si>
    <t xml:space="preserve">Coverage &amp; Benefits · Claims &amp; EOB · Provider Network · Billing &amp; Premium · Enrollment &amp; ID Cards · Life &amp; Beneficiary · Broker Conduct</t>
  </si>
  <si>
    <t xml:space="preserve">Single-valued. Pharmacy removed — ChoiceBuilder has no pharmacy line. Life &amp; Beneficiary added.</t>
  </si>
  <si>
    <t xml:space="preserve">product_lines</t>
  </si>
  <si>
    <t xml:space="preserve">array</t>
  </si>
  <si>
    <t xml:space="preserve">dental · vision · life · chiro · program</t>
  </si>
  <si>
    <t xml:space="preserve">Multi-valued. Shares exceed 100%; contact rate uses a single primary line to avoid double counting.</t>
  </si>
  <si>
    <t xml:space="preserve">complaint</t>
  </si>
  <si>
    <t xml:space="preserve">object</t>
  </si>
  <si>
    <t xml:space="preserve">{present: bool, attributed_to: CHOICE | BROKER | CARRIER | PROVIDER}</t>
  </si>
  <si>
    <t xml:space="preserve">Attribution is mandatory when present. An unattributed complaint total overstates CHOICE's own failure rate.</t>
  </si>
  <si>
    <t xml:space="preserve">signals</t>
  </si>
  <si>
    <t xml:space="preserve">see Signal Taxonomy sheet</t>
  </si>
  <si>
    <t xml:space="preserve">L4</t>
  </si>
  <si>
    <t xml:space="preserve">Zero or more. Distinct types, deduplicated per call.</t>
  </si>
  <si>
    <t xml:space="preserve">escalation</t>
  </si>
  <si>
    <t xml:space="preserve">{triggered: bool, trigger_type, requested_by_caller: bool, handled: bool}</t>
  </si>
  <si>
    <t xml:space="preserve">L2/L4</t>
  </si>
  <si>
    <t xml:space="preserve">triggered is the denominator for escalation integrity. Never use total calls.</t>
  </si>
  <si>
    <t xml:space="preserve">control_exceptions</t>
  </si>
  <si>
    <t xml:space="preserve">no_recording_disclosure · disclosure_before_verification · missing_benefit_disclosure</t>
  </si>
  <si>
    <t xml:space="preserve">L1/L3</t>
  </si>
  <si>
    <t xml:space="preserve">Deterministic checks on the opening turns. The strongest case for real-time assist — a greeting check needs no model.</t>
  </si>
  <si>
    <t xml:space="preserve">knowledge_failure</t>
  </si>
  <si>
    <t xml:space="preserve">{present: bool, rule_id, correct_statement}</t>
  </si>
  <si>
    <t xml:space="preserve">L3</t>
  </si>
  <si>
    <t xml:space="preserve">Must cite a rule ID from the Product Rules sheet. Naming the rule points at one article; naming the agent fixes nothing.</t>
  </si>
  <si>
    <t xml:space="preserve">intent</t>
  </si>
  <si>
    <t xml:space="preserve">expansion · market_test · cancellation · none</t>
  </si>
  <si>
    <t xml:space="preserve">Verbatim statements only, with the turn reference. Inferred intent is an opinion and will be treated as one.</t>
  </si>
  <si>
    <t xml:space="preserve">quality_score</t>
  </si>
  <si>
    <t xml:space="preserve">integer</t>
  </si>
  <si>
    <t xml:space="preserve">0–100</t>
  </si>
  <si>
    <t xml:space="preserve">Property of the call and the agent. Never averaged to employer, product line or broker.</t>
  </si>
  <si>
    <t xml:space="preserve">markers</t>
  </si>
  <si>
    <t xml:space="preserve">{dimension, polarity, magnitude, quote, turn_ref, verified}</t>
  </si>
  <si>
    <t xml:space="preserve">Retained at marker level including refused markers, so the score is auditable and the tenet views derive from here.</t>
  </si>
  <si>
    <t xml:space="preserve">aht_seconds</t>
  </si>
  <si>
    <t xml:space="preserve">telephony</t>
  </si>
  <si>
    <t xml:space="preserve">Talk time only. Excludes hold and after-call work — every time-based metric is a floor.</t>
  </si>
  <si>
    <t xml:space="preserve">caller_ref</t>
  </si>
  <si>
    <t xml:space="preserve">string</t>
  </si>
  <si>
    <t xml:space="preserve">CB-nnnnnnn or CON-nnn</t>
  </si>
  <si>
    <t xml:space="preserve">L1</t>
  </si>
  <si>
    <t xml:space="preserve">Verified identity from the transcript. Employer and broker are joined, not tagged.</t>
  </si>
  <si>
    <t xml:space="preserve">broker_named_aloud</t>
  </si>
  <si>
    <t xml:space="preserve">{present: bool, broker_ref, sentiment: ADVERSE | POSITIVE}</t>
  </si>
  <si>
    <t xml:space="preserve">L1/L2</t>
  </si>
  <si>
    <t xml:space="preserve">Only true when the caller says the name. broker_ref is validated against the employer's broker of record; a mismatch is itself a finding. Where broker_ref does not match the employer's broker of record from the Employer Master, flag the mismatch rather than overwriting either.</t>
  </si>
  <si>
    <t xml:space="preserve">process_gap</t>
  </si>
  <si>
    <t xml:space="preserve">{present: bool, gap_type, touchpoint, proposed_change, raised_by: AGENT|CALLER, status: UNVALIDATED|VALIDATED|ACTIONED|REJECTED}</t>
  </si>
  <si>
    <t xml:space="preserve">NEW in v8. A structural improvement proposed or implied inside a call — 'the denial letter should say which waiting period and when it ends'. Distinct from process_breakdown, which means something failed; a gap means something is missing or unclear by design. The status field is the point: a tag without a lifecycle is a note nobody reads. Aggregate by touchpoint and proposed_change — seven calls proposing the same change to the same document is a prioritised backlog item with evidence and cost attached.</t>
  </si>
  <si>
    <t xml:space="preserve">touchpoint</t>
  </si>
  <si>
    <t xml:space="preserve">See Touchpoints sheet</t>
  </si>
  <si>
    <t xml:space="preserve">NEW in v8. Where the failure originated, not where it surfaced. A member confused about a waiting period surfaced on a call but originated at the enrolment meeting or in the denial letter. Knowledge failures and process gaps both roll up by touchpoint, which answers 'what does this organisation repeatedly fail to explain, and where' far better than rule ID alone.</t>
  </si>
  <si>
    <t xml:space="preserve">root_cause_owner</t>
  </si>
  <si>
    <t xml:space="preserve">CHOICE · BROKER · CARRIER · PROVIDER · EMPLOYER · SYSTEM · MEMBER_MISUNDERSTANDING</t>
  </si>
  <si>
    <t xml:space="preserve">NEW. Who could have prevented this call. Populated on EVERY call, not only where a complaint exists — that was the gap: a third of calls carried no owner at all. Derived from complaint attribution first, then the dominant signal's owner. This is what makes 'what share of our contact volume is preventable by Choice' answerable.</t>
  </si>
  <si>
    <t xml:space="preserve">preventable</t>
  </si>
  <si>
    <t xml:space="preserve">Yes · Partly · No</t>
  </si>
  <si>
    <t xml:space="preserve">NEW. Derived from root_cause_owner. CHOICE and SYSTEM are Yes; PROVIDER is No; the rest are Partly, with the lever named. Report the three buckets separately — a blended 'preventable' percentage invites an argument about the middle.</t>
  </si>
  <si>
    <t xml:space="preserve">primary_issue / secondary_issues</t>
  </si>
  <si>
    <t xml:space="preserve">{primary: string, secondary: [string]}</t>
  </si>
  <si>
    <t xml:space="preserve">NEW. Real calls carry more than one subject: a birth, a dependent enrolment, a missing card and a provider refusal in one conversation. Primary is what the call is fundamentally about; secondary are the others. Kept separate from the existing commercial intent field, which answers a different question and should not be conflated with call reason.</t>
  </si>
  <si>
    <t xml:space="preserve">impact_scope</t>
  </si>
  <si>
    <t xml:space="preserve">1 member · 1 group · N employees · N members + dependents</t>
  </si>
  <si>
    <t xml:space="preserve">NEW. How many people the caller says are affected. This is what turns an individual incident into a group-level one — 'eleven of my people cannot find a provider' is a different finding from one member who cannot.</t>
  </si>
  <si>
    <t xml:space="preserve">Call outcomes — definitions and worked examples</t>
  </si>
  <si>
    <t xml:space="preserve">Four outcome values, and the distinctions between them decide a large share of the platform's numbers — first-contact resolution, the failure-driven repeat rate, escalation integrity and self-inflicted demand all key off this single field. The test that separates them is not whether the caller was satisfied and not whether the agent performed well; it is whether an owned, committed action remains open at the moment the call disconnects, and who owns it. A call can be handled beautifully and still be UNRESOLVED. A caller can be perfectly content and the call still ESCALATED. Read the decision test in order — it resolves almost every edge case.</t>
  </si>
  <si>
    <t xml:space="preserve">Outcome</t>
  </si>
  <si>
    <t xml:space="preserve">Definition</t>
  </si>
  <si>
    <t xml:space="preserve">The test</t>
  </si>
  <si>
    <t xml:space="preserve">Worked example from the corpus</t>
  </si>
  <si>
    <t xml:space="preserve">What it is NOT</t>
  </si>
  <si>
    <t xml:space="preserve">Edge cases</t>
  </si>
  <si>
    <t xml:space="preserve">Effect on metrics</t>
  </si>
  <si>
    <t xml:space="preserve">RESOLVED</t>
  </si>
  <si>
    <t xml:space="preserve">The caller's issue was concluded during the call. Nothing further is required from the caller, the agent, Choice, a carrier or a broker.</t>
  </si>
  <si>
    <t xml:space="preserve">At disconnect, is there any open action owned by anyone? If no, RESOLVED.</t>
  </si>
  <si>
    <t xml:space="preserve">C-0001 — a member's crown claim was denied. The agent explained both waiting periods, confirmed the eligibility date, advised on sequencing the second crown, and sent a written summary. Nothing is outstanding.</t>
  </si>
  <si>
    <t xml:space="preserve">Not 'the caller was satisfied'. Not 'the agent gave correct information'. Correct information that leaves the caller unable to act is UNRESOLVED.</t>
  </si>
  <si>
    <t xml:space="preserve">An agent who delivers bad news correctly and completely, with nothing left open, is RESOLVED even if the caller is unhappy. A written summary sent during the call does not create an open action.</t>
  </si>
  <si>
    <t xml:space="preserve">The only value counted in the FCR numerator, and then only if no related contact follows within 14 days.</t>
  </si>
  <si>
    <t xml:space="preserve">PARTIALLY RESOLVED</t>
  </si>
  <si>
    <t xml:space="preserve">Part of the issue was concluded and part remains open, with a named action and an owner inside Choice or a carrier.</t>
  </si>
  <si>
    <t xml:space="preserve">Was at least one substantive question answered, AND does at least one committed action remain with a named owner and a timeframe? If both, PARTIALLY RESOLVED.</t>
  </si>
  <si>
    <t xml:space="preserve">C-0002 — an employer's chiropractic network gap. The agent confirmed the limitation, ruled out the two remedies the employer wanted, and committed to a network density report from Landmark within a week plus a written explanation for the affected employees that day.</t>
  </si>
  <si>
    <t xml:space="preserve">Not a soft version of UNRESOLVED. If nothing was answered and nothing was committed, it is UNRESOLVED.</t>
  </si>
  <si>
    <t xml:space="preserve">A dependency on a third party such as a carrier is PARTIALLY RESOLVED, not ESCALATED — escalation means ownership moved inside the organisation to someone with authority the agent lacks. A vague 'I'll look into it' with no owner, reference or date is UNRESOLVED.</t>
  </si>
  <si>
    <t xml:space="preserve">Sits in the FCR denominator, never the numerator. Counts toward open-action ageing.</t>
  </si>
  <si>
    <t xml:space="preserve">ESCALATED</t>
  </si>
  <si>
    <t xml:space="preserve">Ownership of the issue was transferred to a named party with authority the agent does not have, with a reference, and the work continues after the call ends.</t>
  </si>
  <si>
    <t xml:space="preserve">Is there a named owner outside the agent's authority, a reference number, and a committed timeframe? All three, or it is not escalated.</t>
  </si>
  <si>
    <t xml:space="preserve">C-0005 — an employer billed for fourteen leavers over six cycles after a broker told them email notification was sufficient. The agent raised a reconciliation, escalated the broker conduct to a named owner in Broker Relations the same day, and gave two references.</t>
  </si>
  <si>
    <t xml:space="preserve">NOT a live transfer to another agent. NOT a promise to 'pass it on'. NOT a note on the account. A transfer to a peer who could have handled it anyway is not escalation, it is routing.</t>
  </si>
  <si>
    <t xml:space="preserve">Escalation may be agent-initiated as well as caller-requested; both count. An escalation with no reference given to the caller is tagged ESCALATED but flagged, because the caller has no way to chase it. Escalating something inside the agent's own authority is over-escalation — see Escalation Logic.</t>
  </si>
  <si>
    <t xml:space="preserve">The numerator of escalation integrity. Sits in the FCR denominator, never the numerator.</t>
  </si>
  <si>
    <t xml:space="preserve">UNRESOLVED</t>
  </si>
  <si>
    <t xml:space="preserve">The caller's issue is materially unchanged and no owned action exists.</t>
  </si>
  <si>
    <t xml:space="preserve">At disconnect, is the caller in the same position they were in when they rang, with nothing committed by anyone? If yes, UNRESOLVED.</t>
  </si>
  <si>
    <t xml:space="preserve">C-0004 — a member chasing a dental ID card. The agent was polite and procedurally correct, never established where the card had been sent, offered the portal, and closed. The member still has no card and an appointment on Friday.</t>
  </si>
  <si>
    <t xml:space="preserve">Not 'the agent was rude'. Most unresolved calls in this corpus are polite. Not 'the answer was no' — a correct, complete no with nothing outstanding is RESOLVED.</t>
  </si>
  <si>
    <t xml:space="preserve">The 'correct but useless' call is the important edge: the agent states a rule accurately and the caller still cannot act, with no route offered. That is UNRESOLVED. An explicit escalation request that is refused with no alternative is almost always UNRESOLVED and additionally raises escalation_missed.</t>
  </si>
  <si>
    <t xml:space="preserve">The denominator of the failure-driven repeat rate. Feeds self-inflicted demand when a second contact follows.</t>
  </si>
  <si>
    <t xml:space="preserve">Decision order</t>
  </si>
  <si>
    <t xml:space="preserve">1. Did ownership move to someone with authority the agent lacks, with a reference and a date? → ESCALATED.  2. Otherwise, is any committed action with a named owner still open? → PARTIALLY RESOLVED.  3. Otherwise, is the caller's issue concluded? → RESOLVED.  4. Otherwise → UNRESOLVED.  Apply in this order. Satisfaction, tone and agent score play no part in it.</t>
  </si>
  <si>
    <t xml:space="preserve">Escalation — triggered, handled, and how they relate to outcome</t>
  </si>
  <si>
    <t xml:space="preserve">escalation.triggered and outcome are two different fields answering two different questions, and conflating them is the single most common way an escalation metric becomes meaningless. TRIGGERED asks whether the call contained a condition that warranted escalation — a fact about the situation, detectable from the transcript, independent of what the agent did. HANDLED asks whether it was actually routed. OUTCOME records where the call ended. Escalation integrity is measured as handled divided by triggered, never as escalations divided by all calls: against all calls a rate of zero reads as good news, whereas against warranted calls it reads as a control failure, which is what it is.</t>
  </si>
  <si>
    <t xml:space="preserve">Field</t>
  </si>
  <si>
    <t xml:space="preserve">What it answers</t>
  </si>
  <si>
    <t xml:space="preserve">Who or what determines it</t>
  </si>
  <si>
    <t xml:space="preserve">Why it is separate</t>
  </si>
  <si>
    <t xml:space="preserve">escalation.triggered</t>
  </si>
  <si>
    <t xml:space="preserve">Did this call contain a condition that warranted escalation?</t>
  </si>
  <si>
    <t xml:space="preserve">The situation, detected from the transcript against the trigger list below. Deterministic where possible.</t>
  </si>
  <si>
    <t xml:space="preserve">It is the denominator. It must be independent of the agent's behaviour, or a poor agent shrinks their own denominator and scores well.</t>
  </si>
  <si>
    <t xml:space="preserve">escalation.requested_by_caller</t>
  </si>
  <si>
    <t xml:space="preserve">Did the caller explicitly ask for a supervisor or someone senior?</t>
  </si>
  <si>
    <t xml:space="preserve">The caller's words, verbatim, with a turn reference.</t>
  </si>
  <si>
    <t xml:space="preserve">The most defensible subset of triggers — no interpretation involved. A good first proof that the evidence model works.</t>
  </si>
  <si>
    <t xml:space="preserve">escalation.handled</t>
  </si>
  <si>
    <t xml:space="preserve">Was ownership actually transferred to a named party with a reference?</t>
  </si>
  <si>
    <t xml:space="preserve">The agent's actions.</t>
  </si>
  <si>
    <t xml:space="preserve">It is the numerator.</t>
  </si>
  <si>
    <t xml:space="preserve">escalation.trigger_type</t>
  </si>
  <si>
    <t xml:space="preserve">Which condition fired.</t>
  </si>
  <si>
    <t xml:space="preserve">The trigger list below.</t>
  </si>
  <si>
    <t xml:space="preserve">Lets Broker Relations, Compliance and Account Management each see only their own escalations.</t>
  </si>
  <si>
    <t xml:space="preserve">Where did the call end?</t>
  </si>
  <si>
    <t xml:space="preserve">The Outcomes sheet decision order.</t>
  </si>
  <si>
    <t xml:space="preserve">A call can be triggered and handled and still end PARTIALLY RESOLVED if the escalation covers only part of the issue.</t>
  </si>
  <si>
    <t xml:space="preserve">THE MATRIX</t>
  </si>
  <si>
    <t xml:space="preserve">Combination</t>
  </si>
  <si>
    <t xml:space="preserve">Resulting outcome</t>
  </si>
  <si>
    <t xml:space="preserve">What it means</t>
  </si>
  <si>
    <t xml:space="preserve">Example</t>
  </si>
  <si>
    <t xml:space="preserve">Note</t>
  </si>
  <si>
    <t xml:space="preserve">TRIGGERED = true · HANDLED = true</t>
  </si>
  <si>
    <t xml:space="preserve">Correct handling. Counts in both numerator and denominator of escalation integrity.</t>
  </si>
  <si>
    <t xml:space="preserve">C-0005 — broker conduct routed to a named owner in Broker Relations the same day with a reference.</t>
  </si>
  <si>
    <t xml:space="preserve">None. This is the target state.</t>
  </si>
  <si>
    <t xml:space="preserve">TRIGGERED = true · HANDLED = false</t>
  </si>
  <si>
    <t xml:space="preserve">Usually UNRESOLVED; occasionally PARTIALLY RESOLVED</t>
  </si>
  <si>
    <t xml:space="preserve">The failure case. Counts in the denominator only, and raises signal escalation_missed. This is the refusal rate.</t>
  </si>
  <si>
    <t xml:space="preserve">C-0010 — a CFO states he is going out to bid, asks twice for someone senior, and is offered a note on the account.</t>
  </si>
  <si>
    <t xml:space="preserve">The most expensive miss in the corpus. In the design, 25 of 43 triggered calls land here — a 58% refusal rate.</t>
  </si>
  <si>
    <t xml:space="preserve">TRIGGERED = false · HANDLED = true</t>
  </si>
  <si>
    <t xml:space="preserve">ESCALATED, flagged</t>
  </si>
  <si>
    <t xml:space="preserve">Over-escalation. The agent routed something inside their own authority.</t>
  </si>
  <si>
    <t xml:space="preserve">An agent sending a straightforward billing credit to a supervisor rather than raising it themselves.</t>
  </si>
  <si>
    <t xml:space="preserve">Not a quality win. It is a cost and a capability signal — usually a training or confidence issue, not a bad agent. Report separately; do not let it inflate escalation integrity.</t>
  </si>
  <si>
    <t xml:space="preserve">TRIGGERED = false · HANDLED = false</t>
  </si>
  <si>
    <t xml:space="preserve">Any outcome</t>
  </si>
  <si>
    <t xml:space="preserve">The ordinary call. No escalation metric applies.</t>
  </si>
  <si>
    <t xml:space="preserve">C-0001.</t>
  </si>
  <si>
    <t xml:space="preserve">Roughly 88% of calls. Excluded from both numerator and denominator.</t>
  </si>
  <si>
    <t xml:space="preserve">TRIGGER LIST</t>
  </si>
  <si>
    <t xml:space="preserve">Trigger type</t>
  </si>
  <si>
    <t xml:space="preserve">Condition</t>
  </si>
  <si>
    <t xml:space="preserve">Detection</t>
  </si>
  <si>
    <t xml:space="preserve">Owner it routes to</t>
  </si>
  <si>
    <t xml:space="preserve">caller_request</t>
  </si>
  <si>
    <t xml:space="preserve">The caller explicitly asks for a supervisor, a manager or someone senior.</t>
  </si>
  <si>
    <t xml:space="preserve">Deterministic — verbatim phrase with turn reference.</t>
  </si>
  <si>
    <t xml:space="preserve">Operations</t>
  </si>
  <si>
    <t xml:space="preserve">compliance_exception</t>
  </si>
  <si>
    <t xml:space="preserve">A control exception is detected on the call — no recording disclosure, detail disclosed before verification, a required disclosure omitted.</t>
  </si>
  <si>
    <t xml:space="preserve">Deterministic — greeting and verification sequence checks.</t>
  </si>
  <si>
    <t xml:space="preserve">Compliance</t>
  </si>
  <si>
    <t xml:space="preserve">contested_document</t>
  </si>
  <si>
    <t xml:space="preserve">The caller disputes a document or signature on file, such as a broker of record change they did not authorise.</t>
  </si>
  <si>
    <t xml:space="preserve">Caller states the dispute; agent confirms a document exists.</t>
  </si>
  <si>
    <t xml:space="preserve">Broker Relations, then Compliance</t>
  </si>
  <si>
    <t xml:space="preserve">retention_risk</t>
  </si>
  <si>
    <t xml:space="preserve">Verbatim exit or market-test language — going out to bid, moving at renewal, cancelling.</t>
  </si>
  <si>
    <t xml:space="preserve">Verbatim with turn reference. Inferred intent does not count.</t>
  </si>
  <si>
    <t xml:space="preserve">Account Management</t>
  </si>
  <si>
    <t xml:space="preserve">clinical_or_safety_risk</t>
  </si>
  <si>
    <t xml:space="preserve">The caller describes a health or safety situation requiring urgent care or review.</t>
  </si>
  <si>
    <t xml:space="preserve">Model-detected, clinician-reviewed. Score is withheld pending review.</t>
  </si>
  <si>
    <t xml:space="preserve">Clinical review</t>
  </si>
  <si>
    <t xml:space="preserve">scheduled_care_at_risk</t>
  </si>
  <si>
    <t xml:space="preserve">A benefit dispute the agent cannot resolve, where care is already booked within days.</t>
  </si>
  <si>
    <t xml:space="preserve">Agent cannot overturn AND a date is stated by the caller.</t>
  </si>
  <si>
    <t xml:space="preserve">authority_limit</t>
  </si>
  <si>
    <t xml:space="preserve">A billing correction, reinstatement or retroactive adjustment beyond the agent's authority threshold.</t>
  </si>
  <si>
    <t xml:space="preserve">Amount or action type exceeds a configured limit.</t>
  </si>
  <si>
    <t xml:space="preserve">Operations / Finance</t>
  </si>
  <si>
    <t xml:space="preserve">broker_conduct_adverse</t>
  </si>
  <si>
    <t xml:space="preserve">A broker action or omission caused the caller's problem and the caller names the broker aloud.</t>
  </si>
  <si>
    <t xml:space="preserve">Named-aloud attribution plus an adverse finding.</t>
  </si>
  <si>
    <t xml:space="preserve">Broker Relations</t>
  </si>
  <si>
    <t xml:space="preserve">How a call score is produced</t>
  </si>
  <si>
    <t xml:space="preserve">The score is not written by the model. The model reads the transcript and returns quoted evidence; a fixed rubric held in version-controlled configuration does the arithmetic. That separation is the most defensible property of the whole platform: it means the same transcript produces the same score, that changing provider changes cost and latency but never a number, and that every point lost can be traced to a quoted turn. This sheet sets out the mechanism, the verification step that throws evidence away, the two cases where no score is published, and — in the final section — four design decisions that are still open and should be settled before the framework is defended in front of a client.</t>
  </si>
  <si>
    <t xml:space="preserve">Stage</t>
  </si>
  <si>
    <t xml:space="preserve">How it works</t>
  </si>
  <si>
    <t xml:space="preserve">Worked example</t>
  </si>
  <si>
    <t xml:space="preserve">Why it is built this way</t>
  </si>
  <si>
    <t xml:space="preserve">1. Evidence extraction</t>
  </si>
  <si>
    <t xml:space="preserve">The model reads the transcript and returns markers. Each marker names a dimension, a polarity, a quoted phrase and the turn it came from. The model never returns a number.</t>
  </si>
  <si>
    <t xml:space="preserve">On call C0002 the model returned five surviving markers — three positive (empathy, accuracy, proactivity) and two negative (empathy, resolution_ownership).</t>
  </si>
  <si>
    <t xml:space="preserve">A model that returns a score cannot be audited, and two providers will disagree. A model that returns quotes can be checked against the transcript mechanically.</t>
  </si>
  <si>
    <t xml:space="preserve">2. Verification</t>
  </si>
  <si>
    <t xml:space="preserve">Every marker is checked against the transcript before it can move the score. A marker is refused if the quoted words are not in the cited turn (quote_not_in_turn), the turn does not exist (missing_turn), or the dimension is not in the rubric (unknown_dimension). Refusals are recorded and shown on the call.</t>
  </si>
  <si>
    <t xml:space="preserve">A model claimed the agent said 'I can waive that fee for you today' at turn 9, citing a −15 compliance failure. Turn 9 actually reads 'I'll note the dispute and someone will call you back.' Refused, zero points.</t>
  </si>
  <si>
    <t xml:space="preserve">This is the step that makes the number auditable. It also turns model hallucination into a measurable property of the model rather than an invisible error in the score.</t>
  </si>
  <si>
    <t xml:space="preserve">3. Arithmetic</t>
  </si>
  <si>
    <t xml:space="preserve">Base 100. Negative markers are summed per dimension and capped per dimension per call. Positive markers offset penalties up to a maximum of 15 points and never add above the base. Score = 100 − (capped penalties − offset).</t>
  </si>
  <si>
    <t xml:space="preserve">100 − (18 − 8) = 90.</t>
  </si>
  <si>
    <t xml:space="preserve">Caps stop the same criticism phrased five ways from sinking a call. The offset lets genuine good practice soften a poor call without erasing it.</t>
  </si>
  <si>
    <t xml:space="preserve">4. Banding</t>
  </si>
  <si>
    <t xml:space="preserve">GOOD at 86 and above, AVERAGE at 60 and above, POOR below 60.</t>
  </si>
  <si>
    <t xml:space="preserve">Of 53 calls in the earlier corpus: 18 good, 29 average, 6 poor.</t>
  </si>
  <si>
    <t xml:space="preserve">The boundaries are currently empirical rather than outcome-calibrated — see open decision 3 below.</t>
  </si>
  <si>
    <t xml:space="preserve">5. Withholding</t>
  </si>
  <si>
    <t xml:space="preserve">Two cases publish no number. Where clinical risk is present, a clinician reviews the call first; the score is visible to the reviewer with the reason attached. Where every marker failed verification, the call is marked Provisional rather than scored.</t>
  </si>
  <si>
    <t xml:space="preserve">A call where 0 of 7 markers survived would otherwise come through as a flawless 100.</t>
  </si>
  <si>
    <t xml:space="preserve">A call nobody has successfully scored is not a good call. Note the distinction: a call the model read and had no criticism of is a quiet call and stays confirmed — nothing proposed is not the same as nothing surviving.</t>
  </si>
  <si>
    <t xml:space="preserve">6. Versioning</t>
  </si>
  <si>
    <t xml:space="preserve">The rubric lives in one configuration file. Weights are data, not code. Every score is stamped with the rubric version that produced it, and old scores keep the version they were judged under.</t>
  </si>
  <si>
    <t xml:space="preserve">config/rubric.yaml at v1.0.0.</t>
  </si>
  <si>
    <t xml:space="preserve">A tightened rule must be visible in the record, or historical comparison becomes meaningless and a policy change looks like a performance change.</t>
  </si>
  <si>
    <t xml:space="preserve">THE SIX DIMENSIONS</t>
  </si>
  <si>
    <t xml:space="preserve">Dimension</t>
  </si>
  <si>
    <t xml:space="preserve">What it measures</t>
  </si>
  <si>
    <t xml:space="preserve">Per +</t>
  </si>
  <si>
    <t xml:space="preserve">Per −</t>
  </si>
  <si>
    <t xml:space="preserve">Cap −</t>
  </si>
  <si>
    <t xml:space="preserve">Worst case from this dimension alone</t>
  </si>
  <si>
    <t xml:space="preserve">escalation_appropriateness</t>
  </si>
  <si>
    <t xml:space="preserve">Recognising and acting on urgency</t>
  </si>
  <si>
    <t xml:space="preserve">40 points</t>
  </si>
  <si>
    <t xml:space="preserve">compliance_disclosure</t>
  </si>
  <si>
    <t xml:space="preserve">Required disclosures and conduct</t>
  </si>
  <si>
    <t xml:space="preserve">45 points</t>
  </si>
  <si>
    <t xml:space="preserve">accuracy</t>
  </si>
  <si>
    <t xml:space="preserve">Factual and procedural accuracy</t>
  </si>
  <si>
    <t xml:space="preserve">36 points</t>
  </si>
  <si>
    <t xml:space="preserve">resolution_ownership</t>
  </si>
  <si>
    <t xml:space="preserve">Ownership of the member's outcome</t>
  </si>
  <si>
    <t xml:space="preserve">30 points</t>
  </si>
  <si>
    <t xml:space="preserve">empathy</t>
  </si>
  <si>
    <t xml:space="preserve">Empathy and acknowledgement</t>
  </si>
  <si>
    <t xml:space="preserve">24 points</t>
  </si>
  <si>
    <t xml:space="preserve">proactivity</t>
  </si>
  <si>
    <t xml:space="preserve">Proactive help beyond the question</t>
  </si>
  <si>
    <t xml:space="preserve">18 points</t>
  </si>
  <si>
    <t xml:space="preserve">OPEN DESIGN DECISIONS</t>
  </si>
  <si>
    <t xml:space="preserve">Issue</t>
  </si>
  <si>
    <t xml:space="preserve">Why it matters</t>
  </si>
  <si>
    <t xml:space="preserve">Recommendation</t>
  </si>
  <si>
    <t xml:space="preserve">Base 100 cannot distinguish compliant from excellent.</t>
  </si>
  <si>
    <t xml:space="preserve">A short, competent, entirely uncriticised call scores 100. An outstanding call scores 95, because positives only offset and never add. The coaching value lives in exactly that gap.</t>
  </si>
  <si>
    <t xml:space="preserve">Either drop the base and let good behaviour earn upside, or publish two numbers — a compliance score and a value score — and stop implying one figure covers both.</t>
  </si>
  <si>
    <t xml:space="preserve">The offset is applied to the total, not per dimension.</t>
  </si>
  <si>
    <t xml:space="preserve">The deck says positives cannot erase a compliance failure, but the arithmetic does not enforce it. In the worked example, 8 points of empathy praise paid down an 18-point penalty. If one of those penalties had been a disclosure failure, warmth bought off a statutory breach.</t>
  </si>
  <si>
    <t xml:space="preserve">Exclude compliance_disclosure and escalation_appropriateness from offset eligibility, and add a hard gate — any compliance negative caps the call at 60 regardless of the arithmetic.</t>
  </si>
  <si>
    <t xml:space="preserve">The 86 boundary is derived circularly.</t>
  </si>
  <si>
    <t xml:space="preserve">It sits in the gap between agent averages, so the definition of a good call is set by the cohort currently employed. Hire a stronger team and the threshold moves.</t>
  </si>
  <si>
    <t xml:space="preserve">Calibrate against outcomes now that the corpus carries repeat contact, escalation and exit language: find the score that predicts a callback, an escalation or a termination.</t>
  </si>
  <si>
    <t xml:space="preserve">'Same transcript, same score' is stronger than the design supports.</t>
  </si>
  <si>
    <t xml:space="preserve">The arithmetic is provider-independent. The extraction is not — different providers will return different markers from the same call, so the score moves.</t>
  </si>
  <si>
    <t xml:space="preserve">Claim that the scoring policy is provider-independent and auditable. Then run the test before a client does: three providers, twenty calls, publish the spread.</t>
  </si>
  <si>
    <t xml:space="preserve">Signal taxonomy</t>
  </si>
  <si>
    <t xml:space="preserve">The allowed values of the signals tag. A signal answers 'what happened on this call'; the Intelligence Register answers 'why should the business care'. Severity drives ranking on the Inferences screen and owner drives routing, so both are mandatory. Signals are counted as distinct types per call, never as occurrences — five instances of one problem is one problem, whereas three different problems on one call is an account coming apart. One new signal is added in v8: process_gap_proposed, which captures an improvement raised inside a call and has a lifecycle rather than dying as a note.</t>
  </si>
  <si>
    <t xml:space="preserve">Signal type</t>
  </si>
  <si>
    <t xml:space="preserve">Severity</t>
  </si>
  <si>
    <t xml:space="preserve">Owner</t>
  </si>
  <si>
    <t xml:space="preserve">Typical trigger</t>
  </si>
  <si>
    <t xml:space="preserve">member_communication_gap</t>
  </si>
  <si>
    <t xml:space="preserve">MEDIUM</t>
  </si>
  <si>
    <t xml:space="preserve">Member Communications</t>
  </si>
  <si>
    <t xml:space="preserve">Something the member should have been told at enrollment and was not.</t>
  </si>
  <si>
    <t xml:space="preserve">Surprise cost, surprise exclusion, surprise waiting period</t>
  </si>
  <si>
    <t xml:space="preserve">process_breakdown</t>
  </si>
  <si>
    <t xml:space="preserve">HIGH</t>
  </si>
  <si>
    <t xml:space="preserve">An internal process accepted an input and failed to act on it.</t>
  </si>
  <si>
    <t xml:space="preserve">Portal submission not applied, ID never issued, termination still billing</t>
  </si>
  <si>
    <t xml:space="preserve">compliance_disclosure_missing</t>
  </si>
  <si>
    <t xml:space="preserve">A required disclosure was not made.</t>
  </si>
  <si>
    <t xml:space="preserve">No recording notice; benefit limit not stated where required</t>
  </si>
  <si>
    <t xml:space="preserve">verification_failure</t>
  </si>
  <si>
    <t xml:space="preserve">CRITICAL</t>
  </si>
  <si>
    <t xml:space="preserve">Member detail disclosed before identity verification completed.</t>
  </si>
  <si>
    <t xml:space="preserve">Agent answers a claim question before confirming the caller</t>
  </si>
  <si>
    <t xml:space="preserve">A broker action or omission caused the member's problem.</t>
  </si>
  <si>
    <t xml:space="preserve">Misstated rule at sale, unsubmitted election, unresponsive for weeks</t>
  </si>
  <si>
    <t xml:space="preserve">broker_conduct_positive</t>
  </si>
  <si>
    <t xml:space="preserve">LOW</t>
  </si>
  <si>
    <t xml:space="preserve">The broker prepared the client well and shortened the call.</t>
  </si>
  <si>
    <t xml:space="preserve">Caller arrives with an accurate written summary and their own dates</t>
  </si>
  <si>
    <t xml:space="preserve">escalation_missed</t>
  </si>
  <si>
    <t xml:space="preserve">An explicit escalation request went nowhere and no alternative was offered.</t>
  </si>
  <si>
    <t xml:space="preserve">Supervisor asked for and refused</t>
  </si>
  <si>
    <t xml:space="preserve">Explicit exit or market-test language.</t>
  </si>
  <si>
    <t xml:space="preserve">Going out to bid; moving at renewal; cancelling</t>
  </si>
  <si>
    <t xml:space="preserve">revenue_opportunity</t>
  </si>
  <si>
    <t xml:space="preserve">Interest in a line the group does not hold.</t>
  </si>
  <si>
    <t xml:space="preserve">Employer asks what it would take to add vision</t>
  </si>
  <si>
    <t xml:space="preserve">knowledge_error</t>
  </si>
  <si>
    <t xml:space="preserve">Knowledge Management</t>
  </si>
  <si>
    <t xml:space="preserve">An agent stated a published rule incorrectly.</t>
  </si>
  <si>
    <t xml:space="preserve">Waiting period type confused; out-of-state availability misstated</t>
  </si>
  <si>
    <t xml:space="preserve">network_adequacy</t>
  </si>
  <si>
    <t xml:space="preserve">Product / Network</t>
  </si>
  <si>
    <t xml:space="preserve">A covered benefit is unusable where the member lives or works.</t>
  </si>
  <si>
    <t xml:space="preserve">Out-of-state employee with no chiro provider</t>
  </si>
  <si>
    <t xml:space="preserve">billing_defect</t>
  </si>
  <si>
    <t xml:space="preserve">An invoice does not match the enrolled roster.</t>
  </si>
  <si>
    <t xml:space="preserve">Terminated employee still billing; new hire missing</t>
  </si>
  <si>
    <t xml:space="preserve">process_gap_proposed</t>
  </si>
  <si>
    <t xml:space="preserve">Process Owner (by touchpoint)</t>
  </si>
  <si>
    <t xml:space="preserve">An improvement to a document, system or process proposed or clearly implied inside the call, by the agent or the caller. Carries a lifecycle: unvalidated, validated, actioned or rejected.</t>
  </si>
  <si>
    <t xml:space="preserve">'The letter should say which waiting period and when it ends'; 'nobody told me that at enrolment'</t>
  </si>
  <si>
    <t xml:space="preserve">Member and employer touchpoints</t>
  </si>
  <si>
    <t xml:space="preserve">Where a failure originated, as distinct from where it surfaced. A member who does not understand a waiting period surfaced the problem on a call, but the failure happened at the enrolment meeting, in the enrolment material, or in a denial letter that said 'ineligible' and stopped. Tagging the touchpoint is what turns a pile of individual calls into a ranked list of documents and moments to fix, and it is the dimension that makes knowledge failures and process gaps actionable by someone who does not run the call centre. This is the sheet a change and knowledge management function would work from.</t>
  </si>
  <si>
    <t xml:space="preserve">Touchpoint</t>
  </si>
  <si>
    <t xml:space="preserve">Who controls the content</t>
  </si>
  <si>
    <t xml:space="preserve">Typical failures that originate here</t>
  </si>
  <si>
    <t xml:space="preserve">Rules most often misstated here</t>
  </si>
  <si>
    <t xml:space="preserve">enrolment_meeting</t>
  </si>
  <si>
    <t xml:space="preserve">The broker, not Choice</t>
  </si>
  <si>
    <t xml:space="preserve">Product rules misstated at the point of sale; participation minimums misdescribed; waiting periods denied</t>
  </si>
  <si>
    <t xml:space="preserve">P-21, P-23, P-25, P-28, C-12</t>
  </si>
  <si>
    <t xml:space="preserve">enrolment_material</t>
  </si>
  <si>
    <t xml:space="preserve">Marketing / Product</t>
  </si>
  <si>
    <t xml:space="preserve">Choice</t>
  </si>
  <si>
    <t xml:space="preserve">Distinction between the employer waiting period and carrier waiting periods never drawn; takeover credit not explained</t>
  </si>
  <si>
    <t xml:space="preserve">P-14, P-29, C-12</t>
  </si>
  <si>
    <t xml:space="preserve">enrolment_form</t>
  </si>
  <si>
    <t xml:space="preserve">Waiver section not completed; life enrolment missed for a dental-waiving employee</t>
  </si>
  <si>
    <t xml:space="preserve">P-22, P-30, P-31</t>
  </si>
  <si>
    <t xml:space="preserve">welcome_pack</t>
  </si>
  <si>
    <t xml:space="preserve">Member never learns which carrier they are on, or that a DHMO requires an assigned dentist</t>
  </si>
  <si>
    <t xml:space="preserve">C-01, C-02, P-10</t>
  </si>
  <si>
    <t xml:space="preserve">id_card_mailer</t>
  </si>
  <si>
    <t xml:space="preserve">Choice and the carriers</t>
  </si>
  <si>
    <t xml:space="preserve">Cards routed to the employer and never distributed; mid-year line additions missing the production run</t>
  </si>
  <si>
    <t xml:space="preserve">P-31</t>
  </si>
  <si>
    <t xml:space="preserve">denial_letter_eob</t>
  </si>
  <si>
    <t xml:space="preserve">Carrier</t>
  </si>
  <si>
    <t xml:space="preserve">The carrier</t>
  </si>
  <si>
    <t xml:space="preserve">Reason given as 'ineligible' with no waiting period named and no eligibility date; cost share not explained</t>
  </si>
  <si>
    <t xml:space="preserve">C-12, C-16, C-08</t>
  </si>
  <si>
    <t xml:space="preserve">invoice_statement</t>
  </si>
  <si>
    <t xml:space="preserve">Leavers still billed; change codes unexplained; admin fee stepping between bands unannounced</t>
  </si>
  <si>
    <t xml:space="preserve">A-09, A-27, A-45, P-33</t>
  </si>
  <si>
    <t xml:space="preserve">employer_portal</t>
  </si>
  <si>
    <t xml:space="preserve">Digital</t>
  </si>
  <si>
    <t xml:space="preserve">Submission accepted with no confirmation that it was applied; undiagnostic upload errors</t>
  </si>
  <si>
    <t xml:space="preserve">A-02, A-07, A-10</t>
  </si>
  <si>
    <t xml:space="preserve">renewal_pack</t>
  </si>
  <si>
    <t xml:space="preserve">Participation position not flagged before the anniversary; network gaps for out-of-state staff not surfaced before a line is bought</t>
  </si>
  <si>
    <t xml:space="preserve">P-18, P-36, C-28</t>
  </si>
  <si>
    <t xml:space="preserve">broker_material</t>
  </si>
  <si>
    <t xml:space="preserve">The broker</t>
  </si>
  <si>
    <t xml:space="preserve">Plan comparison presented as fact; takeover credit assumed</t>
  </si>
  <si>
    <t xml:space="preserve">P-28, P-29, C-19</t>
  </si>
  <si>
    <t xml:space="preserve">agent_conversation</t>
  </si>
  <si>
    <t xml:space="preserve">The rule stated incorrectly on the call itself</t>
  </si>
  <si>
    <t xml:space="preserve">Any</t>
  </si>
  <si>
    <t xml:space="preserve">cobra_notice</t>
  </si>
  <si>
    <t xml:space="preserve">Choice for Cal-COBRA, the employer for federal</t>
  </si>
  <si>
    <t xml:space="preserve">Notice sent to a stale address; employer assuming Choice sent a federal notice it did not send</t>
  </si>
  <si>
    <t xml:space="preserve">A-34, A-38, A-39, A-42</t>
  </si>
  <si>
    <t xml:space="preserve">Metrics — 12 published, 2 base measures</t>
  </si>
  <si>
    <t xml:space="preserve">Consolidated from an earlier list of twenty-four. The reduction came from separating what the pipeline tags from what the platform calculates: most of the original twenty-four were the same calculation pointed at a different tag. Complaint rate by employer and by broker are one metric with a dimension; first-contact resolution and resolution rate by category are one metric with a filter; escalation rate and refusal rate are inverses of each other. Every metric here is one of four calculation patterns, so the development team builds four functions and dimensions them rather than twenty-four reports. The Build note column carries the failure mode for each — read those before implementing.</t>
  </si>
  <si>
    <t xml:space="preserve">Metric</t>
  </si>
  <si>
    <t xml:space="preserve">Pattern</t>
  </si>
  <si>
    <t xml:space="preserve">Plain-English meaning</t>
  </si>
  <si>
    <t xml:space="preserve">Numerator</t>
  </si>
  <si>
    <t xml:space="preserve">Denominator</t>
  </si>
  <si>
    <t xml:space="preserve">Dimensions</t>
  </si>
  <si>
    <t xml:space="preserve">Window</t>
  </si>
  <si>
    <t xml:space="preserve">Min n</t>
  </si>
  <si>
    <t xml:space="preserve">Replaces</t>
  </si>
  <si>
    <t xml:space="preserve">Build note / risk</t>
  </si>
  <si>
    <t xml:space="preserve">Contact rate</t>
  </si>
  <si>
    <t xml:space="preserve">Normalised rate</t>
  </si>
  <si>
    <t xml:space="preserve">How often a given population picks up the phone, per 1,000 people covered, per year.</t>
  </si>
  <si>
    <t xml:space="preserve">Calls matching the dimension filter × (52 ÷ weeks)</t>
  </si>
  <si>
    <t xml:space="preserve">Lives enrolled in that population ÷ 1,000</t>
  </si>
  <si>
    <t xml:space="preserve">Product line · employer · industry · region</t>
  </si>
  <si>
    <t xml:space="preserve">12wk</t>
  </si>
  <si>
    <t xml:space="preserve">30</t>
  </si>
  <si>
    <t xml:space="preserve">Contact rate by product line; industry rate</t>
  </si>
  <si>
    <t xml:space="preserve">Population must be the calls' own population. Dividing sample calls by book-wide enrollment is the classic denominator error.</t>
  </si>
  <si>
    <t xml:space="preserve">Complaint rate</t>
  </si>
  <si>
    <t xml:space="preserve">How much dissatisfaction a group or a broker generates relative to their size — so dysfunction outranks size.</t>
  </si>
  <si>
    <t xml:space="preserve">Calls with complaint.present and the given attributed_to</t>
  </si>
  <si>
    <t xml:space="preserve">Employer: lives ÷ 100.  Broker: groups in book</t>
  </si>
  <si>
    <t xml:space="preserve">Employer · broker · attribution target</t>
  </si>
  <si>
    <t xml:space="preserve">10 calls</t>
  </si>
  <si>
    <t xml:space="preserve">Complaint rate — employer; complaint rate — broker</t>
  </si>
  <si>
    <t xml:space="preserve">Always show the raw count beside the rate. Broker rate uses book size from reference data, never from call counts.</t>
  </si>
  <si>
    <t xml:space="preserve">First-contact resolution</t>
  </si>
  <si>
    <t xml:space="preserve">Share</t>
  </si>
  <si>
    <t xml:space="preserve">Share of calls that actually ended the problem — no one called back about it.</t>
  </si>
  <si>
    <t xml:space="preserve">RESOLVED with no related contact from the same caller ≤14 days</t>
  </si>
  <si>
    <t xml:space="preserve">All calls with a resolution outcome</t>
  </si>
  <si>
    <t xml:space="preserve">Category · agent · product line · queue</t>
  </si>
  <si>
    <t xml:space="preserve">4wk</t>
  </si>
  <si>
    <t xml:space="preserve">FCR; resolution rate by category</t>
  </si>
  <si>
    <t xml:space="preserve">PARTIALLY_RESOLVED and ESCALATED sit in the denominator, not the numerator. One denominator across the whole platform.</t>
  </si>
  <si>
    <t xml:space="preserve">Failure-driven repeat rate</t>
  </si>
  <si>
    <t xml:space="preserve">When we fail to fix it, how often does the person come back — and what does that cost us.</t>
  </si>
  <si>
    <t xml:space="preserve">UNRESOLVED calls followed by a contact from the same caller ≤14 days</t>
  </si>
  <si>
    <t xml:space="preserve">All UNRESOLVED calls in window</t>
  </si>
  <si>
    <t xml:space="preserve">Category · employer · product line · agent</t>
  </si>
  <si>
    <t xml:space="preserve">Repeat contact rate; failure-driven repeat; cost of first-contact failure</t>
  </si>
  <si>
    <t xml:space="preserve">Exclude the last 14 days of the window — those calls have no exposure period. The cost view is Σ AHT of the repeats, same metric.</t>
  </si>
  <si>
    <t xml:space="preserve">Self-inflicted demand</t>
  </si>
  <si>
    <t xml:space="preserve">How much of our call volume we caused ourselves rather than the member needing something new.</t>
  </si>
  <si>
    <t xml:space="preserve">Failure-driven repeats + calls chasing an already-submitted action + calls caused by a logged process defect</t>
  </si>
  <si>
    <t xml:space="preserve">All calls in window</t>
  </si>
  <si>
    <t xml:space="preserve">Category · employer · defect type</t>
  </si>
  <si>
    <t xml:space="preserve">60</t>
  </si>
  <si>
    <t xml:space="preserve">Publish the three components separately so a reader can dispute one without discarding the total.</t>
  </si>
  <si>
    <t xml:space="preserve">Escalation integrity</t>
  </si>
  <si>
    <t xml:space="preserve">When a call genuinely needed a supervisor, did it get one.</t>
  </si>
  <si>
    <t xml:space="preserve">Calls with escalation.handled = true</t>
  </si>
  <si>
    <t xml:space="preserve">Calls with escalation.triggered = true</t>
  </si>
  <si>
    <t xml:space="preserve">Agent · trigger type · queue</t>
  </si>
  <si>
    <t xml:space="preserve">30 triggers</t>
  </si>
  <si>
    <t xml:space="preserve">Escalation rate; escalation refusal rate</t>
  </si>
  <si>
    <t xml:space="preserve">Refusal rate is the inverse view of the same metric. Against all calls 0% reads as good news; against warranted calls it reads as a control failure.</t>
  </si>
  <si>
    <t xml:space="preserve">Control exception rate</t>
  </si>
  <si>
    <t xml:space="preserve">How often we broke our own compliance rules on a call.</t>
  </si>
  <si>
    <t xml:space="preserve">Calls with ≥1 control_exception, by type</t>
  </si>
  <si>
    <t xml:space="preserve">All calls requiring that control</t>
  </si>
  <si>
    <t xml:space="preserve">Exception type · agent · queue</t>
  </si>
  <si>
    <t xml:space="preserve">Disclosure omission rate; verification failure rate</t>
  </si>
  <si>
    <t xml:space="preserve">Deterministic — no model judgement. Owner is Compliance, not the call centre. Report by exception type, not as one blended number.</t>
  </si>
  <si>
    <t xml:space="preserve">Knowledge failure rate</t>
  </si>
  <si>
    <t xml:space="preserve">How often we told someone something that was factually wrong, and which rule we got wrong.</t>
  </si>
  <si>
    <t xml:space="preserve">Calls with knowledge_failure.present</t>
  </si>
  <si>
    <t xml:space="preserve">Rule ID · product line · agent</t>
  </si>
  <si>
    <t xml:space="preserve">Must roll up by rule ID. The output is a list of knowledge base articles to rewrite, ranked by call count.</t>
  </si>
  <si>
    <t xml:space="preserve">Cost to serve</t>
  </si>
  <si>
    <t xml:space="preserve">Time aggregate</t>
  </si>
  <si>
    <t xml:space="preserve">How many minutes of our people a covered life consumes in a year — against a flat per-group fee.</t>
  </si>
  <si>
    <t xml:space="preserve">Σ aht_seconds × (52 ÷ weeks) ÷ 60</t>
  </si>
  <si>
    <t xml:space="preserve">Lives enrolled in that population</t>
  </si>
  <si>
    <t xml:space="preserve">Product line · employer · industry</t>
  </si>
  <si>
    <t xml:space="preserve">The margin metric. Admin fee is flat per group regardless of service consumed, so this is margin variance made visible.</t>
  </si>
  <si>
    <t xml:space="preserve">Account risk flag</t>
  </si>
  <si>
    <t xml:space="preserve">Composite flag</t>
  </si>
  <si>
    <t xml:space="preserve">Which employers are showing warning signs across more than one dimension at once.</t>
  </si>
  <si>
    <t xml:space="preserve">Employers meeting ≥2 of: complaint rate up month-on-month · a failure-driven repeat · market_test intent · a CHOICE-attributed UNRESOLVED inside the renewal window</t>
  </si>
  <si>
    <t xml:space="preserve">Employers with ≥3 calls in window</t>
  </si>
  <si>
    <t xml:space="preserve">Employer · renewal month · broker</t>
  </si>
  <si>
    <t xml:space="preserve">10 calls per employer</t>
  </si>
  <si>
    <t xml:space="preserve">Signal density; account at risk; revenue at risk</t>
  </si>
  <si>
    <t xml:space="preserve">NOT a churn prediction and must never be labelled one — no termination outcomes exist in this dataset to validate against. Revenue at risk is a display of this metric: Σ premium of flagged employers. Signal density is its input.</t>
  </si>
  <si>
    <t xml:space="preserve">Commercial intent capture</t>
  </si>
  <si>
    <t xml:space="preserve">How often someone told us they want to buy more, or want to leave — and whether anyone acted.</t>
  </si>
  <si>
    <t xml:space="preserve">Calls with intent expansion / market_test / cancellation</t>
  </si>
  <si>
    <t xml:space="preserve">Intent type · employer · broker · routed yes/no</t>
  </si>
  <si>
    <t xml:space="preserve">10</t>
  </si>
  <si>
    <t xml:space="preserve">Expansion intent; market-test language</t>
  </si>
  <si>
    <t xml:space="preserve">Verbatim with turn reference. The routed flag is the finding: in the current service model, none of it reaches sales.</t>
  </si>
  <si>
    <t xml:space="preserve">Agent quality score</t>
  </si>
  <si>
    <t xml:space="preserve">How well one agent handled one call, with the evidence that produced the number.</t>
  </si>
  <si>
    <t xml:space="preserve">100 − capped penalties + offset (max 15)</t>
  </si>
  <si>
    <t xml:space="preserve">n/a — per call</t>
  </si>
  <si>
    <t xml:space="preserve">Agent · category · product line · tenet</t>
  </si>
  <si>
    <t xml:space="preserve">per call</t>
  </si>
  <si>
    <t xml:space="preserve">n/a</t>
  </si>
  <si>
    <t xml:space="preserve">Agent quality score; % calls clean (tenet)</t>
  </si>
  <si>
    <t xml:space="preserve">Tenet clean % is a view over the same markers: calls with zero negative markers in a tenet ÷ all calls. Binary and unweighted — state the applicable-calls caveat on the tile.</t>
  </si>
  <si>
    <t xml:space="preserve">B1</t>
  </si>
  <si>
    <t xml:space="preserve">Call volume</t>
  </si>
  <si>
    <t xml:space="preserve">Base measure</t>
  </si>
  <si>
    <t xml:space="preserve">How many calls, cut any way.</t>
  </si>
  <si>
    <t xml:space="preserve">Count of calls</t>
  </si>
  <si>
    <t xml:space="preserve">any</t>
  </si>
  <si>
    <t xml:space="preserve">The denominator for most shares above.</t>
  </si>
  <si>
    <t xml:space="preserve">B2</t>
  </si>
  <si>
    <t xml:space="preserve">AHT</t>
  </si>
  <si>
    <t xml:space="preserve">Average talk time per call.</t>
  </si>
  <si>
    <t xml:space="preserve">Σ aht_seconds</t>
  </si>
  <si>
    <t xml:space="preserve">Call count</t>
  </si>
  <si>
    <t xml:space="preserve">Never publish as a target. In this dataset the best agents run longest and the worst run shortest, so an AHT target ranks the poor tier first.</t>
  </si>
  <si>
    <t xml:space="preserve">Dropped</t>
  </si>
  <si>
    <t xml:space="preserve">Repeat contact rate for any reason — removed, because it can rise when service improves and is therefore not a quality signal; retained only as context inside metric 4. Signal density and revenue at risk — folded into metric 10 as an input and a display. Resolution rate by category — a dimension of metric 3, not a metric.</t>
  </si>
  <si>
    <t xml:space="preserve">Intelligence register</t>
  </si>
  <si>
    <t xml:space="preserve">This replaces the Claims Register, and the change is more than a rename. A claim is a finding; intelligence is a finding an executive can act on. Each entry therefore runs through three layers — the signal that fired, what the pattern means to the business, and the decision it supports — and is filed under one of seven lenses rather than sitting in a flat list. Seven is deliberate: the same discipline that reduced twenty-four metrics to twelve applies here, and a taxonomy with twenty categories is a taxonomy nobody navigates. The Sufficiency column is the honest part — it says whether 360 calls can actually support the statement, and where it cannot, the entry is reframed to a wider window rather than published with a small denominator.</t>
  </si>
  <si>
    <t xml:space="preserve">Lens</t>
  </si>
  <si>
    <t xml:space="preserve">Business question it answers</t>
  </si>
  <si>
    <t xml:space="preserve">What the platform says</t>
  </si>
  <si>
    <t xml:space="preserve">Evidence behind it</t>
  </si>
  <si>
    <t xml:space="preserve">Population</t>
  </si>
  <si>
    <t xml:space="preserve">Who acts</t>
  </si>
  <si>
    <t xml:space="preserve">Action implied</t>
  </si>
  <si>
    <t xml:space="preserve">Sufficiency at 360</t>
  </si>
  <si>
    <t xml:space="preserve">Drill path</t>
  </si>
  <si>
    <t xml:space="preserve">CUSTOMER</t>
  </si>
  <si>
    <t xml:space="preserve">Which customers need attention, and how soon?</t>
  </si>
  <si>
    <t xml:space="preserve">Three employers are behind a fifth of all complaints about us, and two of them renew in January.</t>
  </si>
  <si>
    <t xml:space="preserve">Complaints per 100 enrolled, cross-referenced with renewal month from reference data</t>
  </si>
  <si>
    <t xml:space="preserve">~18 calls each</t>
  </si>
  <si>
    <t xml:space="preserve">Three named calls to make this month, before the renewal packs go out</t>
  </si>
  <si>
    <t xml:space="preserve">Sufficient. Also run the shared-broker check automatically — if two of the three use the same broker it is one problem, not three</t>
  </si>
  <si>
    <t xml:space="preserve">Lens → employer → calls → quoted turn</t>
  </si>
  <si>
    <t xml:space="preserve">Which accounts are deteriorating across more than one dimension at once?</t>
  </si>
  <si>
    <t xml:space="preserve">Twelve to sixteen employers meet two or more risk conditions. Five renew inside 90 days.</t>
  </si>
  <si>
    <t xml:space="preserve">Composite of complaint-rate movement, failure-driven repeats, exit language and unresolved calls in the renewal window</t>
  </si>
  <si>
    <t xml:space="preserve">12–16 employers</t>
  </si>
  <si>
    <t xml:space="preserve">A watchlist with dates, reviewed weekly</t>
  </si>
  <si>
    <t xml:space="preserve">Sufficient to name a list. Explicitly not a churn prediction — there is no termination history here to validate against</t>
  </si>
  <si>
    <t xml:space="preserve">Lens → watchlist → account → signals → calls</t>
  </si>
  <si>
    <t xml:space="preserve">What are these accounts worth if we lose them?</t>
  </si>
  <si>
    <t xml:space="preserve">Flagged accounts represent N groups, M employees and roughly $X of annual premium.</t>
  </si>
  <si>
    <t xml:space="preserve">Annual premium from reference data, summed over flagged employers</t>
  </si>
  <si>
    <t xml:space="preserve">Adam / Account Management</t>
  </si>
  <si>
    <t xml:space="preserve">Prioritise retention effort by exposure, not by noise</t>
  </si>
  <si>
    <t xml:space="preserve">Sufficient. Present as exposure, never as expected loss — we have no probability to apply to it</t>
  </si>
  <si>
    <t xml:space="preserve">Lens → total → account list → account</t>
  </si>
  <si>
    <t xml:space="preserve">OPERATIONS</t>
  </si>
  <si>
    <t xml:space="preserve">How much of our call volume did we create ourselves?</t>
  </si>
  <si>
    <t xml:space="preserve">Roughly one call in five exists because we failed somewhere upstream.</t>
  </si>
  <si>
    <t xml:space="preserve">Failure-driven repeats, plus calls chasing an already-submitted action, plus calls caused by a logged process defect</t>
  </si>
  <si>
    <t xml:space="preserve">~70 calls</t>
  </si>
  <si>
    <t xml:space="preserve">Adam / Operations</t>
  </si>
  <si>
    <t xml:space="preserve">Investigate the top three causes; each has a named remediation</t>
  </si>
  <si>
    <t xml:space="preserve">Sufficient. Publish the three components separately so a reader can dispute one without binning the total</t>
  </si>
  <si>
    <t xml:space="preserve">Lens → component → cause → calls</t>
  </si>
  <si>
    <t xml:space="preserve">Where does the process break, and what does it cost?</t>
  </si>
  <si>
    <t xml:space="preserve">Three systemic process failures drive recurring demand: portal submissions that are accepted and not applied, terminations that keep billing, and cards that are never issued on mid-year line additions.</t>
  </si>
  <si>
    <t xml:space="preserve">process_breakdown and billing_defect signals, aggregated by touchpoint</t>
  </si>
  <si>
    <t xml:space="preserve">Varies by defect</t>
  </si>
  <si>
    <t xml:space="preserve">Operations / Digital</t>
  </si>
  <si>
    <t xml:space="preserve">A ranked backlog with call counts and minutes attached</t>
  </si>
  <si>
    <t xml:space="preserve">Sufficient for the top three by volume</t>
  </si>
  <si>
    <t xml:space="preserve">Lens → touchpoint → defect → calls</t>
  </si>
  <si>
    <t xml:space="preserve">When people asked for help beyond the agent, did they get it?</t>
  </si>
  <si>
    <t xml:space="preserve">People asked to speak to someone senior 43 times. In 25 of those nothing happened and no alternative was offered.</t>
  </si>
  <si>
    <t xml:space="preserve">escalation.requested_by_caller against escalation.handled</t>
  </si>
  <si>
    <t xml:space="preserve">43 requests</t>
  </si>
  <si>
    <t xml:space="preserve">A routing path that exists, and agent authority to use it</t>
  </si>
  <si>
    <t xml:space="preserve">Sufficient. Almost no interpretation involved, which makes it a good first proof of the evidence model</t>
  </si>
  <si>
    <t xml:space="preserve">Lens → refused calls → quoted turn</t>
  </si>
  <si>
    <t xml:space="preserve">FINANCIAL</t>
  </si>
  <si>
    <t xml:space="preserve">Where is operational capacity actually going?</t>
  </si>
  <si>
    <t xml:space="preserve">A life member consumes roughly four times the service minutes of a dental member, and a chiropractic member about two and a half times.</t>
  </si>
  <si>
    <t xml:space="preserve">Talk time per enrolled life per year, by product line</t>
  </si>
  <si>
    <t xml:space="preserve">32 calls on the thinnest line</t>
  </si>
  <si>
    <t xml:space="preserve">Adam</t>
  </si>
  <si>
    <t xml:space="preserve">Review whether administration economics match service consumption</t>
  </si>
  <si>
    <t xml:space="preserve">Sufficient. Chiro is the binding cell at 32 calls</t>
  </si>
  <si>
    <t xml:space="preserve">Lens → line → employers → calls</t>
  </si>
  <si>
    <t xml:space="preserve">Is what we charge aligned with what we spend?</t>
  </si>
  <si>
    <t xml:space="preserve">The administration fee steps by headcount — $25, $30, $35, $50 — and never by service consumed. A 21-life group and a 199-life group both pay $35.</t>
  </si>
  <si>
    <t xml:space="preserve">Fee bands from rule P-33 against cost-to-serve by employer</t>
  </si>
  <si>
    <t xml:space="preserve">All 70 employers</t>
  </si>
  <si>
    <t xml:space="preserve">A pricing and product design question, not a call centre one</t>
  </si>
  <si>
    <t xml:space="preserve">Sufficient. The fee bands are published fact; the service variance is measured</t>
  </si>
  <si>
    <t xml:space="preserve">Lens → band → employer → cost to serve</t>
  </si>
  <si>
    <t xml:space="preserve">What is first-contact failure costing us?</t>
  </si>
  <si>
    <t xml:space="preserve">When we do not fix it first time, 38% of people call back within two weeks. That is N hours a month spent on things we already discussed.</t>
  </si>
  <si>
    <t xml:space="preserve">Unresolved calls followed by a contact from the same caller within 14 days, and the minutes those took</t>
  </si>
  <si>
    <t xml:space="preserve">76 unresolved</t>
  </si>
  <si>
    <t xml:space="preserve">Fund the fix for the top cause</t>
  </si>
  <si>
    <t xml:space="preserve">Sufficient. Exclude the last 14 days of the window — those calls have not had time to come back</t>
  </si>
  <si>
    <t xml:space="preserve">Lens → cause → repeat pairs → calls</t>
  </si>
  <si>
    <t xml:space="preserve">COMMERCIAL</t>
  </si>
  <si>
    <t xml:space="preserve">What are customers trying to buy that we are not selling them?</t>
  </si>
  <si>
    <t xml:space="preserve">Fourteen employers asked about products they do not hold, covering N employees. None of it reached anyone in sales.</t>
  </si>
  <si>
    <t xml:space="preserve">intent = expansion, verbatim, with the routed flag</t>
  </si>
  <si>
    <t xml:space="preserve">18 calls</t>
  </si>
  <si>
    <t xml:space="preserve">Adam / Sales</t>
  </si>
  <si>
    <t xml:space="preserve">A routing rule that sends expansion intent to account management the same day</t>
  </si>
  <si>
    <t xml:space="preserve">Sufficient. The routed flag is the finding — in the current service model it is never routed</t>
  </si>
  <si>
    <t xml:space="preserve">Lens → intent → employer → quoted turn</t>
  </si>
  <si>
    <t xml:space="preserve">Who is telling us they are leaving, and are we hearing it?</t>
  </si>
  <si>
    <t xml:space="preserve">Fourteen employers used explicit exit or market-test language. In most cases the call ended with a note on the account.</t>
  </si>
  <si>
    <t xml:space="preserve">intent = market_test or cancellation, verbatim, against escalation.handled</t>
  </si>
  <si>
    <t xml:space="preserve">14 calls</t>
  </si>
  <si>
    <t xml:space="preserve">Treat exit language as an escalation trigger, not a sentiment tag</t>
  </si>
  <si>
    <t xml:space="preserve">Sufficient to name a list, not to quote a rate</t>
  </si>
  <si>
    <t xml:space="preserve">Lens → intent → account → calls</t>
  </si>
  <si>
    <t xml:space="preserve">PRODUCT</t>
  </si>
  <si>
    <t xml:space="preserve">Which benefits exist on paper but cannot be used in practice?</t>
  </si>
  <si>
    <t xml:space="preserve">Chiropractic is unusable for employees outside California, because Landmark's insured plans are California-only and there is no out-of-network payment at all.</t>
  </si>
  <si>
    <t xml:space="preserve">network_adequacy signals joined to employer region and workforce distribution</t>
  </si>
  <si>
    <t xml:space="preserve">Employers with out-of-state staff</t>
  </si>
  <si>
    <t xml:space="preserve">Product / Network Management</t>
  </si>
  <si>
    <t xml:space="preserve">A census-versus-network check at quotation, and plain-language geographic limits in the employer confirmation</t>
  </si>
  <si>
    <t xml:space="preserve">Sufficient to name the pattern. Rule C-28 and C-29 make it factual rather than anecdotal</t>
  </si>
  <si>
    <t xml:space="preserve">Lens → line → employer → calls</t>
  </si>
  <si>
    <t xml:space="preserve">Where do customers discover a limitation only after they have bought?</t>
  </si>
  <si>
    <t xml:space="preserve">Employers are learning about participation minimums, network geography and takeover credit after the sale rather than during it.</t>
  </si>
  <si>
    <t xml:space="preserve">member_communication_gap and knowledge_error signals with touchpoint = enrolment_meeting or renewal_pack</t>
  </si>
  <si>
    <t xml:space="preserve">Varies by rule</t>
  </si>
  <si>
    <t xml:space="preserve">Product / Marketing</t>
  </si>
  <si>
    <t xml:space="preserve">Move the disclosure earlier in the journey</t>
  </si>
  <si>
    <t xml:space="preserve">Sufficient by touchpoint, thin by individual rule</t>
  </si>
  <si>
    <t xml:space="preserve">Lens → touchpoint → rule → calls</t>
  </si>
  <si>
    <t xml:space="preserve">RISK</t>
  </si>
  <si>
    <t xml:space="preserve">What is dangerous even when the service looked fine?</t>
  </si>
  <si>
    <t xml:space="preserve">N calls were answered with no recording disclosure. In M more, plan or claim detail was given before we confirmed who we were speaking to — and those calls were resolved and the members were satisfied.</t>
  </si>
  <si>
    <t xml:space="preserve">control_exceptions by type, shown against outcome</t>
  </si>
  <si>
    <t xml:space="preserve">22 and 30 calls</t>
  </si>
  <si>
    <t xml:space="preserve">Adam (Compliance)</t>
  </si>
  <si>
    <t xml:space="preserve">Scripted greeting check and a verification gate, both monitored</t>
  </si>
  <si>
    <t xml:space="preserve">Sufficient once verification is raised to 30. This is the clearest case that service metrics and risk metrics must be separate</t>
  </si>
  <si>
    <t xml:space="preserve">Lens → exception type → calls → opening turns</t>
  </si>
  <si>
    <t xml:space="preserve">Which obligations sit with us and which sit with the employer?</t>
  </si>
  <si>
    <t xml:space="preserve">Federal COBRA notification is solely the employer's duty; Cal-COBRA notification is ours. Employers are conflating the two, and the letter we send is not the notice they think it is.</t>
  </si>
  <si>
    <t xml:space="preserve">Calls tagged touchpoint = cobra_notice against rules A-34 and A-38</t>
  </si>
  <si>
    <t xml:space="preserve">Varies</t>
  </si>
  <si>
    <t xml:space="preserve">Clarify in the employer communication which notice is which</t>
  </si>
  <si>
    <t xml:space="preserve">Thin at 360 — name the pattern, do not quote a rate</t>
  </si>
  <si>
    <t xml:space="preserve">Lens → touchpoint → calls</t>
  </si>
  <si>
    <t xml:space="preserve">ORGANIZATION</t>
  </si>
  <si>
    <t xml:space="preserve">What does this organisation repeatedly fail to explain?</t>
  </si>
  <si>
    <t xml:space="preserve">One rule accounts for most of our knowledge failures: the employer-elected new-hire waiting period being confused with the carrier's twelve-month waiting period on major services. It traces to one page.</t>
  </si>
  <si>
    <t xml:space="preserve">knowledge_failure grouped by rule_id and touchpoint</t>
  </si>
  <si>
    <t xml:space="preserve">~16 calls on the top rule</t>
  </si>
  <si>
    <t xml:space="preserve">Adam (Knowledge Management)</t>
  </si>
  <si>
    <t xml:space="preserve">Rewrite the article. A day's work with evidence attached</t>
  </si>
  <si>
    <t xml:space="preserve">Enough to name the count and the rule, not to quote a rate</t>
  </si>
  <si>
    <t xml:space="preserve">Lens → rule → touchpoint → calls</t>
  </si>
  <si>
    <t xml:space="preserve">What improvements are our own people proposing, and is anyone acting on them?</t>
  </si>
  <si>
    <t xml:space="preserve">Agents proposed N specific process changes inside calls this quarter. All N are currently unvalidated.</t>
  </si>
  <si>
    <t xml:space="preserve">process_gap tags grouped by touchpoint and proposed_change, with status</t>
  </si>
  <si>
    <t xml:space="preserve">Process owner by touchpoint</t>
  </si>
  <si>
    <t xml:space="preserve">Validate, action or reject each. The lifecycle status is the metric</t>
  </si>
  <si>
    <t xml:space="preserve">New in v8. Sufficiency depends on tagging rate — measure it before quoting it</t>
  </si>
  <si>
    <t xml:space="preserve">Lens → touchpoint → proposal → calls</t>
  </si>
  <si>
    <t xml:space="preserve">Which brokers are underserving their clients, including the ones we cannot see today?</t>
  </si>
  <si>
    <t xml:space="preserve">Three brokers sit far above the channel median on complaints per client. All three have fewer than six clients — which is precisely why nobody has noticed them.</t>
  </si>
  <si>
    <t xml:space="preserve">Named-aloud broker attribution divided by groups in book, against the channel median</t>
  </si>
  <si>
    <t xml:space="preserve">4–6 calls per broker</t>
  </si>
  <si>
    <t xml:space="preserve">Rebekah / Broker Relations</t>
  </si>
  <si>
    <t xml:space="preserve">A conversation with three agencies, and a rate-based watchlist rather than a volume one</t>
  </si>
  <si>
    <t xml:space="preserve">Enough to name three. Not enough for a precise rate — say 'well above average', not '8.5 times'</t>
  </si>
  <si>
    <t xml:space="preserve">Lens → broker → groups → calls</t>
  </si>
  <si>
    <t xml:space="preserve">'25% of calls last week were repeats' — at 30 calls a week that is about seven calls and says nothing; entry 9 replaces it. 'Half of last week's unresolved calls were billing' — that is two calls; the resolution-rate-by-category view replaces it. Both were right in shape and wrong in window. The fix is the timeframe, not the sample.</t>
  </si>
  <si>
    <t xml:space="preserve">Questions worth asking — trigger rules</t>
  </si>
  <si>
    <t xml:space="preserve">The platform should not only answer questions that were asked; it should notice when the evidence has become unusual and propose the question worth asking next. This sheet is that capability, written honestly as a rules engine with explicit thresholds rather than presented as emergent insight. Every trigger is a stated condition with a stated number, and the reason for each threshold is recorded so it can be argued with and tuned. That transparency is the point: a rules file someone can read and change is defensible, whereas a dashboard that implies intuition it does not have will not survive the first person who asks how it works.</t>
  </si>
  <si>
    <t xml:space="preserve">Trigger rule (explicit)</t>
  </si>
  <si>
    <t xml:space="preserve">Question surfaced</t>
  </si>
  <si>
    <t xml:space="preserve">What answering it requires</t>
  </si>
  <si>
    <t xml:space="preserve">Why the threshold sits here</t>
  </si>
  <si>
    <t xml:space="preserve">≥4 employers raise the same signal type at the same touchpoint within a rolling 4 weeks</t>
  </si>
  <si>
    <t xml:space="preserve">Is this a common process defect rather than four unrelated incidents?</t>
  </si>
  <si>
    <t xml:space="preserve">Group the calls by touchpoint and defect, and check whether they share a carrier, a region or a broker</t>
  </si>
  <si>
    <t xml:space="preserve">Four is the point at which coincidence becomes unlikely at this volume, and it is the smallest number that can be broken down one level further and still show a pattern</t>
  </si>
  <si>
    <t xml:space="preserve">≥3 calls name the same broker adversely within a rolling 12 weeks, from ≥2 different employers</t>
  </si>
  <si>
    <t xml:space="preserve">Is this isolated to one unhappy client or systemic across this broker's book?</t>
  </si>
  <si>
    <t xml:space="preserve">Pull the broker's groups from the Broker Master and check how many of their book appear at all</t>
  </si>
  <si>
    <t xml:space="preserve">Two employers rules out a single disgruntled client. Three calls is the minimum that can distinguish a pattern from a bad week</t>
  </si>
  <si>
    <t xml:space="preserve">A product line's contact rate per 1,000 enrolled exceeds 2× the corpus median</t>
  </si>
  <si>
    <t xml:space="preserve">Is the service burden concentrated in a particular employer type or plan configuration?</t>
  </si>
  <si>
    <t xml:space="preserve">Break the line's calls down by employer size, industry and plan design</t>
  </si>
  <si>
    <t xml:space="preserve">2× is where the difference stops being explainable by enrolment mix alone</t>
  </si>
  <si>
    <t xml:space="preserve">An employer's complaint rate rises for 2 consecutive 4-week windows AND their renewal falls within 90 days</t>
  </si>
  <si>
    <t xml:space="preserve">Should this account be moved to active retention before the renewal pack goes out?</t>
  </si>
  <si>
    <t xml:space="preserve">Open the account's calls in date order and read what changed between the two windows</t>
  </si>
  <si>
    <t xml:space="preserve">Two consecutive windows filters noise. 90 days is the point at which intervention is still possible</t>
  </si>
  <si>
    <t xml:space="preserve">≥5 calls in a rolling 4 weeks cite the same rule_id in a knowledge_failure</t>
  </si>
  <si>
    <t xml:space="preserve">Is this a training problem, a process problem, or an information-design problem?</t>
  </si>
  <si>
    <t xml:space="preserve">Check whether the failures cluster on one agent (training), one touchpoint (information design) or across both (process)</t>
  </si>
  <si>
    <t xml:space="preserve">Five separates a rule people get wrong from a person who got it wrong</t>
  </si>
  <si>
    <t xml:space="preserve">≥3 calls propose the same process_gap at the same touchpoint</t>
  </si>
  <si>
    <t xml:space="preserve">Should this document or screen be rewritten, and what would it save?</t>
  </si>
  <si>
    <t xml:space="preserve">Aggregate the proposals, attach the call minutes consumed, and route to the touchpoint owner</t>
  </si>
  <si>
    <t xml:space="preserve">Three independent people proposing the same change is stronger evidence than any single articulate one</t>
  </si>
  <si>
    <t xml:space="preserve">Escalation refusal rate exceeds 40% in a rolling 12 weeks</t>
  </si>
  <si>
    <t xml:space="preserve">Do our agents have a route to escalate, or have we asked them to hold a line they cannot hold?</t>
  </si>
  <si>
    <t xml:space="preserve">Check refusals by trigger type — a refusal on retention risk means something different from one on a billing limit</t>
  </si>
  <si>
    <t xml:space="preserve">40% is the point at which the cause is more likely structural than individual</t>
  </si>
  <si>
    <t xml:space="preserve">An employer generates ≥2 calls with unrouted expansion intent in a rolling 12 weeks</t>
  </si>
  <si>
    <t xml:space="preserve">Why has an account asking to buy more not reached anyone who can sell to them?</t>
  </si>
  <si>
    <t xml:space="preserve">Open both calls and check whether the same line was asked about twice</t>
  </si>
  <si>
    <t xml:space="preserve">Twice is intent. Once is a question</t>
  </si>
  <si>
    <t xml:space="preserve">A control exception type occurs on ≥3 calls handled by the same agent in a rolling 4 weeks</t>
  </si>
  <si>
    <t xml:space="preserve">Is this an individual habit or a gap in what we told everybody?</t>
  </si>
  <si>
    <t xml:space="preserve">Compare that agent's rate to the cohort rate for the same exception type</t>
  </si>
  <si>
    <t xml:space="preserve">Three from one agent in four weeks is a habit; below that it is chance</t>
  </si>
  <si>
    <t xml:space="preserve">A group's payment or participation position changes AND a complaint is logged within the same 4 weeks</t>
  </si>
  <si>
    <t xml:space="preserve">Are the conversation and the account record telling the same story?</t>
  </si>
  <si>
    <t xml:space="preserve">This requires the transactional join that is currently out of scope — the rule is defined and dormant</t>
  </si>
  <si>
    <t xml:space="preserve">Recorded here deliberately so the capability is designed for, even though the data is parked</t>
  </si>
  <si>
    <t xml:space="preserve">Discipline</t>
  </si>
  <si>
    <t xml:space="preserve">A surfaced question must be answerable by the platform within two clicks, or it should not be surfaced. Thresholds are configuration, not code, and every threshold change is versioned like a rubric change. Trigger 10 is included while dormant so that the model does not have to be redesigned when the transactional data arrives.</t>
  </si>
  <si>
    <t xml:space="preserve">Program layer — what a group may buy</t>
  </si>
  <si>
    <t xml:space="preserve">Set by ChoiceBuilder and sourced from the Program Guidelines, the Underwriting Guidelines and the Employer Application. These rules decide what an employer is permitted to buy, who is eligible for it, what they must contribute and what participation they must maintain, and they govern most employer conversations at sale and at renewal. Every row carries its source document and a confidence value. Nothing marked UNVERIFIED — shaded amber — may be used to assert that an agent gave wrong information or that a member was misinformed; it may only be used to shape a question. Tagging a knowledge failure against a rule that turns out not to exist is worse than not tagging it at all.</t>
  </si>
  <si>
    <t xml:space="preserve">Rule ID</t>
  </si>
  <si>
    <t xml:space="preserve">Area</t>
  </si>
  <si>
    <t xml:space="preserve">Rule</t>
  </si>
  <si>
    <t xml:space="preserve">Commonly confused with</t>
  </si>
  <si>
    <t xml:space="preserve">Source</t>
  </si>
  <si>
    <t xml:space="preserve">Confidence</t>
  </si>
  <si>
    <t xml:space="preserve">P-01</t>
  </si>
  <si>
    <t xml:space="preserve">Group eligibility</t>
  </si>
  <si>
    <t xml:space="preserve">Group size 2–500 eligible employees.</t>
  </si>
  <si>
    <t xml:space="preserve">ChoiceBuilder being small-group only.</t>
  </si>
  <si>
    <t xml:space="preserve">Program Guidelines</t>
  </si>
  <si>
    <t xml:space="preserve">VERIFIED</t>
  </si>
  <si>
    <t xml:space="preserve">P-02</t>
  </si>
  <si>
    <t xml:space="preserve">The group's home office must be domiciled in California. The address cannot be a PO Box.</t>
  </si>
  <si>
    <t xml:space="preserve">Employees needing to be in California.</t>
  </si>
  <si>
    <t xml:space="preserve">Program Guidelines; Underwriting Guidelines</t>
  </si>
  <si>
    <t xml:space="preserve">P-03</t>
  </si>
  <si>
    <t xml:space="preserve">Valid federal tax ID (not an SSN), matching the group applying, and a company business checking account.</t>
  </si>
  <si>
    <t xml:space="preserve">Sole proprietors being ineligible.</t>
  </si>
  <si>
    <t xml:space="preserve">P-04</t>
  </si>
  <si>
    <t xml:space="preserve">PEO sub-groups are eligible. A company leasing out workers may enrol only its core staff — leased-out workers are not eligible through the leasing company, which must itself have a California office.</t>
  </si>
  <si>
    <t xml:space="preserve">All workers on a leasing company's books being eligible.</t>
  </si>
  <si>
    <t xml:space="preserve">P-05</t>
  </si>
  <si>
    <t xml:space="preserve">Owners and partners are eligible to enrol as employees.</t>
  </si>
  <si>
    <t xml:space="preserve">Owners being excluded as non-employees.</t>
  </si>
  <si>
    <t xml:space="preserve">Underwriting Guidelines</t>
  </si>
  <si>
    <t xml:space="preserve">P-06</t>
  </si>
  <si>
    <t xml:space="preserve">Employee eligibility</t>
  </si>
  <si>
    <t xml:space="preserve">Four conditions must all be met and kept: meet the employer's waiting period; be actively working the hours the employer requires; be a permanent employee not eligible for union-offered coverage; and be paid salary or hourly, not 1099 or commission.</t>
  </si>
  <si>
    <t xml:space="preserve">Any worker on the payroll qualifying.</t>
  </si>
  <si>
    <t xml:space="preserve">Employer Admin Guide, Coverage Eligibility Requirements</t>
  </si>
  <si>
    <t xml:space="preserve">P-07</t>
  </si>
  <si>
    <t xml:space="preserve">The employee must live or work in the plan's service area.</t>
  </si>
  <si>
    <t xml:space="preserve">Nationwide availability.</t>
  </si>
  <si>
    <t xml:space="preserve">P-08</t>
  </si>
  <si>
    <t xml:space="preserve">Minimum working hours for eligibility is a group election — 20+ or 30+ hours per week in California — and can only be changed at renewal.</t>
  </si>
  <si>
    <t xml:space="preserve">A fixed 30-hour or 40-hour rule.</t>
  </si>
  <si>
    <t xml:space="preserve">Employer Admin Guide, Change in Group Policy</t>
  </si>
  <si>
    <t xml:space="preserve">P-09</t>
  </si>
  <si>
    <t xml:space="preserve">Plan selection</t>
  </si>
  <si>
    <t xml:space="preserve">Dental is mandatory. An employer must offer dental to enrol with ChoiceBuilder, and must offer one PPO carrier alongside the DeltaCare USA DHMO. Only ONE PPO carrier may be chosen.</t>
  </si>
  <si>
    <t xml:space="preserve">Vision-only or chiro-only groups, which do not exist.</t>
  </si>
  <si>
    <t xml:space="preserve">Underwriting Guidelines; Program Guidelines</t>
  </si>
  <si>
    <t xml:space="preserve">P-10</t>
  </si>
  <si>
    <t xml:space="preserve">One vision carrier and one life carrier per group. All family members must select the same carrier and the same benefit design.</t>
  </si>
  <si>
    <t xml:space="preserve">Employee-level or family-member-level carrier choice.</t>
  </si>
  <si>
    <t xml:space="preserve">Program Guidelines; Employer Admin Guide FAQs</t>
  </si>
  <si>
    <t xml:space="preserve">P-11</t>
  </si>
  <si>
    <t xml:space="preserve">Effective dates</t>
  </si>
  <si>
    <t xml:space="preserve">First of the month only. Employers may apply up to 60 days in advance; the rate in force at the effective date applies. The group may not change its effective date after approval.</t>
  </si>
  <si>
    <t xml:space="preserve">The quoted rate being locked at application.</t>
  </si>
  <si>
    <t xml:space="preserve">P-12</t>
  </si>
  <si>
    <t xml:space="preserve">Employees must be hired on or before the group effective date to be eligible at initial enrolment.</t>
  </si>
  <si>
    <t xml:space="preserve">Later hires joining the initial enrolment.</t>
  </si>
  <si>
    <t xml:space="preserve">P-13</t>
  </si>
  <si>
    <t xml:space="preserve">Rates</t>
  </si>
  <si>
    <t xml:space="preserve">12-month rate guarantee.</t>
  </si>
  <si>
    <t xml:space="preserve">Rates being fixed indefinitely.</t>
  </si>
  <si>
    <t xml:space="preserve">P-14</t>
  </si>
  <si>
    <t xml:space="preserve">Waiting period</t>
  </si>
  <si>
    <t xml:space="preserve">Elected by the employer from date of hire, 30, 60, 90, 180 or 365 days. Coverage begins the FIRST DAY OF THE MONTH FOLLOWING completion. Applies to all employees. May be waived at initial group enrolment. Changeable at renewal only, within 30 days of the anniversary.</t>
  </si>
  <si>
    <t xml:space="preserve">Carrier waiting periods on major services (C-12), which are a different rule with a different owner.</t>
  </si>
  <si>
    <t xml:space="preserve">Program Guidelines; Employer Admin Guide</t>
  </si>
  <si>
    <t xml:space="preserve">P-15</t>
  </si>
  <si>
    <t xml:space="preserve">Contribution</t>
  </si>
  <si>
    <t xml:space="preserve">Employer-sponsored dental and vision: minimum 50% of the lowest cost benefit design for each employee. Changeable at renewal only. If raised to 100%, 100% participation is required other than employees waiving for other group coverage.</t>
  </si>
  <si>
    <t xml:space="preserve">50% of the employee's chosen design.</t>
  </si>
  <si>
    <t xml:space="preserve">P-16</t>
  </si>
  <si>
    <t xml:space="preserve">Chiropractic/acupuncture and life must be 100% employer-paid.</t>
  </si>
  <si>
    <t xml:space="preserve">These being available employee-paid.</t>
  </si>
  <si>
    <t xml:space="preserve">P-17</t>
  </si>
  <si>
    <t xml:space="preserve">Dependent contribution, if any, is at the employer's discretion.</t>
  </si>
  <si>
    <t xml:space="preserve">A mandated dependent contribution.</t>
  </si>
  <si>
    <t xml:space="preserve">P-18</t>
  </si>
  <si>
    <t xml:space="preserve">Participation</t>
  </si>
  <si>
    <t xml:space="preserve">Employer-sponsored dental: minimum 2 enrolled AND 70% participation.</t>
  </si>
  <si>
    <t xml:space="preserve">The voluntary headcount minimums.</t>
  </si>
  <si>
    <t xml:space="preserve">P-19</t>
  </si>
  <si>
    <t xml:space="preserve">Employer-sponsored vision: minimum 2 enrolled AND 70% participation.</t>
  </si>
  <si>
    <t xml:space="preserve">Voluntary vision, which has no minimum.</t>
  </si>
  <si>
    <t xml:space="preserve">P-20</t>
  </si>
  <si>
    <t xml:space="preserve">Employer-sponsored chiropractic/acupuncture: 100% participation, 100% employer-paid.</t>
  </si>
  <si>
    <t xml:space="preserve">A percentage minimum.</t>
  </si>
  <si>
    <t xml:space="preserve">P-21</t>
  </si>
  <si>
    <t xml:space="preserve">Life/AD&amp;D is employer-sponsored ONLY, 100% participation, 100% employer-paid. There is no voluntary or employee-elected life.</t>
  </si>
  <si>
    <t xml:space="preserve">Voluntary life with employee elections.</t>
  </si>
  <si>
    <t xml:space="preserve">Program Guidelines Step 4</t>
  </si>
  <si>
    <t xml:space="preserve">P-22</t>
  </si>
  <si>
    <t xml:space="preserve">When employer-sponsored life is offered, ALL employees eligible for dental must enrol in life, even if they do not enrol in dental. An Enrollment Form is required for each.</t>
  </si>
  <si>
    <t xml:space="preserve">Life following dental enrolment.</t>
  </si>
  <si>
    <t xml:space="preserve">Employer Admin Guide, New Hires</t>
  </si>
  <si>
    <t xml:space="preserve">P-23</t>
  </si>
  <si>
    <t xml:space="preserve">Voluntary dental, groups 10–500: Anthem 5 eligible / 2 enrolled; all other dental 10 eligible / 5 enrolled.</t>
  </si>
  <si>
    <t xml:space="preserve">P-24</t>
  </si>
  <si>
    <t xml:space="preserve">Voluntary dental, groups 2–9: Anthem 5 eligible / 2 enrolled; MetLife 2 eligible / 2 enrolled.</t>
  </si>
  <si>
    <t xml:space="preserve">The 10–500 thresholds.</t>
  </si>
  <si>
    <t xml:space="preserve">P-25</t>
  </si>
  <si>
    <t xml:space="preserve">Voluntary vision: NO minimum participation requirement.</t>
  </si>
  <si>
    <t xml:space="preserve">The 70% employer-sponsored rule.</t>
  </si>
  <si>
    <t xml:space="preserve">Program Guidelines Step 2</t>
  </si>
  <si>
    <t xml:space="preserve">P-26</t>
  </si>
  <si>
    <t xml:space="preserve">Voluntary chiropractic/acupuncture: NO minimum participation requirement.</t>
  </si>
  <si>
    <t xml:space="preserve">The 100% employer-sponsored rule.</t>
  </si>
  <si>
    <t xml:space="preserve">Program Guidelines Step 3</t>
  </si>
  <si>
    <t xml:space="preserve">P-27</t>
  </si>
  <si>
    <t xml:space="preserve">There are no participation requirements between carriers.</t>
  </si>
  <si>
    <t xml:space="preserve">Take-up on one carrier affecting another.</t>
  </si>
  <si>
    <t xml:space="preserve">choicebuilder / mycalchoice employer page</t>
  </si>
  <si>
    <t xml:space="preserve">VERIFIED (SECONDARY)</t>
  </si>
  <si>
    <t xml:space="preserve">P-28</t>
  </si>
  <si>
    <t xml:space="preserve">Orthodontia</t>
  </si>
  <si>
    <t xml:space="preserve">Availability is gated by carrier and group size: Ameritas 5+ eligible; Anthem 10+ eligible (employer-sponsored only); Delta 10+ enrolled on PPO (sponsored) or 25+ eligible (voluntary); MetLife 10+ eligible with 5+ enrolled.</t>
  </si>
  <si>
    <t xml:space="preserve">Ortho being universally available subject only to a wait.</t>
  </si>
  <si>
    <t xml:space="preserve">P-29</t>
  </si>
  <si>
    <t xml:space="preserve">Takeover credit</t>
  </si>
  <si>
    <t xml:space="preserve">Available at initial enrolment ONLY. The 12-month waiting period for major services and/or ortho is waived on proof of 12 consecutive months of prior coverage — no partial credit. Ortho takeover requires a bill from the 12 months before the ChoiceBuilder effective date showing ortho coverage. MetLife ortho takeover is automatic for groups with prior coverage.</t>
  </si>
  <si>
    <t xml:space="preserve">The waiting period being unconditional, or credit being available later.</t>
  </si>
  <si>
    <t xml:space="preserve">Underwriting Guidelines; Employer Application CB0210A</t>
  </si>
  <si>
    <t xml:space="preserve">P-30</t>
  </si>
  <si>
    <t xml:space="preserve">Waivers</t>
  </si>
  <si>
    <t xml:space="preserve">Employees waiving dental or vision must complete the waiver portion of the Enrollment Form. Under Knox-Keene s.1357(d)(4)(A) the employer must retain the written waiver. If the employee later seeks coverage and no waiver was obtained, the EMPLOYER may be liable for the cost of healthcare services the employee incurs.</t>
  </si>
  <si>
    <t xml:space="preserve">A verbal decline being sufficient.</t>
  </si>
  <si>
    <t xml:space="preserve">Employees cannot waive coverage where the employer contributes 100%, unless the waiver is due to other group coverage.</t>
  </si>
  <si>
    <t xml:space="preserve">Waiver being always available.</t>
  </si>
  <si>
    <t xml:space="preserve">Employer Application CB0210A</t>
  </si>
  <si>
    <t xml:space="preserve">P-32</t>
  </si>
  <si>
    <t xml:space="preserve">Husband-and-wife groups: if both are enrolling, whether together or separately, waiver forms are not required. If enrolling separately, two fully completed applications are required.</t>
  </si>
  <si>
    <t xml:space="preserve">One application covering both.</t>
  </si>
  <si>
    <t xml:space="preserve">P-33</t>
  </si>
  <si>
    <t xml:space="preserve">Billing</t>
  </si>
  <si>
    <t xml:space="preserve">Monthly administration fee banded by headcount: $25 (2–8), $30 (9–20), $35 (21–199), $50 (200+). Based on employees enrolled in any coverage at the time of invoicing, so it is subject to change monthly. ChoiceBuilder is additionally remunerated by the carriers from premium.</t>
  </si>
  <si>
    <t xml:space="preserve">A flat or per-employee fee.</t>
  </si>
  <si>
    <t xml:space="preserve">P-34</t>
  </si>
  <si>
    <t xml:space="preserve">Submission</t>
  </si>
  <si>
    <t xml:space="preserve">Group submission requires the Employer Application, employee Enrollment Forms and/or waivers, and a company check for the first month's premium.</t>
  </si>
  <si>
    <t xml:space="preserve">Application alone completing submission.</t>
  </si>
  <si>
    <t xml:space="preserve">Program Guidelines Step 6</t>
  </si>
  <si>
    <t xml:space="preserve">P-35</t>
  </si>
  <si>
    <t xml:space="preserve">Employees enrol on the Universal Employee Enrollment Form — one form across all lines. An application is required from every employee enrolling in dental, chiro, life or vision.</t>
  </si>
  <si>
    <t xml:space="preserve">Separate carrier forms.</t>
  </si>
  <si>
    <t xml:space="preserve">Program Guidelines Step 5; Underwriting Guidelines</t>
  </si>
  <si>
    <t xml:space="preserve">P-36</t>
  </si>
  <si>
    <t xml:space="preserve">Renewal</t>
  </si>
  <si>
    <t xml:space="preserve">ChoiceBuilder reserves the right to non-renew or adjust premium if contributory status or participation percentages change.</t>
  </si>
  <si>
    <t xml:space="preserve">Changes taking effect only at the employer's election.</t>
  </si>
  <si>
    <t xml:space="preserve">P-37</t>
  </si>
  <si>
    <t xml:space="preserve">Contracts</t>
  </si>
  <si>
    <t xml:space="preserve">Contracts (Group Service Agreement and/or Master Policy) are held by the ChoiceBuilder Welfare Benefit Insurance Master Trust and are downloadable by the group from the Forms tab after login.</t>
  </si>
  <si>
    <t xml:space="preserve">The employer holding the policy directly.</t>
  </si>
  <si>
    <t xml:space="preserve">Employer Admin Guide, Welcome</t>
  </si>
  <si>
    <t xml:space="preserve">Administration layer — what happens after the sale</t>
  </si>
  <si>
    <t xml:space="preserve">Sourced almost entirely from the ChoiceBuilder Employer Administrative Guide, which we found late and which turned out to be the most complete single document in the set. These rules govern enrolment, mid-year changes, terminations, dependent eligibility, billing, grace periods, COBRA and Cal-COBRA, and the renewal timeline — in other words, most of what an employer actually calls about. What makes this layer valuable for the platform is that nearly every rule carries a date or a deadline, so an agent is either right or wrong against a published document rather than against an opinion. That makes it the best available material for a knowledge failure metric.</t>
  </si>
  <si>
    <t xml:space="preserve">Call scenarios it generates</t>
  </si>
  <si>
    <t xml:space="preserve">A-01</t>
  </si>
  <si>
    <t xml:space="preserve">New hires</t>
  </si>
  <si>
    <t xml:space="preserve">New employees and dependents are eligible the first day of the month following completion of the group's waiting period.</t>
  </si>
  <si>
    <t xml:space="preserve">The waiting period end date itself being the effective date.</t>
  </si>
  <si>
    <t xml:space="preserve">New hire given the wrong start date; employee hired on the 2nd waiting almost two months.</t>
  </si>
  <si>
    <t xml:space="preserve">Employer Admin Guide</t>
  </si>
  <si>
    <t xml:space="preserve">A-02</t>
  </si>
  <si>
    <t xml:space="preserve">The Enrollment Form must reach ChoiceBuilder no more than 60 days before, and no more than 30 days after, the employee's effective date.</t>
  </si>
  <si>
    <t xml:space="preserve">An open-ended submission window.</t>
  </si>
  <si>
    <t xml:space="preserve">Form submitted on day 45 and rejected.</t>
  </si>
  <si>
    <t xml:space="preserve">A-03</t>
  </si>
  <si>
    <t xml:space="preserve">Military leave</t>
  </si>
  <si>
    <t xml:space="preserve">An employee previously covered before military service may re-enrol without completing the waiting period. The form must arrive within 60 days of return to work with a written request to waive the waiting period.</t>
  </si>
  <si>
    <t xml:space="preserve">The waiting period restarting.</t>
  </si>
  <si>
    <t xml:space="preserve">Returning reservist told to wait 90 days.</t>
  </si>
  <si>
    <t xml:space="preserve">A-04</t>
  </si>
  <si>
    <t xml:space="preserve">Rehires</t>
  </si>
  <si>
    <t xml:space="preserve">A rehire may skip the waiting period if they previously completed it, were previously enrolled, are rehired within six months of losing ChoiceBuilder coverage, and re-enrol in the SAME benefits. Effective first of the month following rehire.</t>
  </si>
  <si>
    <t xml:space="preserve">Any rehire skipping the wait.</t>
  </si>
  <si>
    <t xml:space="preserve">Seasonal worker rehired at seven months and made to wait.</t>
  </si>
  <si>
    <t xml:space="preserve">A-05</t>
  </si>
  <si>
    <t xml:space="preserve">Voluntary termination</t>
  </si>
  <si>
    <t xml:space="preserve">An employee withdrawing coverage takes effect the last day of the month FOLLOWING receipt. It is NOT processed retroactively, and the employee cannot re-enrol until renewal.</t>
  </si>
  <si>
    <t xml:space="preserve">Immediate or backdated cancellation.</t>
  </si>
  <si>
    <t xml:space="preserve">Employee wanting a refund for a month already billed.</t>
  </si>
  <si>
    <t xml:space="preserve">A-06</t>
  </si>
  <si>
    <t xml:space="preserve">Involuntary termination</t>
  </si>
  <si>
    <t xml:space="preserve">Coverage is cancelled at the end of the month following the last day employed, eligible, or date of death. Where a termination or loss of hours falls on the last day of a month, coverage ends that same day.</t>
  </si>
  <si>
    <t xml:space="preserve">Coverage ending on the termination date.</t>
  </si>
  <si>
    <t xml:space="preserve">Leaver surprised they still had cover; employer billed an extra month they expected not to be.</t>
  </si>
  <si>
    <t xml:space="preserve">A-07</t>
  </si>
  <si>
    <t xml:space="preserve">Terminations</t>
  </si>
  <si>
    <t xml:space="preserve">Notification must not be sent before the last day of employment — requests made earlier cannot be processed. The form must be signed by an authorised group contact on file.</t>
  </si>
  <si>
    <t xml:space="preserve">Filing a termination in advance.</t>
  </si>
  <si>
    <t xml:space="preserve">Employer filing early in good faith and the termination silently failing.</t>
  </si>
  <si>
    <t xml:space="preserve">A-08</t>
  </si>
  <si>
    <t xml:space="preserve">Cal-COBRA requires the employer to notify ChoiceBuilder of ALL employee terminations within 30 days of the last day employed.</t>
  </si>
  <si>
    <t xml:space="preserve">A courtesy timescale.</t>
  </si>
  <si>
    <t xml:space="preserve">Late notification creating a Cal-COBRA exposure.</t>
  </si>
  <si>
    <t xml:space="preserve">A-09</t>
  </si>
  <si>
    <t xml:space="preserve">Billing adjustments</t>
  </si>
  <si>
    <t xml:space="preserve">Employers must not self-adjust the statement. Payment must be made in full as billed. ChoiceBuilder credits the premium on the statement FOLLOWING the processing of the termination.</t>
  </si>
  <si>
    <t xml:space="preserve">A corrected invoice arriving immediately.</t>
  </si>
  <si>
    <t xml:space="preserve">High-churn group paying for leavers and chasing credits — the single most common billing complaint.</t>
  </si>
  <si>
    <t xml:space="preserve">A-10</t>
  </si>
  <si>
    <t xml:space="preserve">Billing verification</t>
  </si>
  <si>
    <t xml:space="preserve">The employer is told to check the invoice immediately after a termination request and to call if the employee and premium still appear.</t>
  </si>
  <si>
    <t xml:space="preserve">The system confirming silently.</t>
  </si>
  <si>
    <t xml:space="preserve">The employer who did not check and is six cycles out.</t>
  </si>
  <si>
    <t xml:space="preserve">A-11</t>
  </si>
  <si>
    <t xml:space="preserve">Late enrolment</t>
  </si>
  <si>
    <t xml:space="preserve">Permitted for loss of other coverage beyond the employee's control, exhaustion or dramatic reduction of employer contributions toward other coverage, or a change in family status. The group's waiting period must already be satisfied. Effective first of the month following receipt of all forms and documentation.</t>
  </si>
  <si>
    <t xml:space="preserve">Open enrolment being the only route.</t>
  </si>
  <si>
    <t xml:space="preserve">Employee who waived, then lost a spouse's coverage.</t>
  </si>
  <si>
    <t xml:space="preserve">A-12</t>
  </si>
  <si>
    <t xml:space="preserve">Family status</t>
  </si>
  <si>
    <t xml:space="preserve">Newly acquired dependents must be added within 60 days of the qualifying event.</t>
  </si>
  <si>
    <t xml:space="preserve">A 30-day window.</t>
  </si>
  <si>
    <t xml:space="preserve">Late newborn addition.</t>
  </si>
  <si>
    <t xml:space="preserve">A-13</t>
  </si>
  <si>
    <t xml:space="preserve">Marriage or domestic partnership: documentation received before the 16th of the month means full-month premium and coverage from the date of the event. On or after the 16th, coverage begins the 1st of the following month.</t>
  </si>
  <si>
    <t xml:space="preserve">A single effective-date rule.</t>
  </si>
  <si>
    <t xml:space="preserve">Member married on the 14th expecting cover from the 1st.</t>
  </si>
  <si>
    <t xml:space="preserve">A-14</t>
  </si>
  <si>
    <t xml:space="preserve">Birth, adoption, guardianship: if before the 16th, coverage begins the 1st of that month. On or after the 16th, the child is automatically covered at no cost from birth/placement to the 1st of the following month, when coverage begins.</t>
  </si>
  <si>
    <t xml:space="preserve">The child being uncovered until enrolment.</t>
  </si>
  <si>
    <t xml:space="preserve">Parent worried a newborn was uninsured.</t>
  </si>
  <si>
    <t xml:space="preserve">A-15</t>
  </si>
  <si>
    <t xml:space="preserve">Dependents</t>
  </si>
  <si>
    <t xml:space="preserve">Dependent children are eligible to age 26, and coverage ends at the end of the month following the 26th birthday, unless disabled with the disability arising before the age limit.</t>
  </si>
  <si>
    <t xml:space="preserve">Coverage ending on the birthday.</t>
  </si>
  <si>
    <t xml:space="preserve">Age-out discovered after a claim denial.</t>
  </si>
  <si>
    <t xml:space="preserve">Employer Admin Guide; Underwriting Guidelines</t>
  </si>
  <si>
    <t xml:space="preserve">A-16</t>
  </si>
  <si>
    <t xml:space="preserve">An over-age dependent receives a notification letter from ChoiceBuilder roughly 90 days before termination, advising them to contact the Group Plan Administrator about COBRA. The employer is not involved in sending it but should know it happens.</t>
  </si>
  <si>
    <t xml:space="preserve">The employer having to notify.</t>
  </si>
  <si>
    <t xml:space="preserve">Dependent who never received the letter; HR unaware it was sent.</t>
  </si>
  <si>
    <t xml:space="preserve">A-17</t>
  </si>
  <si>
    <t xml:space="preserve">A disabled dependent past the age limit requires a Disabled Dependent Certification form, with verification of disability annually at the child's birthday.</t>
  </si>
  <si>
    <t xml:space="preserve">A one-off certification.</t>
  </si>
  <si>
    <t xml:space="preserve">Annual re-certification missed and coverage lapsing.</t>
  </si>
  <si>
    <t xml:space="preserve">A-18</t>
  </si>
  <si>
    <t xml:space="preserve">Domestic partners require a Declaration of Domestic Partnership filed with the Secretary of State, with a copy to ChoiceBuilder within 60 days of issue. A signed Affidavit is accepted in the interim in California.</t>
  </si>
  <si>
    <t xml:space="preserve">Self-declaration being sufficient.</t>
  </si>
  <si>
    <t xml:space="preserve">Partner enrolled on an affidavit and never followed up.</t>
  </si>
  <si>
    <t xml:space="preserve">A-19</t>
  </si>
  <si>
    <t xml:space="preserve">Dependent termination</t>
  </si>
  <si>
    <t xml:space="preserve">Divorce, annulment, dissolution, termination of domestic partnership, legal separation, a child ceasing to qualify, death of the employee, or Medicare entitlement of the employee. Coverage ends at the end of the month following the event, provided ChoiceBuilder is notified within 60 days. If a divorce is not final and the member cancels, the dependent cannot be reinstated until renewal.</t>
  </si>
  <si>
    <t xml:space="preserve">Reinstatement being available at any time.</t>
  </si>
  <si>
    <t xml:space="preserve">Cancelled-in-anger spouse who cannot be put back.</t>
  </si>
  <si>
    <t xml:space="preserve">A-20</t>
  </si>
  <si>
    <t xml:space="preserve">Mid-year changes</t>
  </si>
  <si>
    <t xml:space="preserve">Enrolment changes during the year are limited to: marriage or domestic partnership; birth, adoption, guardianship or eligible dependent child; court order; moving where current benefits are not offered; involuntary loss of minimum essential coverage; return from military or National Guard duty; release from incarceration; monthly change for Native American status; or other exceptional circumstances subject to ChoiceBuilder approval. 60 days to act.</t>
  </si>
  <si>
    <t xml:space="preserve">Changes being possible at will.</t>
  </si>
  <si>
    <t xml:space="preserve">Employee wanting to switch plan mid-year for convenience.</t>
  </si>
  <si>
    <t xml:space="preserve">A-21</t>
  </si>
  <si>
    <t xml:space="preserve">Carrier change</t>
  </si>
  <si>
    <t xml:space="preserve">A member may change carrier or benefit design only at annual renewal, OR when they move to an area with no providers under their current carrier.</t>
  </si>
  <si>
    <t xml:space="preserve">Free movement between carriers.</t>
  </si>
  <si>
    <t xml:space="preserve">Member relocating within California and stuck on a DHMO with no local dentist.</t>
  </si>
  <si>
    <t xml:space="preserve">Employer Admin Guide FAQs</t>
  </si>
  <si>
    <t xml:space="preserve">A-22</t>
  </si>
  <si>
    <t xml:space="preserve">Group changes</t>
  </si>
  <si>
    <t xml:space="preserve">Timing by change type — Renewal only: contribution, waiting period, working-hours eligibility, chiro plan change, and any move between voluntary and employer-sponsored on dental or vision. Once a year and at renewal: adding chiro, adding life. At any time: address, company name, contact, federal tax ID, Section 125, employer-sponsored vision, and termination of coverage.</t>
  </si>
  <si>
    <t xml:space="preserve">All changes being available at renewal, or none mid-year.</t>
  </si>
  <si>
    <t xml:space="preserve">Employer trying to cut contribution mid-year; employer wanting to drop a line.</t>
  </si>
  <si>
    <t xml:space="preserve">A-23</t>
  </si>
  <si>
    <t xml:space="preserve">Line termination</t>
  </si>
  <si>
    <t xml:space="preserve">A group may terminate a line of coverage at any time, on 30 days' notice, effective no earlier than the first of the month following the request. Written request on employer letterhead naming the last day of coverage and the lines to terminate, signed by an authorised contact.</t>
  </si>
  <si>
    <t xml:space="preserve">Being locked in until the anniversary.</t>
  </si>
  <si>
    <t xml:space="preserve">Employer wanting to drop a line their employees cannot use — this IS possible, contrary to what two transcripts assert.</t>
  </si>
  <si>
    <t xml:space="preserve">A-24</t>
  </si>
  <si>
    <t xml:space="preserve">Voluntary to sponsored</t>
  </si>
  <si>
    <t xml:space="preserve">Moving dental from employer-sponsored to voluntary at renewal requires 5 or more enrolled and a group size of 10 or more eligible. Benefits cannot be accessed until written confirmation of approval is received.</t>
  </si>
  <si>
    <t xml:space="preserve">The change taking effect on request.</t>
  </si>
  <si>
    <t xml:space="preserve">Employer who told staff the change was done.</t>
  </si>
  <si>
    <t xml:space="preserve">A-25</t>
  </si>
  <si>
    <t xml:space="preserve">Life changes</t>
  </si>
  <si>
    <t xml:space="preserve">Adding or changing life requires the form by the 25th of the month before the requested effective date, Enrollment Forms for all eligible employees, a reconciled quarterly or annual wage report if requested, and a completed statement of health for all eligible employees if the amount requested is above guaranteed issue.</t>
  </si>
  <si>
    <t xml:space="preserve">An individual member underwriting decision.</t>
  </si>
  <si>
    <t xml:space="preserve">Employer raising the benefit and triggering underwriting for everyone.</t>
  </si>
  <si>
    <t xml:space="preserve">A-26</t>
  </si>
  <si>
    <t xml:space="preserve">Section 125</t>
  </si>
  <si>
    <t xml:space="preserve">A Section 125 Premium Only Plan can be added at any time for a $100 fee, billed on the next invoice.</t>
  </si>
  <si>
    <t xml:space="preserve">It being included.</t>
  </si>
  <si>
    <t xml:space="preserve">Employer surprised by the fee.</t>
  </si>
  <si>
    <t xml:space="preserve">A-27</t>
  </si>
  <si>
    <t xml:space="preserve">Billing cycle</t>
  </si>
  <si>
    <t xml:space="preserve">Statements are produced and mailed by the 1st of each month for the FOLLOWING month's coverage. Payment is due on the 20th of the month before the coverage month. All payments apply to the oldest open balance first.</t>
  </si>
  <si>
    <t xml:space="preserve">Billing in arrears.</t>
  </si>
  <si>
    <t xml:space="preserve">Employer treating the invoice as a bill for the month just ended.</t>
  </si>
  <si>
    <t xml:space="preserve">Employer Admin Guide, Billing and FAQs</t>
  </si>
  <si>
    <t xml:space="preserve">A-28</t>
  </si>
  <si>
    <t xml:space="preserve">Non-payment</t>
  </si>
  <si>
    <t xml:space="preserve">If premium is not received by the 25th, a Notice of Cancellation for Nonpayment and Grace Period is sent, opening a 30-day grace period. If not received by the 14th of the coverage month, a Second Notice follows. If not received by the last day of the coverage month, a Notice Confirming Cancellation is sent on the first business day of the next month. The group is liable for all premium accrued to the last day of coverage. February's 30-day grace period runs to the last day of March.</t>
  </si>
  <si>
    <t xml:space="preserve">An informal grace period.</t>
  </si>
  <si>
    <t xml:space="preserve">Group approaching termination — the strongest available leading indicator of a loss.</t>
  </si>
  <si>
    <t xml:space="preserve">A-29</t>
  </si>
  <si>
    <t xml:space="preserve">Reinstatement</t>
  </si>
  <si>
    <t xml:space="preserve">After termination for non-payment, a written reinstatement request must be submitted within 14 days of the termination effective date. If approved, the full account balance plus fees must be paid by cashier's check or money order.</t>
  </si>
  <si>
    <t xml:space="preserve">Reinstatement on payment alone.</t>
  </si>
  <si>
    <t xml:space="preserve">Group trying to come back at day 20.</t>
  </si>
  <si>
    <t xml:space="preserve">A-30</t>
  </si>
  <si>
    <t xml:space="preserve">Returned payments</t>
  </si>
  <si>
    <t xml:space="preserve">Returned checks must be replaced immediately with a cashier's check or money order — company checks are not accepted. A $25 fee applies. Three or more returned checks in 12 months requires certified funds for a year.</t>
  </si>
  <si>
    <t xml:space="preserve">A single-incident policy.</t>
  </si>
  <si>
    <t xml:space="preserve">Group on certified funds and unaware why.</t>
  </si>
  <si>
    <t xml:space="preserve">A-31</t>
  </si>
  <si>
    <t xml:space="preserve">Payment method</t>
  </si>
  <si>
    <t xml:space="preserve">Payment by check, money order or cashier's check only. Payments post within 24 hours of receipt. New groups: the second month's premium is due by the 1st of the coverage month.</t>
  </si>
  <si>
    <t xml:space="preserve">Card or ACH being available.</t>
  </si>
  <si>
    <t xml:space="preserve">Employer trying to pay by card.</t>
  </si>
  <si>
    <t xml:space="preserve">A-32</t>
  </si>
  <si>
    <t xml:space="preserve">Renewal timeline</t>
  </si>
  <si>
    <t xml:space="preserve">Renewal opens roughly 60 days before the anniversary with the renewal package; the renewal period runs the two months before the anniversary; all Enrollment and Change Request Forms must be received one month before; changes take effect on the anniversary date. Employees who previously waived may enrol at renewal.</t>
  </si>
  <si>
    <t xml:space="preserve">A rolling renewal window.</t>
  </si>
  <si>
    <t xml:space="preserve">Employer who missed the forms deadline.</t>
  </si>
  <si>
    <t xml:space="preserve">Employer Admin Guide, Annual Renewal Timeline</t>
  </si>
  <si>
    <t xml:space="preserve">A-33</t>
  </si>
  <si>
    <t xml:space="preserve">COBRA — federal</t>
  </si>
  <si>
    <t xml:space="preserve">Applies where the group has 20+ employees on at least 50% of typical business days in the preceding calendar year. Full and part-time employees count; part-timers count as fractions. Self-employed, agents, independent contractors and directors are not counted. Controlled groups must be aggregated.</t>
  </si>
  <si>
    <t xml:space="preserve">Cal-COBRA, which applies to smaller groups and works differently.</t>
  </si>
  <si>
    <t xml:space="preserve">Employer at the 19/20 boundary; employer unsure which regime applies.</t>
  </si>
  <si>
    <t xml:space="preserve">Employer Admin Guide, About COBRA</t>
  </si>
  <si>
    <t xml:space="preserve">A-34</t>
  </si>
  <si>
    <t xml:space="preserve">Notification is SOLELY the employer's responsibility and is satisfied if the former member is notified within 14 days of the last day of coverage. ChoiceBuilder separately sends a letter telling the individual to contact the Group Plan Administrator.</t>
  </si>
  <si>
    <t xml:space="preserve">ChoiceBuilder handling federal COBRA notification.</t>
  </si>
  <si>
    <t xml:space="preserve">Employer assuming the letter they saw was the notice — it is not.</t>
  </si>
  <si>
    <t xml:space="preserve">A-35</t>
  </si>
  <si>
    <t xml:space="preserve">COBRA enrollees may only continue their current coverage. Anyone moving to an area where their carrier is unavailable must contact ChoiceBuilder.</t>
  </si>
  <si>
    <t xml:space="preserve">COBRA enrollees choosing a new plan.</t>
  </si>
  <si>
    <t xml:space="preserve">Relocating COBRA enrollee.</t>
  </si>
  <si>
    <t xml:space="preserve">A-36</t>
  </si>
  <si>
    <t xml:space="preserve">COBRA — billing</t>
  </si>
  <si>
    <t xml:space="preserve">COBRA participants are billed on the group's invoice in a separate section after active employees, and the employer is responsible for paying all COBRA premium to ChoiceBuilder. Cancellation produces a retroactive credit on the next invoice if notified within the regulated timeframe.</t>
  </si>
  <si>
    <t xml:space="preserve">COBRA participants being billed directly.</t>
  </si>
  <si>
    <t xml:space="preserve">Employer unaware they are fronting COBRA premium.</t>
  </si>
  <si>
    <t xml:space="preserve">A-37</t>
  </si>
  <si>
    <t xml:space="preserve">Cal-COBRA</t>
  </si>
  <si>
    <t xml:space="preserve">Applies where the group has 2–19 eligible employees on at least 50% of typical business days in the preceding calendar year. Full-time, part-time, self-employed and leased employees all count.</t>
  </si>
  <si>
    <t xml:space="preserve">Federal COBRA thresholds.</t>
  </si>
  <si>
    <t xml:space="preserve">Small group unsure of its obligations.</t>
  </si>
  <si>
    <t xml:space="preserve">Employer Admin Guide, About Cal-COBRA</t>
  </si>
  <si>
    <t xml:space="preserve">A-38</t>
  </si>
  <si>
    <t xml:space="preserve">Unlike federal COBRA, the notification duty sits with the HEALTH PLANS, who have contracted ChoiceBuilder to provide it. On notification of a qualifying event ChoiceBuilder automatically sends an election notice to the last known address by first class mail.</t>
  </si>
  <si>
    <t xml:space="preserve">The employer having to send it.</t>
  </si>
  <si>
    <t xml:space="preserve">Employer duplicating notices, or a member whose address was stale.</t>
  </si>
  <si>
    <t xml:space="preserve">A-39</t>
  </si>
  <si>
    <t xml:space="preserve">The employer must notify ChoiceBuilder of employee address changes within 30 days, and of terminations, deaths and reductions in hours causing loss of coverage within 30 days.</t>
  </si>
  <si>
    <t xml:space="preserve">An annual reconciliation being sufficient.</t>
  </si>
  <si>
    <t xml:space="preserve">Notice sent to a stale address — ChoiceBuilder is expressly not responsible for misdirected notices.</t>
  </si>
  <si>
    <t xml:space="preserve">A-40</t>
  </si>
  <si>
    <t xml:space="preserve">Continuation length</t>
  </si>
  <si>
    <t xml:space="preserve">Qualifying events from 1 January 2003 onward give up to 36 months of Cal-COBRA continuation.</t>
  </si>
  <si>
    <t xml:space="preserve">18 months.</t>
  </si>
  <si>
    <t xml:space="preserve">Member told the wrong duration.</t>
  </si>
  <si>
    <t xml:space="preserve">Employer Admin Guide, Related Laws</t>
  </si>
  <si>
    <t xml:space="preserve">A-41</t>
  </si>
  <si>
    <t xml:space="preserve">Continuation</t>
  </si>
  <si>
    <t xml:space="preserve">If the group's ChoiceBuilder coverage terminates, ALL members including COBRA and Cal-COBRA continuees are terminated.</t>
  </si>
  <si>
    <t xml:space="preserve">Continuees being insulated from the group's termination.</t>
  </si>
  <si>
    <t xml:space="preserve">Group terminating for non-payment and taking its continuees with it.</t>
  </si>
  <si>
    <t xml:space="preserve">A-42</t>
  </si>
  <si>
    <t xml:space="preserve">Domestic partners</t>
  </si>
  <si>
    <t xml:space="preserve">Domestic partners are NOT qualified beneficiaries under federal COBRA and have no separate election right — they may only continue if the employee does. Under Cal-COBRA, following the Insurance Equality Act of 2005, a registered domestic partner has the same election rights as a spouse.</t>
  </si>
  <si>
    <t xml:space="preserve">One rule across both regimes.</t>
  </si>
  <si>
    <t xml:space="preserve">Partner denied continuation; partner wrongly denied under Cal-COBRA.</t>
  </si>
  <si>
    <t xml:space="preserve">A-43</t>
  </si>
  <si>
    <t xml:space="preserve">HIPAA</t>
  </si>
  <si>
    <t xml:space="preserve">A Certificate of Coverage is sent automatically on termination, with further copies on request.</t>
  </si>
  <si>
    <t xml:space="preserve">The employer having to request it.</t>
  </si>
  <si>
    <t xml:space="preserve">Member needing proof of prior coverage for a takeover credit.</t>
  </si>
  <si>
    <t xml:space="preserve">A-44</t>
  </si>
  <si>
    <t xml:space="preserve">Life continuation</t>
  </si>
  <si>
    <t xml:space="preserve">Life coverage may allow disability extensions and policy conversion under the master policy. The EMPLOYER is responsible for the initial notification of these rights.</t>
  </si>
  <si>
    <t xml:space="preserve">ChoiceBuilder or the carrier notifying.</t>
  </si>
  <si>
    <t xml:space="preserve">Bereaved family or disabled employee who was never told — high-consequence, low-volume.</t>
  </si>
  <si>
    <t xml:space="preserve">A-45</t>
  </si>
  <si>
    <t xml:space="preserve">Statement codes</t>
  </si>
  <si>
    <t xml:space="preserve">Invoice change codes: AC add COBRA, AD add dependent, AE add employee, CA change age, CE change enroll date, CI change information, CP change plan, CO correction, NP non-payment, RD/RE/RG reinstate dependent/employee/group, VC life volume change, XC/XD/XE/XG cancel COBRA/dependent/employee/group.</t>
  </si>
  <si>
    <t xml:space="preserve">Codes being internal only — they are on the employer's statement.</t>
  </si>
  <si>
    <t xml:space="preserve">Employer querying a code they do not recognise.</t>
  </si>
  <si>
    <t xml:space="preserve">Employer Admin Guide, Premium Statement</t>
  </si>
  <si>
    <t xml:space="preserve">A-46</t>
  </si>
  <si>
    <t xml:space="preserve">Full-roster billing</t>
  </si>
  <si>
    <t xml:space="preserve">Monthly full-roster reconciliation as an alternative to transactional submission.</t>
  </si>
  <si>
    <t xml:space="preserve">Two transcripts offer this as a remedy.</t>
  </si>
  <si>
    <t xml:space="preserve">No published citation found. The Admin Guide describes only per-employee forms — this may not exist.</t>
  </si>
  <si>
    <t xml:space="preserve">UNVERIFIED</t>
  </si>
  <si>
    <t xml:space="preserve">Carrier layer — what a member actually receives</t>
  </si>
  <si>
    <t xml:space="preserve">Set by the carriers rather than by ChoiceBuilder, and sourced from evidence-of-coverage documents, plan summaries and carrier member material. Waiting periods, annual maximums, frequency limits, network rules, referral requirements and conversion rights all live here, and so does most member confusion. Earlier versions of this workbook had almost none of this layer, which is precisely why member call reasons read thin and generic. One caution on numbers: a rule marked VERIFIED is verified as a rule of that carrier's plan family, but the specific figures — copays, allowances, maximums, visit limits — vary by the design a group selected and live on that group's own benefit summary. A transcript must never quote a figure as fact unless it comes from that group's design.</t>
  </si>
  <si>
    <t xml:space="preserve">Carrier / line</t>
  </si>
  <si>
    <t xml:space="preserve">C-01</t>
  </si>
  <si>
    <t xml:space="preserve">DeltaCare USA — DHMO</t>
  </si>
  <si>
    <t xml:space="preserve">Benefits are payable only through the assigned contract dentist. Out-of-network is not covered except emergencies.</t>
  </si>
  <si>
    <t xml:space="preserve">A PPO, where any dentist can be used at a lower level.</t>
  </si>
  <si>
    <t xml:space="preserve">DeltaCare USA EOC</t>
  </si>
  <si>
    <t xml:space="preserve">C-02</t>
  </si>
  <si>
    <t xml:space="preserve">Specialist care requires a referral from the assigned general dentist AND preauthorization by Delta Dental.</t>
  </si>
  <si>
    <t xml:space="preserve">Self-referral to an in-network specialist.</t>
  </si>
  <si>
    <t xml:space="preserve">C-03</t>
  </si>
  <si>
    <t xml:space="preserve">Dependent children may see a pediatric dentist through age 13 without a referral.</t>
  </si>
  <si>
    <t xml:space="preserve">The adult referral rule applying to children.</t>
  </si>
  <si>
    <t xml:space="preserve">Delta Dental member site</t>
  </si>
  <si>
    <t xml:space="preserve">C-04</t>
  </si>
  <si>
    <t xml:space="preserve">Out-of-area emergency care is covered subject to the plan limit; out-of-area generally means 35+ miles from the assigned dentist.</t>
  </si>
  <si>
    <t xml:space="preserve">Routine care while travelling.</t>
  </si>
  <si>
    <t xml:space="preserve">C-05</t>
  </si>
  <si>
    <t xml:space="preserve">Where no DeltaCare specialist is within the lesser of 35 miles or one hour's commute, the member is authorized to use a PPO, Premier or non-network specialist.</t>
  </si>
  <si>
    <t xml:space="preserve">Out-of-network never being available.</t>
  </si>
  <si>
    <t xml:space="preserve">Delta Dental plan comparison</t>
  </si>
  <si>
    <t xml:space="preserve">C-06</t>
  </si>
  <si>
    <t xml:space="preserve">Each family member MAY choose a different Primary Care Dentist, and may change it by contacting Delta Dental — some restrictions apply.</t>
  </si>
  <si>
    <t xml:space="preserve">All family members sharing one dentist.</t>
  </si>
  <si>
    <t xml:space="preserve">C-07</t>
  </si>
  <si>
    <t xml:space="preserve">Members should not receive bills for care provided or approved by their dental office; if they do, Delta Dental customer service handles it.</t>
  </si>
  <si>
    <t xml:space="preserve">The member owing the balance.</t>
  </si>
  <si>
    <t xml:space="preserve">C-08</t>
  </si>
  <si>
    <t xml:space="preserve">No annual deductible; fixed copayments per procedure. Coordination of benefits does not apply.</t>
  </si>
  <si>
    <t xml:space="preserve">Coinsurance; dual coverage reducing cost.</t>
  </si>
  <si>
    <t xml:space="preserve">DeltaCare USA EOC; Delta plan comparison</t>
  </si>
  <si>
    <t xml:space="preserve">C-09</t>
  </si>
  <si>
    <t xml:space="preserve">California only; the member must live in a served zip code service area.</t>
  </si>
  <si>
    <t xml:space="preserve">National availability.</t>
  </si>
  <si>
    <t xml:space="preserve">Delta Dental plan pages</t>
  </si>
  <si>
    <t xml:space="preserve">C-10</t>
  </si>
  <si>
    <t xml:space="preserve">Frequency limits apply — e.g. bitewing x-rays limited to one series of four films per six months.</t>
  </si>
  <si>
    <t xml:space="preserve">Unlimited preventive care.</t>
  </si>
  <si>
    <t xml:space="preserve">C-11</t>
  </si>
  <si>
    <t xml:space="preserve">If the assigned dentist's contract ends, work already started is completed, and continuity of care may be available on specific request.</t>
  </si>
  <si>
    <t xml:space="preserve">Care ending immediately.</t>
  </si>
  <si>
    <t xml:space="preserve">C-12</t>
  </si>
  <si>
    <t xml:space="preserve">Ameritas — dental PPO</t>
  </si>
  <si>
    <t xml:space="preserve">Major services carry a 12-month waiting period; orthodontia carries a 12-month waiting period. Both apply only to groups without comparable prior coverage (see P-29).</t>
  </si>
  <si>
    <t xml:space="preserve">The employer-elected new-hire waiting period (P-14).</t>
  </si>
  <si>
    <t xml:space="preserve">Ameritas plan summary via CaliforniaChoice</t>
  </si>
  <si>
    <t xml:space="preserve">C-13</t>
  </si>
  <si>
    <t xml:space="preserve">On some designs Type 1 preventive is not deducted from the annual maximum, preserving it for basic and major work.</t>
  </si>
  <si>
    <t xml:space="preserve">Preventive consuming the maximum.</t>
  </si>
  <si>
    <t xml:space="preserve">Ameritas plan summaries</t>
  </si>
  <si>
    <t xml:space="preserve">C-14</t>
  </si>
  <si>
    <t xml:space="preserve">Dental Rewards: using less than a benefit threshold carries additional benefit forward — typically $250, plus $100–150 more for using a network provider.</t>
  </si>
  <si>
    <t xml:space="preserve">A full rollover of unused maximum.</t>
  </si>
  <si>
    <t xml:space="preserve">C-15</t>
  </si>
  <si>
    <t xml:space="preserve">Pretreatment estimates are recommended but not required.</t>
  </si>
  <si>
    <t xml:space="preserve">Preauthorization being mandatory.</t>
  </si>
  <si>
    <t xml:space="preserve">C-16</t>
  </si>
  <si>
    <t xml:space="preserve">Network providers charge 25–50% below regular rates, so network pricing continues to apply beyond the annual maximum.</t>
  </si>
  <si>
    <t xml:space="preserve">No benefit remaining once the maximum is exhausted — the most commonly missed benefit in dental.</t>
  </si>
  <si>
    <t xml:space="preserve">Ameritas / CaliforniaChoice carrier page</t>
  </si>
  <si>
    <t xml:space="preserve">C-17</t>
  </si>
  <si>
    <t xml:space="preserve">MetLife — dental PPO</t>
  </si>
  <si>
    <t xml:space="preserve">In-network reimbursement is the negotiated fee. Out-of-network is the negotiated fee on the Silver plan, and the Usual &amp; Customary fee on Platinum and Platinum-Plus — U&amp;C being the lowest of the dentist's actual charge, their usual charge, or the prevailing charge in the area as determined by MetLife.</t>
  </si>
  <si>
    <t xml:space="preserve">One out-of-network basis across all designs.</t>
  </si>
  <si>
    <t xml:space="preserve">ChoiceBuilder Benefit Summary CB.5234</t>
  </si>
  <si>
    <t xml:space="preserve">C-18</t>
  </si>
  <si>
    <t xml:space="preserve">Benefits paid for preventive services do not count toward the annual maximum; only basic and major do.</t>
  </si>
  <si>
    <t xml:space="preserve">C-19</t>
  </si>
  <si>
    <t xml:space="preserve">Orthodontic takeover credit is automatic for groups with prior coverage, and there are no ortho waiting periods for groups without prior coverage.</t>
  </si>
  <si>
    <t xml:space="preserve">The Ameritas 12-month rule applying to MetLife.</t>
  </si>
  <si>
    <t xml:space="preserve">C-20</t>
  </si>
  <si>
    <t xml:space="preserve">Dental PPO (general)</t>
  </si>
  <si>
    <t xml:space="preserve">No primary care dentist required; any dentist may be used, with richer benefits in network. Each family member may use a different dentist, and a different one each visit. Away from home, benefits are covered at a lower out-of-network amount.</t>
  </si>
  <si>
    <t xml:space="preserve">DHMO restrictions.</t>
  </si>
  <si>
    <t xml:space="preserve">C-21</t>
  </si>
  <si>
    <t xml:space="preserve">Vision (general)</t>
  </si>
  <si>
    <t xml:space="preserve">The plan pays for an eye exam once every 12 months. Any vision provider may be used, with richer benefits and lower cost in network.</t>
  </si>
  <si>
    <t xml:space="preserve">Exams being available more often.</t>
  </si>
  <si>
    <t xml:space="preserve">C-22</t>
  </si>
  <si>
    <t xml:space="preserve">VSP — vision</t>
  </si>
  <si>
    <t xml:space="preserve">The frame allowance is a budget, not a copay — the member pays the balance above it, typically with 20% off the excess.</t>
  </si>
  <si>
    <t xml:space="preserve">A copay covering the whole frame.</t>
  </si>
  <si>
    <t xml:space="preserve">VSP member material</t>
  </si>
  <si>
    <t xml:space="preserve">C-23</t>
  </si>
  <si>
    <t xml:space="preserve">Lens enhancements — progressive, anti-reflective, photochromic, high-index — carry their own copays or are uncovered, and are the most common source of unexpected cost.</t>
  </si>
  <si>
    <t xml:space="preserve">The lens copay covering all lens types.</t>
  </si>
  <si>
    <t xml:space="preserve">VSP plan materials</t>
  </si>
  <si>
    <t xml:space="preserve">C-24</t>
  </si>
  <si>
    <t xml:space="preserve">Glasses OR contacts in a benefit period, not both. Taking contacts can defer the frame benefit. Unused allowance cannot be banked.</t>
  </si>
  <si>
    <t xml:space="preserve">Being able to use both, or carry a balance.</t>
  </si>
  <si>
    <t xml:space="preserve">C-25</t>
  </si>
  <si>
    <t xml:space="preserve">Out-of-network is reimbursed against a Schedule of Allowances and the member files the claim. Medical eye conditions are billed to the medical plan, not the vision plan.</t>
  </si>
  <si>
    <t xml:space="preserve">Out-of-network being uncovered, or vision covering all eye care.</t>
  </si>
  <si>
    <t xml:space="preserve">C-26</t>
  </si>
  <si>
    <t xml:space="preserve">20% off additional glasses and sunglasses from any VSP doctor within 12 months of the last WellVision Exam; laser surgery benefit included on some designs.</t>
  </si>
  <si>
    <t xml:space="preserve">A one-pair-only benefit.</t>
  </si>
  <si>
    <t xml:space="preserve">C-27</t>
  </si>
  <si>
    <t xml:space="preserve">EyeMed — vision</t>
  </si>
  <si>
    <t xml:space="preserve">EyeMed is provided through Ameritas and is available employer-sponsored and voluntary.</t>
  </si>
  <si>
    <t xml:space="preserve">EyeMed being a standalone carrier relationship.</t>
  </si>
  <si>
    <t xml:space="preserve">ChoiceBuilder Employee Enrollment Guide; Employer Admin Guide carrier list</t>
  </si>
  <si>
    <t xml:space="preserve">C-28</t>
  </si>
  <si>
    <t xml:space="preserve">Landmark — chiro/acu</t>
  </si>
  <si>
    <t xml:space="preserve">Insured plans exist in California ONLY. Outside California cover exists only where the employer has bought a self-funded (ASO) plan.</t>
  </si>
  <si>
    <t xml:space="preserve">A national network that is merely thinner elsewhere.</t>
  </si>
  <si>
    <t xml:space="preserve">Landmark Healthplan</t>
  </si>
  <si>
    <t xml:space="preserve">C-29</t>
  </si>
  <si>
    <t xml:space="preserve">Landmark does NOT pay for out-of-network services. The member bears the full cost.</t>
  </si>
  <si>
    <t xml:space="preserve">An out-of-network reimbursement rate existing.</t>
  </si>
  <si>
    <t xml:space="preserve">Landmark member notice</t>
  </si>
  <si>
    <t xml:space="preserve">C-30</t>
  </si>
  <si>
    <t xml:space="preserve">Members self-refer to any in-network provider and may switch at any time. No preauthorization; treatment is not reviewed for medical necessity.</t>
  </si>
  <si>
    <t xml:space="preserve">A referral or authorization requirement.</t>
  </si>
  <si>
    <t xml:space="preserve">Landmark / CoPower Summary of Benefits</t>
  </si>
  <si>
    <t xml:space="preserve">C-31</t>
  </si>
  <si>
    <t xml:space="preserve">No deductible or coinsurance — a flat copay per visit, published from $5 and commonly $10–$20. An annual visit maximum applies, commonly 20 or 30, with a published range of 12–52.</t>
  </si>
  <si>
    <t xml:space="preserve">Percentage coinsurance; unlimited visits.</t>
  </si>
  <si>
    <t xml:space="preserve">C-32</t>
  </si>
  <si>
    <t xml:space="preserve">Separate annual maximums for durable medical equipment and x-rays, commonly $50 and $75. Herbal therapies are not covered unless added as a rider.</t>
  </si>
  <si>
    <t xml:space="preserve">These sitting inside the visit benefit.</t>
  </si>
  <si>
    <t xml:space="preserve">CoPower Summary of Benefits; Claremont</t>
  </si>
  <si>
    <t xml:space="preserve">C-33</t>
  </si>
  <si>
    <t xml:space="preserve">Landmark Healthplan of California is a Knox-Keene licensed specialized health care service plan, regulated by DMHC — a different regulator from the insured lines.</t>
  </si>
  <si>
    <t xml:space="preserve">Being CDI-regulated like the rest of the program.</t>
  </si>
  <si>
    <t xml:space="preserve">Landmark Healthplan member page</t>
  </si>
  <si>
    <t xml:space="preserve">C-34</t>
  </si>
  <si>
    <t xml:space="preserve">Assurity — life/AD&amp;D</t>
  </si>
  <si>
    <t xml:space="preserve">Conversion to an individual whole life policy, without evidence of insurability, on application and first premium within 31 days of group coverage ending.</t>
  </si>
  <si>
    <t xml:space="preserve">COBRA, which does not apply to life the same way.</t>
  </si>
  <si>
    <t xml:space="preserve">Assurity Agent Center</t>
  </si>
  <si>
    <t xml:space="preserve">C-35</t>
  </si>
  <si>
    <t xml:space="preserve">Accelerated death benefit for terminal illness — up to $250,000 of eligible proceeds, leaving at least $10,000 face amount.</t>
  </si>
  <si>
    <t xml:space="preserve">The full benefit being payable early.</t>
  </si>
  <si>
    <t xml:space="preserve">C-36</t>
  </si>
  <si>
    <t xml:space="preserve">An age reduction schedule applies; misstatement of age adjusts premium or benefit retroactively; AD&amp;D is 24-hour coverage where included.</t>
  </si>
  <si>
    <t xml:space="preserve">The elected amount holding at any age; AD&amp;D applying only at work.</t>
  </si>
  <si>
    <t xml:space="preserve">Assurity / group life certificate provisions</t>
  </si>
  <si>
    <t xml:space="preserve">C-37</t>
  </si>
  <si>
    <t xml:space="preserve">A beneficiary designation may be changed without the beneficiary's consent. Payment to a minor is restricted and may require a guardian.</t>
  </si>
  <si>
    <t xml:space="preserve">Needing the beneficiary's agreement.</t>
  </si>
  <si>
    <t xml:space="preserve">Group life certificate provisions</t>
  </si>
  <si>
    <t xml:space="preserve">C-38</t>
  </si>
  <si>
    <t xml:space="preserve">Anthem Blue Cross — dental</t>
  </si>
  <si>
    <t xml:space="preserve">Takeover credit terms are set out in the plan-specific Evidence of Coverage rather than the program documents. Anthem mails ID cards direct to members.</t>
  </si>
  <si>
    <t xml:space="preserve">The uniform 12-month takeover rule.</t>
  </si>
  <si>
    <t xml:space="preserve">Employer Application CB0210A; ChoiceBuilder FAQs</t>
  </si>
  <si>
    <t xml:space="preserve">C-39</t>
  </si>
  <si>
    <t xml:space="preserve">Anthem / Delta PPO / EyeMed</t>
  </si>
  <si>
    <t xml:space="preserve">Full plan design — waiting periods, maximums, frequencies, allowances — for these specific ChoiceBuilder designs.</t>
  </si>
  <si>
    <t xml:space="preserve">Ameritas or MetLife terms, which differ.</t>
  </si>
  <si>
    <t xml:space="preserve">Benefit Summary CB.5234 exists and is public; the per-design detail has not yet been extracted in full.</t>
  </si>
  <si>
    <t xml:space="preserve">Corrections, open items and source documents</t>
  </si>
  <si>
    <t xml:space="preserve">The record of what earlier versions got wrong, what remains unanswered, and where every verified rule comes from. This sheet exists because the rules were originally built from a single member-facing FAQ page and labelled a source of truth, which produced eight factual errors, three of them serious enough to invalidate sample transcripts. It is kept visible rather than quietly fixed so that anyone relying on a rule can see how the rule set has moved, and so the same mistake is harder to repeat.</t>
  </si>
  <si>
    <t xml:space="preserve">What we said</t>
  </si>
  <si>
    <t xml:space="preserve">What the documents say</t>
  </si>
  <si>
    <t xml:space="preserve">Impact</t>
  </si>
  <si>
    <t xml:space="preserve">Voluntary lines carry a 25% minimum participation requirement.</t>
  </si>
  <si>
    <t xml:space="preserve">No percentage minimum exists on voluntary lines. Voluntary vision and voluntary chiropractic have NO minimum at all. Voluntary dental works on headcount: Anthem 5 eligible / 2 enrolled; all other dental 10 eligible / 5 enrolled (2–9 groups: MetLife 2 / 2). The 70% requirement belongs to EMPLOYER-SPONSORED dental and vision.</t>
  </si>
  <si>
    <t xml:space="preserve">Program Guidelines, Steps 1–3</t>
  </si>
  <si>
    <t xml:space="preserve">v7 transcript C-0010 collapses entirely. v6 call #26R same error. Rule R-17.</t>
  </si>
  <si>
    <t xml:space="preserve">Members elect life cover and hit an individual guaranteed issue threshold.</t>
  </si>
  <si>
    <t xml:space="preserve">Life is employer-sponsored only, 100% participation, 100% employer-paid. There is no employee election. Guaranteed issue exists but at group level — a statement of health is required for all eligible employees only where the EMPLOYER requests an amount above guaranteed issue.</t>
  </si>
  <si>
    <t xml:space="preserve">Program Guidelines Step 4; Employer Admin Guide, Change in Group Policy</t>
  </si>
  <si>
    <t xml:space="preserve">v7 transcript C-0008 describes something that cannot happen. Rule R-14.</t>
  </si>
  <si>
    <t xml:space="preserve">Landmark out-of-network chiropractic is reimbursed at a lower rate.</t>
  </si>
  <si>
    <t xml:space="preserve">Landmark does not pay for out-of-network services at all; the member bears the full cost. Insured plans exist in California only.</t>
  </si>
  <si>
    <t xml:space="preserve">Landmark member notice; Landmark Healthplan</t>
  </si>
  <si>
    <t xml:space="preserve">v7 transcript C-0002 offers a remedy that does not exist. v6 call #70R same. Rule R-13.</t>
  </si>
  <si>
    <t xml:space="preserve">Ortho carries a waiting period, stated as a universal rule.</t>
  </si>
  <si>
    <t xml:space="preserve">Ortho AVAILABILITY is gated by carrier and group size before any waiting period. Takeover credit is available at initial enrolment only, and the 12-month wait is waived on proof of 12 consecutive months of prior coverage, with no partial credit. MetLife ortho takeover credit is automatic for groups with prior coverage. An ortho bill from the 12 months before the effective date, showing ortho coverage, is required.</t>
  </si>
  <si>
    <t xml:space="preserve">Program Guidelines; Underwriting Guidelines; Employer Application CB0210A</t>
  </si>
  <si>
    <t xml:space="preserve">Rule R-03. Any ortho scenario under 10 lives needs checking against carrier.</t>
  </si>
  <si>
    <t xml:space="preserve">The administration fee is flat per group.</t>
  </si>
  <si>
    <t xml:space="preserve">Banded by headcount — $25 (2–8), $30 (9–20), $35 (21–199), $50 (200+) — and recalculated monthly on the number of employees enrolled in any coverage at the time of invoicing, so it can change month to month.</t>
  </si>
  <si>
    <t xml:space="preserve">Program Guidelines; Employer Admin Guide, Billing</t>
  </si>
  <si>
    <t xml:space="preserve">Metrics sheet metric 9; Claims Register claim 8. Claim survives and sharpens.</t>
  </si>
  <si>
    <t xml:space="preserve">Waiting period options are 30/60/90/180/365 days.</t>
  </si>
  <si>
    <t xml:space="preserve">Date of hire is also an option; the period runs to the first day of the month FOLLOWING; it may be waived at initial group enrolment; and it can only be changed at renewal, within 30 days of the anniversary.</t>
  </si>
  <si>
    <t xml:space="preserve">Program Guidelines; Employer Admin Guide, Change in Group Policy</t>
  </si>
  <si>
    <t xml:space="preserve">Rule R-01. v7 transcript C-0001 states the mechanic imprecisely.</t>
  </si>
  <si>
    <t xml:space="preserve">Vision and chiropractic can be enrolled without dental. (Flagged as a conflict in v2.)</t>
  </si>
  <si>
    <t xml:space="preserve">Resolved against us. Employers are required to offer dental to enrol with ChoiceBuilder, and must offer one PPO carrier alongside the DeltaCare DHMO. Dental is the mandatory anchor line.</t>
  </si>
  <si>
    <t xml:space="preserve">Underwriting Guidelines (groups beginning 1/1/2024)</t>
  </si>
  <si>
    <t xml:space="preserve">Rule P-32 changes from CONFLICT to a VERIFIED rule with the opposite meaning. Any vision-only group scenario is invalid.</t>
  </si>
  <si>
    <t xml:space="preserve">We assumed employer-side COBRA handling was unknown and needed asking.</t>
  </si>
  <si>
    <t xml:space="preserve">Fully published. Federal COBRA applies at 20+ employees and notification is solely the employer's responsibility, satisfied if the former member is notified within 14 days of the last day of coverage. Cal-COBRA applies at 2–19 employees and the notification duty sits with the health plans, who have contracted ChoiceBuilder to do it. Cal-COBRA runs to 36 months. Domestic partners are not qualified beneficiaries under federal COBRA but have full election rights under Cal-COBRA.</t>
  </si>
  <si>
    <t xml:space="preserve">Employer Admin Guide, About COBRA / About Cal-COBRA</t>
  </si>
  <si>
    <t xml:space="preserve">Open question 3 closed. Enables a whole family of compliance-relevant scenarios that were previously off limits.</t>
  </si>
  <si>
    <t xml:space="preserve">STILL OPEN — needs CHOICE</t>
  </si>
  <si>
    <t xml:space="preserve">Question</t>
  </si>
  <si>
    <t xml:space="preserve">Ask</t>
  </si>
  <si>
    <t xml:space="preserve">What is the guaranteed issue amount on the ChoiceBuilder life plans?</t>
  </si>
  <si>
    <t xml:space="preserve">The rule is established — underwriting arises only where the employer requests above guaranteed issue. Only the number is missing, and it decides whether an employer scenario is realistic.</t>
  </si>
  <si>
    <t xml:space="preserve">Rebekah</t>
  </si>
  <si>
    <t xml:space="preserve">What proportion of members sit on each dental and vision carrier?</t>
  </si>
  <si>
    <t xml:space="preserve">The corpus currently splits carriers by guess. Getting this wrong skews every product-line insight, and it is the one number that cannot be derived from anything public.</t>
  </si>
  <si>
    <t xml:space="preserve">Does monthly full-roster reconciliation exist, and at what group size?</t>
  </si>
  <si>
    <t xml:space="preserve">Two transcripts offer it as the remedy to the most common billing complaint in the corpus. The Administrative Guide describes only per-employee forms. If it does not exist, both calls are giving an employer a solution that is not available.</t>
  </si>
  <si>
    <t xml:space="preserve">SOURCE DOCUMENTS — all publicly accessible</t>
  </si>
  <si>
    <t xml:space="preserve">Ref</t>
  </si>
  <si>
    <t xml:space="preserve">Document</t>
  </si>
  <si>
    <t xml:space="preserve">Publisher</t>
  </si>
  <si>
    <t xml:space="preserve">Version</t>
  </si>
  <si>
    <t xml:space="preserve">What it covers</t>
  </si>
  <si>
    <t xml:space="preserve">Where</t>
  </si>
  <si>
    <t xml:space="preserve">S1</t>
  </si>
  <si>
    <t xml:space="preserve">ChoiceBuilder Employer Administrative Guide (CB.0230)</t>
  </si>
  <si>
    <t xml:space="preserve">CHOICE Administrators</t>
  </si>
  <si>
    <t xml:space="preserve">7.20, eff. 12.1.20</t>
  </si>
  <si>
    <t xml:space="preserve">The most complete single source. Eligibility conditions, new hires, military leave, rehires, late enrolees, terminations, family coverage, dependent rules, mid-year changes, group change matrix, COBRA and Cal-COBRA, HIPAA, premium statements, billing, grace periods, renewal timeline, carrier contacts, FAQs.</t>
  </si>
  <si>
    <t xml:space="preserve">wordandbrown.com — CB-0230-Employer-Admin-Guide</t>
  </si>
  <si>
    <t xml:space="preserve">S2</t>
  </si>
  <si>
    <t xml:space="preserve">ChoiceBuilder Program Guidelines (CB.QPG_3.23)</t>
  </si>
  <si>
    <t xml:space="preserve">Choice Builder Insurance Services</t>
  </si>
  <si>
    <t xml:space="preserve">eff. 1.7.23</t>
  </si>
  <si>
    <t xml:space="preserve">Group eligibility, available plans by size, effective dates, waiting periods, contribution, participation minimums by line, orthodontia availability, administration fees, six-step selection.</t>
  </si>
  <si>
    <t xml:space="preserve">rbgcal.com</t>
  </si>
  <si>
    <t xml:space="preserve">S3</t>
  </si>
  <si>
    <t xml:space="preserve">ChoiceBuilder Underwriting Guidelines</t>
  </si>
  <si>
    <t xml:space="preserve">groups beginning 1.1.24, upd. May 2024</t>
  </si>
  <si>
    <t xml:space="preserve">Dental mandatory; takeover credit rules; leasing company treatment; owner/partner eligibility; service area; husband-and-wife waiver treatment; dependent age limit.</t>
  </si>
  <si>
    <t xml:space="preserve">dickerson-group.com</t>
  </si>
  <si>
    <t xml:space="preserve">S4</t>
  </si>
  <si>
    <t xml:space="preserve">ChoiceBuilder Employer Application (CB 0210A)</t>
  </si>
  <si>
    <t xml:space="preserve">9/2024, eff. 1.1.25</t>
  </si>
  <si>
    <t xml:space="preserve">Termination on notice, premium due dates, right to non-renew on participation change, ortho takeover credit by carrier, waiver restrictions at 100% contribution.</t>
  </si>
  <si>
    <t xml:space="preserve">choicebuilder.com</t>
  </si>
  <si>
    <t xml:space="preserve">S5</t>
  </si>
  <si>
    <t xml:space="preserve">ChoiceBuilder Benefit Summary (CB.5234)</t>
  </si>
  <si>
    <t xml:space="preserve">3.20 eff. 7.1.20 and later</t>
  </si>
  <si>
    <t xml:space="preserve">Per-carrier benefit summaries across dental HMO and PPO, vision and chiro. MetLife reimbursement basis, preventive treatment of the annual maximum, VSP additional-pair and laser benefits.</t>
  </si>
  <si>
    <t xml:space="preserve">S6</t>
  </si>
  <si>
    <t xml:space="preserve">ChoiceBuilder Employee Enrollment Guide</t>
  </si>
  <si>
    <t xml:space="preserve">1.24</t>
  </si>
  <si>
    <t xml:space="preserve">Carrier-by-carrier employee-facing summaries; confirms EyeMed is provided by Ameritas and that vision is offered both employer-sponsored and voluntary.</t>
  </si>
  <si>
    <t xml:space="preserve">S7</t>
  </si>
  <si>
    <t xml:space="preserve">ChoiceBuilder FAQs</t>
  </si>
  <si>
    <t xml:space="preserve">current</t>
  </si>
  <si>
    <t xml:space="preserve">Dependent windows, age-out, ID card routing.</t>
  </si>
  <si>
    <t xml:space="preserve">choicebuilder.com/FAQs.aspx</t>
  </si>
  <si>
    <t xml:space="preserve">S8</t>
  </si>
  <si>
    <t xml:space="preserve">DeltaCare USA Evidence of Coverage</t>
  </si>
  <si>
    <t xml:space="preserve">Delta Dental of California</t>
  </si>
  <si>
    <t xml:space="preserve">CAEOC-R14 and later</t>
  </si>
  <si>
    <t xml:space="preserve">Assigned dentist, specialist referral and preauthorization, emergency and out-of-area rules, copay structure, frequency limits, continuity of care.</t>
  </si>
  <si>
    <t xml:space="preserve">Published employer EOCs</t>
  </si>
  <si>
    <t xml:space="preserve">S9</t>
  </si>
  <si>
    <t xml:space="preserve">Ameritas dental PPO plan summary</t>
  </si>
  <si>
    <t xml:space="preserve">Ameritas via CaliforniaChoice</t>
  </si>
  <si>
    <t xml:space="preserve">2022 onward</t>
  </si>
  <si>
    <t xml:space="preserve">12-month major and ortho waits, comparable-coverage waiver, Dental Rewards, Type 1 treatment of the maximum.</t>
  </si>
  <si>
    <t xml:space="preserve">calchoice.com</t>
  </si>
  <si>
    <t xml:space="preserve">S10</t>
  </si>
  <si>
    <t xml:space="preserve">Landmark Healthplan material and member notice</t>
  </si>
  <si>
    <t xml:space="preserve">Landmark Healthplan of California</t>
  </si>
  <si>
    <t xml:space="preserve">current / 2026</t>
  </si>
  <si>
    <t xml:space="preserve">California-only insured plans, no out-of-network payment, direct access, copay and visit ranges, Knox-Keene status.</t>
  </si>
  <si>
    <t xml:space="preserve">hr.lhp-ca.com; lhp-ca.com; bopumc.org</t>
  </si>
  <si>
    <t xml:space="preserve">S11</t>
  </si>
  <si>
    <t xml:space="preserve">Assurity Group Term Life — Agent Center</t>
  </si>
  <si>
    <t xml:space="preserve">Assurity Life Insurance Company</t>
  </si>
  <si>
    <t xml:space="preserve">Conversion without evidence of insurability, accelerated death benefit terms.</t>
  </si>
  <si>
    <t xml:space="preserve">agentcenter.assurity.com</t>
  </si>
  <si>
    <t xml:space="preserve">S12</t>
  </si>
  <si>
    <t xml:space="preserve">VSP member and plan material</t>
  </si>
  <si>
    <t xml:space="preserve">VSP Vision Care</t>
  </si>
  <si>
    <t xml:space="preserve">Allowance versus copay, frequency cycles, lens enhancement copays, out-of-network schedule, glasses-or-contacts rule.</t>
  </si>
  <si>
    <t xml:space="preserve">vspdirect.com; published VSP plan sheets</t>
  </si>
  <si>
    <t xml:space="preserve">Weekly volume plan</t>
  </si>
  <si>
    <t xml:space="preserve">Twelve weeks from Monday 6 July to Friday 25 September 2026, ending at today's date so January renewals sit 90 days out and the customer-risk entries are forward-looking rather than historical. Fifty calls a week on average, which makes the platform's default rolling four-week window 200 calls — enough to support most sub-category cuts rather than only the top line. Volume climbs into September as Q4 renewal preparation begins and the Labor Day week is short, because a flat distribution is the first thing that makes a synthetic dataset look synthetic. Calls in the final two weeks have no fourteen-day exposure window and are excluded from the repeat-rate denominator.</t>
  </si>
  <si>
    <t xml:space="preserve">Week</t>
  </si>
  <si>
    <t xml:space="preserve">Week beginning</t>
  </si>
  <si>
    <t xml:space="preserve">Business days</t>
  </si>
  <si>
    <t xml:space="preserve">Planned calls</t>
  </si>
  <si>
    <t xml:space="preserve">Calls/day</t>
  </si>
  <si>
    <t xml:space="preserve">W1</t>
  </si>
  <si>
    <t xml:space="preserve">Mon 06 Jul 2026</t>
  </si>
  <si>
    <t xml:space="preserve">Baseline summer volume</t>
  </si>
  <si>
    <t xml:space="preserve">W2</t>
  </si>
  <si>
    <t xml:space="preserve">Mon 13 Jul 2026</t>
  </si>
  <si>
    <t xml:space="preserve">W3</t>
  </si>
  <si>
    <t xml:space="preserve">Mon 20 Jul 2026</t>
  </si>
  <si>
    <t xml:space="preserve">W4</t>
  </si>
  <si>
    <t xml:space="preserve">Mon 27 Jul 2026</t>
  </si>
  <si>
    <t xml:space="preserve">W5</t>
  </si>
  <si>
    <t xml:space="preserve">Mon 03 Aug 2026</t>
  </si>
  <si>
    <t xml:space="preserve">Mid-year enrollment changes begin</t>
  </si>
  <si>
    <t xml:space="preserve">W6</t>
  </si>
  <si>
    <t xml:space="preserve">Mon 10 Aug 2026</t>
  </si>
  <si>
    <t xml:space="preserve">W7</t>
  </si>
  <si>
    <t xml:space="preserve">Mon 17 Aug 2026</t>
  </si>
  <si>
    <t xml:space="preserve">W8</t>
  </si>
  <si>
    <t xml:space="preserve">Mon 24 Aug 2026</t>
  </si>
  <si>
    <t xml:space="preserve">W9</t>
  </si>
  <si>
    <t xml:space="preserve">Mon 31 Aug 2026</t>
  </si>
  <si>
    <t xml:space="preserve">W10</t>
  </si>
  <si>
    <t xml:space="preserve">Mon 07 Sep 2026</t>
  </si>
  <si>
    <t xml:space="preserve">Labor Day — 4 business days</t>
  </si>
  <si>
    <t xml:space="preserve">W11</t>
  </si>
  <si>
    <t xml:space="preserve">Mon 14 Sep 2026</t>
  </si>
  <si>
    <t xml:space="preserve">Q4 renewal prep; January anniversary groups begin open enrollment</t>
  </si>
  <si>
    <t xml:space="preserve">W12</t>
  </si>
  <si>
    <t xml:space="preserve">Mon 21 Sep 2026</t>
  </si>
  <si>
    <t xml:space="preserve">Corpus closes Fri 25 Sep — no 14-day exposure window; exclude from repeat-rate denominator</t>
  </si>
  <si>
    <t xml:space="preserve">TOTAL</t>
  </si>
  <si>
    <t xml:space="preserve">CHECK</t>
  </si>
  <si>
    <t xml:space="preserve">Employer master — 95 groups, sized to the 2–500 band</t>
  </si>
  <si>
    <t xml:space="preserve">The spine of the reference dataset, rebuilt so that group size reflects the population ChoiceBuilder actually serves rather than a convenient average. Eligible employees is the field the rules key off: it decides the COBRA regime, the administration fee band, which voluntary dental minimum applies and whether orthodontia is available at all. Enrolled lives are derived from eligible employees and a participation rate that depends on sponsorship, and the threshold column flags every group at or below the requirement that applies to it. Six anchor employers carry 31% of all calls; four of them renew in January, which is what makes the customer-risk entries demonstrable. Complaint rate is per 100 enrolled so dysfunction outranks size, with the raw count always shown beside it. Carrier is now held per line on this sheet rather than spoken in transcripts — ChoiceBuilder </t>
  </si>
  <si>
    <t xml:space="preserve">Employer ID</t>
  </si>
  <si>
    <t xml:space="preserve">Employer name</t>
  </si>
  <si>
    <t xml:space="preserve">Industry</t>
  </si>
  <si>
    <t xml:space="preserve">Churn profile</t>
  </si>
  <si>
    <t xml:space="preserve">Eligible employees</t>
  </si>
  <si>
    <t xml:space="preserve">Enrolled lives</t>
  </si>
  <si>
    <t xml:space="preserve">Fee band</t>
  </si>
  <si>
    <t xml:space="preserve">COBRA regime</t>
  </si>
  <si>
    <t xml:space="preserve">Region</t>
  </si>
  <si>
    <t xml:space="preserve">Renewal month</t>
  </si>
  <si>
    <t xml:space="preserve">Broker of record</t>
  </si>
  <si>
    <t xml:space="preserve">Dental sponsorship</t>
  </si>
  <si>
    <t xml:space="preserve">Lines held</t>
  </si>
  <si>
    <t xml:space="preserve">Member calls</t>
  </si>
  <si>
    <t xml:space="preserve">Employer calls</t>
  </si>
  <si>
    <t xml:space="preserve">Calls per 100 lives</t>
  </si>
  <si>
    <t xml:space="preserve">Annual premium ($)</t>
  </si>
  <si>
    <t xml:space="preserve">Threshold status</t>
  </si>
  <si>
    <t xml:space="preserve">Tier</t>
  </si>
  <si>
    <t xml:space="preserve">Dental carrier</t>
  </si>
  <si>
    <t xml:space="preserve">Vision carrier</t>
  </si>
  <si>
    <t xml:space="preserve">Life carrier</t>
  </si>
  <si>
    <t xml:space="preserve">Chiro carrier</t>
  </si>
  <si>
    <t xml:space="preserve">Ortho available</t>
  </si>
  <si>
    <t xml:space="preserve">EMP-1001</t>
  </si>
  <si>
    <t xml:space="preserve">Cedar Point Workforce Partners</t>
  </si>
  <si>
    <t xml:space="preserve">Staffing &amp; Recruitment</t>
  </si>
  <si>
    <t xml:space="preserve">High</t>
  </si>
  <si>
    <t xml:space="preserve">Orange County</t>
  </si>
  <si>
    <t xml:space="preserve">Jan</t>
  </si>
  <si>
    <t xml:space="preserve">BRK-02</t>
  </si>
  <si>
    <t xml:space="preserve">ER</t>
  </si>
  <si>
    <t xml:space="preserve">Dental + Vision + Chiro</t>
  </si>
  <si>
    <t xml:space="preserve">Anthem Blue Cross</t>
  </si>
  <si>
    <t xml:space="preserve">EyeMed (via Ameritas)</t>
  </si>
  <si>
    <t xml:space="preserve">Yes</t>
  </si>
  <si>
    <t xml:space="preserve">EMP-1002</t>
  </si>
  <si>
    <t xml:space="preserve">Bellwether Restaurant Group</t>
  </si>
  <si>
    <t xml:space="preserve">Hospitality &amp; Food Service</t>
  </si>
  <si>
    <t xml:space="preserve">Los Angeles</t>
  </si>
  <si>
    <t xml:space="preserve">VOL</t>
  </si>
  <si>
    <t xml:space="preserve">Ameritas PPO</t>
  </si>
  <si>
    <t xml:space="preserve">VSP</t>
  </si>
  <si>
    <t xml:space="preserve">EMP-1003</t>
  </si>
  <si>
    <t xml:space="preserve">Meridian Industries</t>
  </si>
  <si>
    <t xml:space="preserve">Manufacturing</t>
  </si>
  <si>
    <t xml:space="preserve">Medium</t>
  </si>
  <si>
    <t xml:space="preserve">San Diego</t>
  </si>
  <si>
    <t xml:space="preserve">Mar</t>
  </si>
  <si>
    <t xml:space="preserve">BRK-09</t>
  </si>
  <si>
    <t xml:space="preserve">Dental + Vision</t>
  </si>
  <si>
    <t xml:space="preserve">MetLife PPO</t>
  </si>
  <si>
    <t xml:space="preserve">EMP-1004</t>
  </si>
  <si>
    <t xml:space="preserve">Drummond Associates</t>
  </si>
  <si>
    <t xml:space="preserve">Professional Services</t>
  </si>
  <si>
    <t xml:space="preserve">Low</t>
  </si>
  <si>
    <t xml:space="preserve">Inland Empire</t>
  </si>
  <si>
    <t xml:space="preserve">BRK-06</t>
  </si>
  <si>
    <t xml:space="preserve">DeltaCare USA (DHMO) + Delta Dental PPO</t>
  </si>
  <si>
    <t xml:space="preserve">EMP-1005</t>
  </si>
  <si>
    <t xml:space="preserve">Fontaine Dental Partners</t>
  </si>
  <si>
    <t xml:space="preserve">Healthcare Services</t>
  </si>
  <si>
    <t xml:space="preserve">Central Valley</t>
  </si>
  <si>
    <t xml:space="preserve">Feb</t>
  </si>
  <si>
    <t xml:space="preserve">BRK-01</t>
  </si>
  <si>
    <t xml:space="preserve">EMP-1006</t>
  </si>
  <si>
    <t xml:space="preserve">Park Mechanical</t>
  </si>
  <si>
    <t xml:space="preserve">Construction &amp; Trades</t>
  </si>
  <si>
    <t xml:space="preserve">Bay Area</t>
  </si>
  <si>
    <t xml:space="preserve">BRK-03</t>
  </si>
  <si>
    <t xml:space="preserve">Dental</t>
  </si>
  <si>
    <t xml:space="preserve">EMP-1007</t>
  </si>
  <si>
    <t xml:space="preserve">Vasquez Transport</t>
  </si>
  <si>
    <t xml:space="preserve">Logistics &amp; Transport</t>
  </si>
  <si>
    <t xml:space="preserve">Dental + Life</t>
  </si>
  <si>
    <t xml:space="preserve">Delta Dental PPO</t>
  </si>
  <si>
    <t xml:space="preserve">MetLife</t>
  </si>
  <si>
    <t xml:space="preserve">EMP-1008</t>
  </si>
  <si>
    <t xml:space="preserve">Cornerstone Associates</t>
  </si>
  <si>
    <t xml:space="preserve">Apr</t>
  </si>
  <si>
    <t xml:space="preserve">No</t>
  </si>
  <si>
    <t xml:space="preserve">EMP-1009</t>
  </si>
  <si>
    <t xml:space="preserve">Harborview Technologies</t>
  </si>
  <si>
    <t xml:space="preserve">Technology</t>
  </si>
  <si>
    <t xml:space="preserve">EMP-1010</t>
  </si>
  <si>
    <t xml:space="preserve">Alderbrook Workforce Partners</t>
  </si>
  <si>
    <t xml:space="preserve">May</t>
  </si>
  <si>
    <t xml:space="preserve">EMP-1011</t>
  </si>
  <si>
    <t xml:space="preserve">Foxglove Restaurant Group</t>
  </si>
  <si>
    <t xml:space="preserve">Jun</t>
  </si>
  <si>
    <t xml:space="preserve">Dental + Vision + Life + Chiro</t>
  </si>
  <si>
    <t xml:space="preserve">EMP-1012</t>
  </si>
  <si>
    <t xml:space="preserve">Rosewood Construction</t>
  </si>
  <si>
    <t xml:space="preserve">Dental + Chiro</t>
  </si>
  <si>
    <t xml:space="preserve">EMP-1013</t>
  </si>
  <si>
    <t xml:space="preserve">Kestrel Precision Tooling</t>
  </si>
  <si>
    <t xml:space="preserve">Jul</t>
  </si>
  <si>
    <t xml:space="preserve">Dental + Vision + Life</t>
  </si>
  <si>
    <t xml:space="preserve">Assurity</t>
  </si>
  <si>
    <t xml:space="preserve">EMP-1014</t>
  </si>
  <si>
    <t xml:space="preserve">Tulare Dental Partners</t>
  </si>
  <si>
    <t xml:space="preserve">Aug</t>
  </si>
  <si>
    <t xml:space="preserve">BRK-07</t>
  </si>
  <si>
    <t xml:space="preserve">EMP-1015</t>
  </si>
  <si>
    <t xml:space="preserve">Marisol Supply Co</t>
  </si>
  <si>
    <t xml:space="preserve">Retail</t>
  </si>
  <si>
    <t xml:space="preserve">BRK-08</t>
  </si>
  <si>
    <t xml:space="preserve">EMP-1016</t>
  </si>
  <si>
    <t xml:space="preserve">Ironwood Transport</t>
  </si>
  <si>
    <t xml:space="preserve">Sep</t>
  </si>
  <si>
    <t xml:space="preserve">BRK-05</t>
  </si>
  <si>
    <t xml:space="preserve">EMP-1017</t>
  </si>
  <si>
    <t xml:space="preserve">Blue Mesa Advisors</t>
  </si>
  <si>
    <t xml:space="preserve">Oct</t>
  </si>
  <si>
    <t xml:space="preserve">BRK-10</t>
  </si>
  <si>
    <t xml:space="preserve">EMP-1018</t>
  </si>
  <si>
    <t xml:space="preserve">Halcyon Data Group</t>
  </si>
  <si>
    <t xml:space="preserve">BRK-26</t>
  </si>
  <si>
    <t xml:space="preserve">EMP-1019</t>
  </si>
  <si>
    <t xml:space="preserve">Northgate Personnel Group</t>
  </si>
  <si>
    <t xml:space="preserve">Nov</t>
  </si>
  <si>
    <t xml:space="preserve">BRK-30</t>
  </si>
  <si>
    <t xml:space="preserve">EMP-1020</t>
  </si>
  <si>
    <t xml:space="preserve">Sandpiper Hospitality Group</t>
  </si>
  <si>
    <t xml:space="preserve">Dec</t>
  </si>
  <si>
    <t xml:space="preserve">EMP-1021</t>
  </si>
  <si>
    <t xml:space="preserve">Verdant Mechanical</t>
  </si>
  <si>
    <t xml:space="preserve">EMP-1022</t>
  </si>
  <si>
    <t xml:space="preserve">Ashford Precision Tooling</t>
  </si>
  <si>
    <t xml:space="preserve">BRK-04</t>
  </si>
  <si>
    <t xml:space="preserve">EMP-1023</t>
  </si>
  <si>
    <t xml:space="preserve">Calloway Dental Partners</t>
  </si>
  <si>
    <t xml:space="preserve">EMP-1024</t>
  </si>
  <si>
    <t xml:space="preserve">Delmar Retail Group</t>
  </si>
  <si>
    <t xml:space="preserve">EMP-1025</t>
  </si>
  <si>
    <t xml:space="preserve">Emberline Logistics</t>
  </si>
  <si>
    <t xml:space="preserve">EMP-1026</t>
  </si>
  <si>
    <t xml:space="preserve">Fairhaven Associates</t>
  </si>
  <si>
    <t xml:space="preserve">EMP-1027</t>
  </si>
  <si>
    <t xml:space="preserve">Granite Bay Systems</t>
  </si>
  <si>
    <t xml:space="preserve">EMP-1028</t>
  </si>
  <si>
    <t xml:space="preserve">Highpoint Staffing</t>
  </si>
  <si>
    <t xml:space="preserve">EMP-1029</t>
  </si>
  <si>
    <t xml:space="preserve">Junipero Restaurant Group</t>
  </si>
  <si>
    <t xml:space="preserve">BRK-11</t>
  </si>
  <si>
    <t xml:space="preserve">EMP-1030</t>
  </si>
  <si>
    <t xml:space="preserve">Kingsley Mechanical</t>
  </si>
  <si>
    <t xml:space="preserve">BRK-12</t>
  </si>
  <si>
    <t xml:space="preserve">EMP-1031</t>
  </si>
  <si>
    <t xml:space="preserve">Larkspur Manufacturing</t>
  </si>
  <si>
    <t xml:space="preserve">BRK-13</t>
  </si>
  <si>
    <t xml:space="preserve">EMP-1032</t>
  </si>
  <si>
    <t xml:space="preserve">Montrose Medical Group</t>
  </si>
  <si>
    <t xml:space="preserve">BRK-16</t>
  </si>
  <si>
    <t xml:space="preserve">EMP-1033</t>
  </si>
  <si>
    <t xml:space="preserve">Nevins Markets</t>
  </si>
  <si>
    <t xml:space="preserve">BRK-17</t>
  </si>
  <si>
    <t xml:space="preserve">EMP-1034</t>
  </si>
  <si>
    <t xml:space="preserve">Ocotillo Transport</t>
  </si>
  <si>
    <t xml:space="preserve">BRK-20</t>
  </si>
  <si>
    <t xml:space="preserve">EMP-1035</t>
  </si>
  <si>
    <t xml:space="preserve">Pinecrest Associates</t>
  </si>
  <si>
    <t xml:space="preserve">BRK-21</t>
  </si>
  <si>
    <t xml:space="preserve">EMP-1036</t>
  </si>
  <si>
    <t xml:space="preserve">Quarry Road Data Group</t>
  </si>
  <si>
    <t xml:space="preserve">BRK-24</t>
  </si>
  <si>
    <t xml:space="preserve">EMP-1037</t>
  </si>
  <si>
    <t xml:space="preserve">Redbud Staffing</t>
  </si>
  <si>
    <t xml:space="preserve">EMP-1038</t>
  </si>
  <si>
    <t xml:space="preserve">Sierra Vista Hospitality Group</t>
  </si>
  <si>
    <t xml:space="preserve">EMP-1039</t>
  </si>
  <si>
    <t xml:space="preserve">Thistle Construction</t>
  </si>
  <si>
    <t xml:space="preserve">EMP-1040</t>
  </si>
  <si>
    <t xml:space="preserve">Umber Precision Tooling</t>
  </si>
  <si>
    <t xml:space="preserve">EMP-1041</t>
  </si>
  <si>
    <t xml:space="preserve">Valmont Medical Group</t>
  </si>
  <si>
    <t xml:space="preserve">BRK-14</t>
  </si>
  <si>
    <t xml:space="preserve">EMP-1042</t>
  </si>
  <si>
    <t xml:space="preserve">Westbrook Supply Co</t>
  </si>
  <si>
    <t xml:space="preserve">BRK-15</t>
  </si>
  <si>
    <t xml:space="preserve">EMP-1043</t>
  </si>
  <si>
    <t xml:space="preserve">Yarrow Freight</t>
  </si>
  <si>
    <t xml:space="preserve">BRK-18</t>
  </si>
  <si>
    <t xml:space="preserve">EMP-1044</t>
  </si>
  <si>
    <t xml:space="preserve">Zephyr Advisors</t>
  </si>
  <si>
    <t xml:space="preserve">BRK-19</t>
  </si>
  <si>
    <t xml:space="preserve">EMP-1045</t>
  </si>
  <si>
    <t xml:space="preserve">Aviston Technologies</t>
  </si>
  <si>
    <t xml:space="preserve">BRK-25</t>
  </si>
  <si>
    <t xml:space="preserve">EMP-1046</t>
  </si>
  <si>
    <t xml:space="preserve">Brightwater Workforce Partners</t>
  </si>
  <si>
    <t xml:space="preserve">EMP-1047</t>
  </si>
  <si>
    <t xml:space="preserve">Corvina Catering Co</t>
  </si>
  <si>
    <t xml:space="preserve">EMP-1048</t>
  </si>
  <si>
    <t xml:space="preserve">Dunsmuir Construction</t>
  </si>
  <si>
    <t xml:space="preserve">EMP-1049</t>
  </si>
  <si>
    <t xml:space="preserve">Elkhorn Precision Tooling</t>
  </si>
  <si>
    <t xml:space="preserve">EMP-1050</t>
  </si>
  <si>
    <t xml:space="preserve">Fernbrook Medical Group</t>
  </si>
  <si>
    <t xml:space="preserve">EMP-1051</t>
  </si>
  <si>
    <t xml:space="preserve">Goldstream Markets</t>
  </si>
  <si>
    <t xml:space="preserve">EMP-1052</t>
  </si>
  <si>
    <t xml:space="preserve">Hartwell Freight</t>
  </si>
  <si>
    <t xml:space="preserve">EMP-1053</t>
  </si>
  <si>
    <t xml:space="preserve">Inglewood Associates</t>
  </si>
  <si>
    <t xml:space="preserve">EMP-1054</t>
  </si>
  <si>
    <t xml:space="preserve">Jessup Systems</t>
  </si>
  <si>
    <t xml:space="preserve">EMP-1055</t>
  </si>
  <si>
    <t xml:space="preserve">Kelso Personnel Group</t>
  </si>
  <si>
    <t xml:space="preserve">EMP-1056</t>
  </si>
  <si>
    <t xml:space="preserve">Lowry Restaurant Group</t>
  </si>
  <si>
    <t xml:space="preserve">EMP-1057</t>
  </si>
  <si>
    <t xml:space="preserve">Maywood Mechanical</t>
  </si>
  <si>
    <t xml:space="preserve">EMP-1058</t>
  </si>
  <si>
    <t xml:space="preserve">Norwalk Precision Tooling</t>
  </si>
  <si>
    <t xml:space="preserve">EMP-1059</t>
  </si>
  <si>
    <t xml:space="preserve">Orinda Home Care</t>
  </si>
  <si>
    <t xml:space="preserve">EMP-1060</t>
  </si>
  <si>
    <t xml:space="preserve">Pomerado Supply Co</t>
  </si>
  <si>
    <t xml:space="preserve">EMP-1061</t>
  </si>
  <si>
    <t xml:space="preserve">Quintara Transport</t>
  </si>
  <si>
    <t xml:space="preserve">BRK-27</t>
  </si>
  <si>
    <t xml:space="preserve">EMP-1062</t>
  </si>
  <si>
    <t xml:space="preserve">Ravenswood Advisors</t>
  </si>
  <si>
    <t xml:space="preserve">BRK-28</t>
  </si>
  <si>
    <t xml:space="preserve">EMP-1063</t>
  </si>
  <si>
    <t xml:space="preserve">Seabright Systems</t>
  </si>
  <si>
    <t xml:space="preserve">BRK-29</t>
  </si>
  <si>
    <t xml:space="preserve">EMP-1064</t>
  </si>
  <si>
    <t xml:space="preserve">Templeton Workforce Partners</t>
  </si>
  <si>
    <t xml:space="preserve">EMP-1065</t>
  </si>
  <si>
    <t xml:space="preserve">Ukiah Hospitality Group</t>
  </si>
  <si>
    <t xml:space="preserve">EMP-1066</t>
  </si>
  <si>
    <t xml:space="preserve">Verano Builders</t>
  </si>
  <si>
    <t xml:space="preserve">EMP-1067</t>
  </si>
  <si>
    <t xml:space="preserve">Windermere Precision Tooling</t>
  </si>
  <si>
    <t xml:space="preserve">EMP-1068</t>
  </si>
  <si>
    <t xml:space="preserve">Ximena Medical Group</t>
  </si>
  <si>
    <t xml:space="preserve">EMP-1069</t>
  </si>
  <si>
    <t xml:space="preserve">Yreka Retail Group</t>
  </si>
  <si>
    <t xml:space="preserve">EMP-1070</t>
  </si>
  <si>
    <t xml:space="preserve">Zuma Freight</t>
  </si>
  <si>
    <t xml:space="preserve">EMP-1071</t>
  </si>
  <si>
    <t xml:space="preserve">Altadena Consulting Group</t>
  </si>
  <si>
    <t xml:space="preserve">BRK-22</t>
  </si>
  <si>
    <t xml:space="preserve">EMP-1072</t>
  </si>
  <si>
    <t xml:space="preserve">Beaumont Technologies</t>
  </si>
  <si>
    <t xml:space="preserve">BRK-23</t>
  </si>
  <si>
    <t xml:space="preserve">EMP-1073</t>
  </si>
  <si>
    <t xml:space="preserve">Cambria Workforce Partners</t>
  </si>
  <si>
    <t xml:space="preserve">EMP-1074</t>
  </si>
  <si>
    <t xml:space="preserve">Duarte Restaurant Group</t>
  </si>
  <si>
    <t xml:space="preserve">EMP-1075</t>
  </si>
  <si>
    <t xml:space="preserve">Escalon Construction</t>
  </si>
  <si>
    <t xml:space="preserve">EMP-1076</t>
  </si>
  <si>
    <t xml:space="preserve">Fillmore Industries</t>
  </si>
  <si>
    <t xml:space="preserve">EMP-1077</t>
  </si>
  <si>
    <t xml:space="preserve">Galt Medical Group</t>
  </si>
  <si>
    <t xml:space="preserve">EMP-1078</t>
  </si>
  <si>
    <t xml:space="preserve">Hanford Markets</t>
  </si>
  <si>
    <t xml:space="preserve">EMP-1079</t>
  </si>
  <si>
    <t xml:space="preserve">Ione Freight</t>
  </si>
  <si>
    <t xml:space="preserve">EMP-1080</t>
  </si>
  <si>
    <t xml:space="preserve">Jamul Associates</t>
  </si>
  <si>
    <t xml:space="preserve">EMP-1081</t>
  </si>
  <si>
    <t xml:space="preserve">Keeler Systems</t>
  </si>
  <si>
    <t xml:space="preserve">EMP-1082</t>
  </si>
  <si>
    <t xml:space="preserve">Lompoc Workforce Partners</t>
  </si>
  <si>
    <t xml:space="preserve">EMP-1083</t>
  </si>
  <si>
    <t xml:space="preserve">Manteca Restaurant Group</t>
  </si>
  <si>
    <t xml:space="preserve">EMP-1084</t>
  </si>
  <si>
    <t xml:space="preserve">Needles Mechanical</t>
  </si>
  <si>
    <t xml:space="preserve">EMP-1085</t>
  </si>
  <si>
    <t xml:space="preserve">Olema Precision Tooling</t>
  </si>
  <si>
    <t xml:space="preserve">EMP-1086</t>
  </si>
  <si>
    <t xml:space="preserve">Piru Home Care</t>
  </si>
  <si>
    <t xml:space="preserve">EMP-1087</t>
  </si>
  <si>
    <t xml:space="preserve">Quincy Retail Group</t>
  </si>
  <si>
    <t xml:space="preserve">EMP-1088</t>
  </si>
  <si>
    <t xml:space="preserve">Rialto Logistics</t>
  </si>
  <si>
    <t xml:space="preserve">EMP-1089</t>
  </si>
  <si>
    <t xml:space="preserve">Soledad Advisors</t>
  </si>
  <si>
    <t xml:space="preserve">EMP-1090</t>
  </si>
  <si>
    <t xml:space="preserve">Tehachapi Data Group</t>
  </si>
  <si>
    <t xml:space="preserve">EMP-1091</t>
  </si>
  <si>
    <t xml:space="preserve">Upland Personnel Group</t>
  </si>
  <si>
    <t xml:space="preserve">EMP-1092</t>
  </si>
  <si>
    <t xml:space="preserve">Visalia Restaurant Group</t>
  </si>
  <si>
    <t xml:space="preserve">EMP-1093</t>
  </si>
  <si>
    <t xml:space="preserve">Weimar Builders</t>
  </si>
  <si>
    <t xml:space="preserve">EMP-1094</t>
  </si>
  <si>
    <t xml:space="preserve">Yountville Manufacturing</t>
  </si>
  <si>
    <t xml:space="preserve">EMP-1095</t>
  </si>
  <si>
    <t xml:space="preserve">Zamora Medical Group</t>
  </si>
  <si>
    <t xml:space="preserve">GROUP SIZE DISTRIBUTION — why it matters</t>
  </si>
  <si>
    <t xml:space="preserve">Band (eligible employees)</t>
  </si>
  <si>
    <t xml:space="preserve">Groups</t>
  </si>
  <si>
    <t xml:space="preserve">Admin fee</t>
  </si>
  <si>
    <t xml:space="preserve">Voluntary dental minimum</t>
  </si>
  <si>
    <t xml:space="preserve">Orthodontia availability</t>
  </si>
  <si>
    <t xml:space="preserve">2–8</t>
  </si>
  <si>
    <t xml:space="preserve">$25</t>
  </si>
  <si>
    <t xml:space="preserve">Anthem 5 eligible / 2 enrolled; MetLife 2 / 2</t>
  </si>
  <si>
    <t xml:space="preserve">Ameritas at 5+; nothing else</t>
  </si>
  <si>
    <t xml:space="preserve">9–19</t>
  </si>
  <si>
    <t xml:space="preserve">$30</t>
  </si>
  <si>
    <t xml:space="preserve">Anthem 5 / 2; all other dental 10 eligible / 5 enrolled</t>
  </si>
  <si>
    <t xml:space="preserve">Ameritas 5+; Anthem and MetLife at 10+</t>
  </si>
  <si>
    <t xml:space="preserve">20</t>
  </si>
  <si>
    <t xml:space="preserve">Federal COBRA</t>
  </si>
  <si>
    <t xml:space="preserve">As 10–500</t>
  </si>
  <si>
    <t xml:space="preserve">As 10+</t>
  </si>
  <si>
    <t xml:space="preserve">21–199</t>
  </si>
  <si>
    <t xml:space="preserve">$35</t>
  </si>
  <si>
    <t xml:space="preserve">Anthem 5 / 2; all other dental 10 / 5</t>
  </si>
  <si>
    <t xml:space="preserve">All carriers; Delta voluntary needs 25+ eligible</t>
  </si>
  <si>
    <t xml:space="preserve">200–500</t>
  </si>
  <si>
    <t xml:space="preserve">$50</t>
  </si>
  <si>
    <t xml:space="preserve">As above</t>
  </si>
  <si>
    <t xml:space="preserve">All carriers</t>
  </si>
  <si>
    <t xml:space="preserve">Total</t>
  </si>
  <si>
    <t xml:space="preserve">Member master</t>
  </si>
  <si>
    <t xml:space="preserve">285 members carrying 390 planned member calls across 95 employers. The broker column is a live lookup rather than stored data, which is the point of the modelling rule: change an employer's broker of record in one place and every member and every historical call re-attributes automatically. Repeat callers are built in deliberately, weighted toward the heavier groups, so the repeat-contact and failure-driven-repeat metrics have real pairs to measure rather than coincidences. Distinct member counts are capped at the group's enrolled lives, so a four-person group cannot have six callers.</t>
  </si>
  <si>
    <t xml:space="preserve">Member ID</t>
  </si>
  <si>
    <t xml:space="preserve">Member name</t>
  </si>
  <si>
    <t xml:space="preserve">Age</t>
  </si>
  <si>
    <t xml:space="preserve">Broker (inherited)</t>
  </si>
  <si>
    <t xml:space="preserve">Primary line</t>
  </si>
  <si>
    <t xml:space="preserve">Repeat caller</t>
  </si>
  <si>
    <t xml:space="preserve">CB-7700001</t>
  </si>
  <si>
    <t xml:space="preserve">Omar Liu</t>
  </si>
  <si>
    <t xml:space="preserve">Chiro</t>
  </si>
  <si>
    <t xml:space="preserve">CB-7700002</t>
  </si>
  <si>
    <t xml:space="preserve">Anouk Wexler</t>
  </si>
  <si>
    <t xml:space="preserve">Vision</t>
  </si>
  <si>
    <t xml:space="preserve">CB-7700003</t>
  </si>
  <si>
    <t xml:space="preserve">Oscar Nakamura</t>
  </si>
  <si>
    <t xml:space="preserve">CB-7700004</t>
  </si>
  <si>
    <t xml:space="preserve">Blythe Arellano</t>
  </si>
  <si>
    <t xml:space="preserve">CB-7700005</t>
  </si>
  <si>
    <t xml:space="preserve">Grace Ortega</t>
  </si>
  <si>
    <t xml:space="preserve">CB-7700006</t>
  </si>
  <si>
    <t xml:space="preserve">Liesel Ortega</t>
  </si>
  <si>
    <t xml:space="preserve">CB-7700007</t>
  </si>
  <si>
    <t xml:space="preserve">Ingrid Zielinski</t>
  </si>
  <si>
    <t xml:space="preserve">CB-7700008</t>
  </si>
  <si>
    <t xml:space="preserve">Halina Dragomir</t>
  </si>
  <si>
    <t xml:space="preserve">CB-7700009</t>
  </si>
  <si>
    <t xml:space="preserve">Aurelio Steinberg</t>
  </si>
  <si>
    <t xml:space="preserve">CB-7700010</t>
  </si>
  <si>
    <t xml:space="preserve">Kirsten Kowalczyk</t>
  </si>
  <si>
    <t xml:space="preserve">CB-7700011</t>
  </si>
  <si>
    <t xml:space="preserve">Emeka Abernathy</t>
  </si>
  <si>
    <t xml:space="preserve">CB-7700012</t>
  </si>
  <si>
    <t xml:space="preserve">Grace Baptiste</t>
  </si>
  <si>
    <t xml:space="preserve">CB-7700013</t>
  </si>
  <si>
    <t xml:space="preserve">Dagny Fontaine</t>
  </si>
  <si>
    <t xml:space="preserve">CB-7700014</t>
  </si>
  <si>
    <t xml:space="preserve">Omar Abernathy</t>
  </si>
  <si>
    <t xml:space="preserve">CB-7700015</t>
  </si>
  <si>
    <t xml:space="preserve">Oscar Dragomir</t>
  </si>
  <si>
    <t xml:space="preserve">CB-7700016</t>
  </si>
  <si>
    <t xml:space="preserve">Wilhelmina Lindgren</t>
  </si>
  <si>
    <t xml:space="preserve">CB-7700017</t>
  </si>
  <si>
    <t xml:space="preserve">Denise Halvorsen</t>
  </si>
  <si>
    <t xml:space="preserve">CB-7700018</t>
  </si>
  <si>
    <t xml:space="preserve">Uma Wexler</t>
  </si>
  <si>
    <t xml:space="preserve">CB-7700019</t>
  </si>
  <si>
    <t xml:space="preserve">Jolene Sorensen</t>
  </si>
  <si>
    <t xml:space="preserve">CB-7700020</t>
  </si>
  <si>
    <t xml:space="preserve">Fiona Bakri</t>
  </si>
  <si>
    <t xml:space="preserve">CB-7700021</t>
  </si>
  <si>
    <t xml:space="preserve">Jolene Pennington</t>
  </si>
  <si>
    <t xml:space="preserve">CB-7700022</t>
  </si>
  <si>
    <t xml:space="preserve">Oscar Foster</t>
  </si>
  <si>
    <t xml:space="preserve">CB-7700023</t>
  </si>
  <si>
    <t xml:space="preserve">Dwayne Hollis</t>
  </si>
  <si>
    <t xml:space="preserve">CB-7700024</t>
  </si>
  <si>
    <t xml:space="preserve">Carmen Lindqvist</t>
  </si>
  <si>
    <t xml:space="preserve">CB-7700025</t>
  </si>
  <si>
    <t xml:space="preserve">Juno Nakamura</t>
  </si>
  <si>
    <t xml:space="preserve">CB-7700026</t>
  </si>
  <si>
    <t xml:space="preserve">Kamal Arellano</t>
  </si>
  <si>
    <t xml:space="preserve">CB-7700027</t>
  </si>
  <si>
    <t xml:space="preserve">Ursa Bakri</t>
  </si>
  <si>
    <t xml:space="preserve">CB-7700028</t>
  </si>
  <si>
    <t xml:space="preserve">Anouk Zielinski</t>
  </si>
  <si>
    <t xml:space="preserve">CB-7700029</t>
  </si>
  <si>
    <t xml:space="preserve">Zora Guzman</t>
  </si>
  <si>
    <t xml:space="preserve">CB-7700030</t>
  </si>
  <si>
    <t xml:space="preserve">Alicia Quintero</t>
  </si>
  <si>
    <t xml:space="preserve">CB-7700031</t>
  </si>
  <si>
    <t xml:space="preserve">Lena Foster</t>
  </si>
  <si>
    <t xml:space="preserve">CB-7700032</t>
  </si>
  <si>
    <t xml:space="preserve">Pascal Ishikawa</t>
  </si>
  <si>
    <t xml:space="preserve">CB-7700033</t>
  </si>
  <si>
    <t xml:space="preserve">Grace Bonaventura</t>
  </si>
  <si>
    <t xml:space="preserve">CB-7700034</t>
  </si>
  <si>
    <t xml:space="preserve">Jonah Okonkwo</t>
  </si>
  <si>
    <t xml:space="preserve">CB-7700035</t>
  </si>
  <si>
    <t xml:space="preserve">Ewan Haverford</t>
  </si>
  <si>
    <t xml:space="preserve">CB-7700036</t>
  </si>
  <si>
    <t xml:space="preserve">Xiomara Ashby</t>
  </si>
  <si>
    <t xml:space="preserve">CB-7700037</t>
  </si>
  <si>
    <t xml:space="preserve">Duncan Bakri</t>
  </si>
  <si>
    <t xml:space="preserve">CB-7700038</t>
  </si>
  <si>
    <t xml:space="preserve">Emeka Nakamura</t>
  </si>
  <si>
    <t xml:space="preserve">CB-7700039</t>
  </si>
  <si>
    <t xml:space="preserve">Saoirse Yamamoto</t>
  </si>
  <si>
    <t xml:space="preserve">CB-7700040</t>
  </si>
  <si>
    <t xml:space="preserve">Bianca Fraser</t>
  </si>
  <si>
    <t xml:space="preserve">CB-7700041</t>
  </si>
  <si>
    <t xml:space="preserve">Yolanda Fraser</t>
  </si>
  <si>
    <t xml:space="preserve">CB-7700042</t>
  </si>
  <si>
    <t xml:space="preserve">Imani Cruz</t>
  </si>
  <si>
    <t xml:space="preserve">CB-7700043</t>
  </si>
  <si>
    <t xml:space="preserve">Maya Vandermeer</t>
  </si>
  <si>
    <t xml:space="preserve">CB-7700044</t>
  </si>
  <si>
    <t xml:space="preserve">Kamal Ashby</t>
  </si>
  <si>
    <t xml:space="preserve">CB-7700045</t>
  </si>
  <si>
    <t xml:space="preserve">Noor Cruz</t>
  </si>
  <si>
    <t xml:space="preserve">CB-7700046</t>
  </si>
  <si>
    <t xml:space="preserve">Uma Nkemdi</t>
  </si>
  <si>
    <t xml:space="preserve">CB-7700047</t>
  </si>
  <si>
    <t xml:space="preserve">Yolanda Dubois</t>
  </si>
  <si>
    <t xml:space="preserve">CB-7700048</t>
  </si>
  <si>
    <t xml:space="preserve">Jolene Haddad</t>
  </si>
  <si>
    <t xml:space="preserve">CB-7700049</t>
  </si>
  <si>
    <t xml:space="preserve">Quincy Okonjo</t>
  </si>
  <si>
    <t xml:space="preserve">CB-7700050</t>
  </si>
  <si>
    <t xml:space="preserve">Jerome Arellano</t>
  </si>
  <si>
    <t xml:space="preserve">CB-7700051</t>
  </si>
  <si>
    <t xml:space="preserve">Xavier Arellano</t>
  </si>
  <si>
    <t xml:space="preserve">CB-7700052</t>
  </si>
  <si>
    <t xml:space="preserve">Wilhelmina Okonkwo</t>
  </si>
  <si>
    <t xml:space="preserve">CB-7700053</t>
  </si>
  <si>
    <t xml:space="preserve">Abel Fontaine</t>
  </si>
  <si>
    <t xml:space="preserve">CB-7700054</t>
  </si>
  <si>
    <t xml:space="preserve">Sunil Steinberg</t>
  </si>
  <si>
    <t xml:space="preserve">CB-7700055</t>
  </si>
  <si>
    <t xml:space="preserve">Bianca Abernathy</t>
  </si>
  <si>
    <t xml:space="preserve">CB-7700056</t>
  </si>
  <si>
    <t xml:space="preserve">Ahmed Ingram</t>
  </si>
  <si>
    <t xml:space="preserve">CB-7700057</t>
  </si>
  <si>
    <t xml:space="preserve">Gilles Okafor</t>
  </si>
  <si>
    <t xml:space="preserve">CB-7700058</t>
  </si>
  <si>
    <t xml:space="preserve">Quentin Sarkisian</t>
  </si>
  <si>
    <t xml:space="preserve">CB-7700059</t>
  </si>
  <si>
    <t xml:space="preserve">Uma Castellanos</t>
  </si>
  <si>
    <t xml:space="preserve">CB-7700060</t>
  </si>
  <si>
    <t xml:space="preserve">Wilhelmina Fontaine</t>
  </si>
  <si>
    <t xml:space="preserve">CB-7700061</t>
  </si>
  <si>
    <t xml:space="preserve">Maya Dubois</t>
  </si>
  <si>
    <t xml:space="preserve">CB-7700062</t>
  </si>
  <si>
    <t xml:space="preserve">Victor Nkemdi</t>
  </si>
  <si>
    <t xml:space="preserve">CB-7700063</t>
  </si>
  <si>
    <t xml:space="preserve">Jerome Lemoine</t>
  </si>
  <si>
    <t xml:space="preserve">CB-7700064</t>
  </si>
  <si>
    <t xml:space="preserve">Idris Fraser</t>
  </si>
  <si>
    <t xml:space="preserve">CB-7700065</t>
  </si>
  <si>
    <t xml:space="preserve">Terrence Jaramillo</t>
  </si>
  <si>
    <t xml:space="preserve">CB-7700066</t>
  </si>
  <si>
    <t xml:space="preserve">Bram Roux</t>
  </si>
  <si>
    <t xml:space="preserve">CB-7700067</t>
  </si>
  <si>
    <t xml:space="preserve">Duncan Thibault</t>
  </si>
  <si>
    <t xml:space="preserve">CB-7700068</t>
  </si>
  <si>
    <t xml:space="preserve">Perrine Okonkwo</t>
  </si>
  <si>
    <t xml:space="preserve">CB-7700069</t>
  </si>
  <si>
    <t xml:space="preserve">Kwesi Lindgren</t>
  </si>
  <si>
    <t xml:space="preserve">CB-7700070</t>
  </si>
  <si>
    <t xml:space="preserve">Sandra Okonjo</t>
  </si>
  <si>
    <t xml:space="preserve">CB-7700071</t>
  </si>
  <si>
    <t xml:space="preserve">Noor Nkemdi</t>
  </si>
  <si>
    <t xml:space="preserve">CB-7700072</t>
  </si>
  <si>
    <t xml:space="preserve">Oscar Dubois</t>
  </si>
  <si>
    <t xml:space="preserve">CB-7700073</t>
  </si>
  <si>
    <t xml:space="preserve">Cormac Baptiste</t>
  </si>
  <si>
    <t xml:space="preserve">CB-7700074</t>
  </si>
  <si>
    <t xml:space="preserve">Vera Quintero</t>
  </si>
  <si>
    <t xml:space="preserve">CB-7700075</t>
  </si>
  <si>
    <t xml:space="preserve">Zora Ruiz</t>
  </si>
  <si>
    <t xml:space="preserve">CB-7700076</t>
  </si>
  <si>
    <t xml:space="preserve">Mateo Wexler</t>
  </si>
  <si>
    <t xml:space="preserve">CB-7700077</t>
  </si>
  <si>
    <t xml:space="preserve">Quentin Haddad</t>
  </si>
  <si>
    <t xml:space="preserve">CB-7700078</t>
  </si>
  <si>
    <t xml:space="preserve">Xiomara Winters</t>
  </si>
  <si>
    <t xml:space="preserve">CB-7700079</t>
  </si>
  <si>
    <t xml:space="preserve">Yolanda Hollis</t>
  </si>
  <si>
    <t xml:space="preserve">CB-7700080</t>
  </si>
  <si>
    <t xml:space="preserve">Wilhelmina Venkatesh</t>
  </si>
  <si>
    <t xml:space="preserve">CB-7700081</t>
  </si>
  <si>
    <t xml:space="preserve">Terrence Liu</t>
  </si>
  <si>
    <t xml:space="preserve">CB-7700082</t>
  </si>
  <si>
    <t xml:space="preserve">Yusuf Ueno</t>
  </si>
  <si>
    <t xml:space="preserve">CB-7700083</t>
  </si>
  <si>
    <t xml:space="preserve">Perrine Cruz</t>
  </si>
  <si>
    <t xml:space="preserve">CB-7700084</t>
  </si>
  <si>
    <t xml:space="preserve">Idris Ruiz</t>
  </si>
  <si>
    <t xml:space="preserve">CB-7700085</t>
  </si>
  <si>
    <t xml:space="preserve">Dagny Fraser</t>
  </si>
  <si>
    <t xml:space="preserve">CB-7700086</t>
  </si>
  <si>
    <t xml:space="preserve">Yolanda Chigozie</t>
  </si>
  <si>
    <t xml:space="preserve">CB-7700087</t>
  </si>
  <si>
    <t xml:space="preserve">Ewan Winters</t>
  </si>
  <si>
    <t xml:space="preserve">CB-7700088</t>
  </si>
  <si>
    <t xml:space="preserve">Kamal Fontaine</t>
  </si>
  <si>
    <t xml:space="preserve">CB-7700089</t>
  </si>
  <si>
    <t xml:space="preserve">Grace Castellanos</t>
  </si>
  <si>
    <t xml:space="preserve">CB-7700090</t>
  </si>
  <si>
    <t xml:space="preserve">Oscar Arellano</t>
  </si>
  <si>
    <t xml:space="preserve">CB-7700091</t>
  </si>
  <si>
    <t xml:space="preserve">Bethany Marchetti</t>
  </si>
  <si>
    <t xml:space="preserve">CB-7700092</t>
  </si>
  <si>
    <t xml:space="preserve">Rasmus Aziz</t>
  </si>
  <si>
    <t xml:space="preserve">CB-7700093</t>
  </si>
  <si>
    <t xml:space="preserve">Alicia Rasmussen</t>
  </si>
  <si>
    <t xml:space="preserve">Life</t>
  </si>
  <si>
    <t xml:space="preserve">CB-7700094</t>
  </si>
  <si>
    <t xml:space="preserve">Hollis Stavros</t>
  </si>
  <si>
    <t xml:space="preserve">CB-7700095</t>
  </si>
  <si>
    <t xml:space="preserve">Bram Stavros</t>
  </si>
  <si>
    <t xml:space="preserve">CB-7700096</t>
  </si>
  <si>
    <t xml:space="preserve">Blythe Fairweather</t>
  </si>
  <si>
    <t xml:space="preserve">CB-7700097</t>
  </si>
  <si>
    <t xml:space="preserve">Jerome Haddad</t>
  </si>
  <si>
    <t xml:space="preserve">CB-7700098</t>
  </si>
  <si>
    <t xml:space="preserve">Tarquin Okonjo</t>
  </si>
  <si>
    <t xml:space="preserve">CB-7700099</t>
  </si>
  <si>
    <t xml:space="preserve">Carmen Villalobos</t>
  </si>
  <si>
    <t xml:space="preserve">CB-7700100</t>
  </si>
  <si>
    <t xml:space="preserve">Saoirse Kowalczyk</t>
  </si>
  <si>
    <t xml:space="preserve">CB-7700101</t>
  </si>
  <si>
    <t xml:space="preserve">Ewan Chatterjee</t>
  </si>
  <si>
    <t xml:space="preserve">CB-7700102</t>
  </si>
  <si>
    <t xml:space="preserve">Oscar Quintero</t>
  </si>
  <si>
    <t xml:space="preserve">CB-7700103</t>
  </si>
  <si>
    <t xml:space="preserve">Sunil Halvorsen</t>
  </si>
  <si>
    <t xml:space="preserve">CB-7700104</t>
  </si>
  <si>
    <t xml:space="preserve">Harold Thompson</t>
  </si>
  <si>
    <t xml:space="preserve">CB-7700105</t>
  </si>
  <si>
    <t xml:space="preserve">Isaac Nyberg</t>
  </si>
  <si>
    <t xml:space="preserve">CB-7700106</t>
  </si>
  <si>
    <t xml:space="preserve">Carmen Chigozie</t>
  </si>
  <si>
    <t xml:space="preserve">CB-7700107</t>
  </si>
  <si>
    <t xml:space="preserve">Yolanda Novak</t>
  </si>
  <si>
    <t xml:space="preserve">CB-7700108</t>
  </si>
  <si>
    <t xml:space="preserve">Petra Okonjo</t>
  </si>
  <si>
    <t xml:space="preserve">CB-7700109</t>
  </si>
  <si>
    <t xml:space="preserve">Jonah Demir</t>
  </si>
  <si>
    <t xml:space="preserve">CB-7700110</t>
  </si>
  <si>
    <t xml:space="preserve">Tamsin Whitmore</t>
  </si>
  <si>
    <t xml:space="preserve">CB-7700111</t>
  </si>
  <si>
    <t xml:space="preserve">Ewan Okafor</t>
  </si>
  <si>
    <t xml:space="preserve">CB-7700112</t>
  </si>
  <si>
    <t xml:space="preserve">Nina Baptiste</t>
  </si>
  <si>
    <t xml:space="preserve">CB-7700113</t>
  </si>
  <si>
    <t xml:space="preserve">Perrine Lemoine</t>
  </si>
  <si>
    <t xml:space="preserve">CB-7700114</t>
  </si>
  <si>
    <t xml:space="preserve">Rafael Bell</t>
  </si>
  <si>
    <t xml:space="preserve">CB-7700115</t>
  </si>
  <si>
    <t xml:space="preserve">Saoirse Castellanos</t>
  </si>
  <si>
    <t xml:space="preserve">CB-7700116</t>
  </si>
  <si>
    <t xml:space="preserve">Ewan Steinberg</t>
  </si>
  <si>
    <t xml:space="preserve">CB-7700117</t>
  </si>
  <si>
    <t xml:space="preserve">Quill Castellanos</t>
  </si>
  <si>
    <t xml:space="preserve">CB-7700118</t>
  </si>
  <si>
    <t xml:space="preserve">Vidal Okonkwo</t>
  </si>
  <si>
    <t xml:space="preserve">CB-7700119</t>
  </si>
  <si>
    <t xml:space="preserve">Nikhil Hobbs</t>
  </si>
  <si>
    <t xml:space="preserve">CB-7700120</t>
  </si>
  <si>
    <t xml:space="preserve">Tamsin Boyd</t>
  </si>
  <si>
    <t xml:space="preserve">CB-7700121</t>
  </si>
  <si>
    <t xml:space="preserve">Yusuf Winters</t>
  </si>
  <si>
    <t xml:space="preserve">CB-7700122</t>
  </si>
  <si>
    <t xml:space="preserve">Nadira Chatterjee</t>
  </si>
  <si>
    <t xml:space="preserve">CB-7700123</t>
  </si>
  <si>
    <t xml:space="preserve">Wilhelmina Chigozie</t>
  </si>
  <si>
    <t xml:space="preserve">CB-7700124</t>
  </si>
  <si>
    <t xml:space="preserve">Dagny Nkemdi</t>
  </si>
  <si>
    <t xml:space="preserve">CB-7700125</t>
  </si>
  <si>
    <t xml:space="preserve">Nikhil Sorensen</t>
  </si>
  <si>
    <t xml:space="preserve">CB-7700126</t>
  </si>
  <si>
    <t xml:space="preserve">Jerome Thibault</t>
  </si>
  <si>
    <t xml:space="preserve">CB-7700127</t>
  </si>
  <si>
    <t xml:space="preserve">Gideon Okonkwo</t>
  </si>
  <si>
    <t xml:space="preserve">CB-7700128</t>
  </si>
  <si>
    <t xml:space="preserve">Nadia Marchetti</t>
  </si>
  <si>
    <t xml:space="preserve">CB-7700129</t>
  </si>
  <si>
    <t xml:space="preserve">Kwesi Vandermeer</t>
  </si>
  <si>
    <t xml:space="preserve">CB-7700130</t>
  </si>
  <si>
    <t xml:space="preserve">Gustavo Delgado</t>
  </si>
  <si>
    <t xml:space="preserve">CB-7700131</t>
  </si>
  <si>
    <t xml:space="preserve">Xiomara Stavros</t>
  </si>
  <si>
    <t xml:space="preserve">CB-7700132</t>
  </si>
  <si>
    <t xml:space="preserve">Yolanda Nasser</t>
  </si>
  <si>
    <t xml:space="preserve">CB-7700133</t>
  </si>
  <si>
    <t xml:space="preserve">Bram Ashby</t>
  </si>
  <si>
    <t xml:space="preserve">CB-7700134</t>
  </si>
  <si>
    <t xml:space="preserve">Alicia Cruz</t>
  </si>
  <si>
    <t xml:space="preserve">CB-7700135</t>
  </si>
  <si>
    <t xml:space="preserve">Victor Baptiste</t>
  </si>
  <si>
    <t xml:space="preserve">CB-7700136</t>
  </si>
  <si>
    <t xml:space="preserve">Grace Beaumont</t>
  </si>
  <si>
    <t xml:space="preserve">CB-7700137</t>
  </si>
  <si>
    <t xml:space="preserve">Bianca Thibault</t>
  </si>
  <si>
    <t xml:space="preserve">CB-7700138</t>
  </si>
  <si>
    <t xml:space="preserve">Aurelio Bonaventura</t>
  </si>
  <si>
    <t xml:space="preserve">CB-7700139</t>
  </si>
  <si>
    <t xml:space="preserve">Bethany Lemoine</t>
  </si>
  <si>
    <t xml:space="preserve">CB-7700140</t>
  </si>
  <si>
    <t xml:space="preserve">Dagny Reyes</t>
  </si>
  <si>
    <t xml:space="preserve">CB-7700141</t>
  </si>
  <si>
    <t xml:space="preserve">Dwayne Quiroga</t>
  </si>
  <si>
    <t xml:space="preserve">CB-7700142</t>
  </si>
  <si>
    <t xml:space="preserve">Leon Hobbs</t>
  </si>
  <si>
    <t xml:space="preserve">CB-7700143</t>
  </si>
  <si>
    <t xml:space="preserve">Quentin Winters</t>
  </si>
  <si>
    <t xml:space="preserve">CB-7700144</t>
  </si>
  <si>
    <t xml:space="preserve">Marcus Whitmore</t>
  </si>
  <si>
    <t xml:space="preserve">CB-7700145</t>
  </si>
  <si>
    <t xml:space="preserve">Marcus Pennington</t>
  </si>
  <si>
    <t xml:space="preserve">CB-7700146</t>
  </si>
  <si>
    <t xml:space="preserve">Yannick Lindqvist</t>
  </si>
  <si>
    <t xml:space="preserve">CB-7700147</t>
  </si>
  <si>
    <t xml:space="preserve">Tobias Raman</t>
  </si>
  <si>
    <t xml:space="preserve">CB-7700148</t>
  </si>
  <si>
    <t xml:space="preserve">Ursa Sarkisian</t>
  </si>
  <si>
    <t xml:space="preserve">CB-7700149</t>
  </si>
  <si>
    <t xml:space="preserve">Terrence Bell</t>
  </si>
  <si>
    <t xml:space="preserve">CB-7700150</t>
  </si>
  <si>
    <t xml:space="preserve">Gustavo Venkatesh</t>
  </si>
  <si>
    <t xml:space="preserve">CB-7700151</t>
  </si>
  <si>
    <t xml:space="preserve">Petra Dubois</t>
  </si>
  <si>
    <t xml:space="preserve">CB-7700152</t>
  </si>
  <si>
    <t xml:space="preserve">Liesel Fontaine</t>
  </si>
  <si>
    <t xml:space="preserve">CB-7700153</t>
  </si>
  <si>
    <t xml:space="preserve">Mireille Winters</t>
  </si>
  <si>
    <t xml:space="preserve">CB-7700154</t>
  </si>
  <si>
    <t xml:space="preserve">Gilles Raman</t>
  </si>
  <si>
    <t xml:space="preserve">CB-7700155</t>
  </si>
  <si>
    <t xml:space="preserve">Duncan Cruz</t>
  </si>
  <si>
    <t xml:space="preserve">CB-7700156</t>
  </si>
  <si>
    <t xml:space="preserve">Zora Okafor</t>
  </si>
  <si>
    <t xml:space="preserve">CB-7700157</t>
  </si>
  <si>
    <t xml:space="preserve">Ingrid Novak</t>
  </si>
  <si>
    <t xml:space="preserve">CB-7700158</t>
  </si>
  <si>
    <t xml:space="preserve">Lena Demir</t>
  </si>
  <si>
    <t xml:space="preserve">CB-7700159</t>
  </si>
  <si>
    <t xml:space="preserve">Gideon Haddad</t>
  </si>
  <si>
    <t xml:space="preserve">CB-7700160</t>
  </si>
  <si>
    <t xml:space="preserve">Petra Reyes</t>
  </si>
  <si>
    <t xml:space="preserve">CB-7700161</t>
  </si>
  <si>
    <t xml:space="preserve">Sunil Quiroga</t>
  </si>
  <si>
    <t xml:space="preserve">CB-7700162</t>
  </si>
  <si>
    <t xml:space="preserve">Ingrid Venkatesh</t>
  </si>
  <si>
    <t xml:space="preserve">CB-7700163</t>
  </si>
  <si>
    <t xml:space="preserve">Jerome Wexler</t>
  </si>
  <si>
    <t xml:space="preserve">CB-7700164</t>
  </si>
  <si>
    <t xml:space="preserve">Lorna Aziz</t>
  </si>
  <si>
    <t xml:space="preserve">CB-7700165</t>
  </si>
  <si>
    <t xml:space="preserve">Dmitri Halvorsen</t>
  </si>
  <si>
    <t xml:space="preserve">CB-7700166</t>
  </si>
  <si>
    <t xml:space="preserve">Quill Nkemdi</t>
  </si>
  <si>
    <t xml:space="preserve">CB-7700167</t>
  </si>
  <si>
    <t xml:space="preserve">Dmitri Hobbs</t>
  </si>
  <si>
    <t xml:space="preserve">CB-7700168</t>
  </si>
  <si>
    <t xml:space="preserve">Xavier Hollis</t>
  </si>
  <si>
    <t xml:space="preserve">CB-7700169</t>
  </si>
  <si>
    <t xml:space="preserve">Idris Bonaventura</t>
  </si>
  <si>
    <t xml:space="preserve">CB-7700170</t>
  </si>
  <si>
    <t xml:space="preserve">Vidal Castellano</t>
  </si>
  <si>
    <t xml:space="preserve">CB-7700171</t>
  </si>
  <si>
    <t xml:space="preserve">Yannick Guzman</t>
  </si>
  <si>
    <t xml:space="preserve">CB-7700172</t>
  </si>
  <si>
    <t xml:space="preserve">Ewan Nkemdi</t>
  </si>
  <si>
    <t xml:space="preserve">CB-7700173</t>
  </si>
  <si>
    <t xml:space="preserve">Gilles Rasmussen</t>
  </si>
  <si>
    <t xml:space="preserve">CB-7700174</t>
  </si>
  <si>
    <t xml:space="preserve">Grace Pennington</t>
  </si>
  <si>
    <t xml:space="preserve">CB-7700175</t>
  </si>
  <si>
    <t xml:space="preserve">Nikhil Yamamoto</t>
  </si>
  <si>
    <t xml:space="preserve">CB-7700176</t>
  </si>
  <si>
    <t xml:space="preserve">Yolanda Venkatesh</t>
  </si>
  <si>
    <t xml:space="preserve">CB-7700177</t>
  </si>
  <si>
    <t xml:space="preserve">Kamal Fairweather</t>
  </si>
  <si>
    <t xml:space="preserve">CB-7700178</t>
  </si>
  <si>
    <t xml:space="preserve">Rhona Ingram</t>
  </si>
  <si>
    <t xml:space="preserve">CB-7700179</t>
  </si>
  <si>
    <t xml:space="preserve">Cormac Reyes</t>
  </si>
  <si>
    <t xml:space="preserve">CB-7700180</t>
  </si>
  <si>
    <t xml:space="preserve">Denise Peralta</t>
  </si>
  <si>
    <t xml:space="preserve">CB-7700181</t>
  </si>
  <si>
    <t xml:space="preserve">Lena Achebe</t>
  </si>
  <si>
    <t xml:space="preserve">CB-7700182</t>
  </si>
  <si>
    <t xml:space="preserve">Jonah Lindgren</t>
  </si>
  <si>
    <t xml:space="preserve">CB-7700183</t>
  </si>
  <si>
    <t xml:space="preserve">Grace Ruiz</t>
  </si>
  <si>
    <t xml:space="preserve">CB-7700184</t>
  </si>
  <si>
    <t xml:space="preserve">Vera Guzman</t>
  </si>
  <si>
    <t xml:space="preserve">CB-7700185</t>
  </si>
  <si>
    <t xml:space="preserve">Marcus Castellano</t>
  </si>
  <si>
    <t xml:space="preserve">CB-7700186</t>
  </si>
  <si>
    <t xml:space="preserve">Mireille Quintero</t>
  </si>
  <si>
    <t xml:space="preserve">CB-7700187</t>
  </si>
  <si>
    <t xml:space="preserve">Blythe Eberhardt</t>
  </si>
  <si>
    <t xml:space="preserve">CB-7700188</t>
  </si>
  <si>
    <t xml:space="preserve">Elena Lindqvist</t>
  </si>
  <si>
    <t xml:space="preserve">CB-7700189</t>
  </si>
  <si>
    <t xml:space="preserve">Harold Nasser</t>
  </si>
  <si>
    <t xml:space="preserve">CB-7700190</t>
  </si>
  <si>
    <t xml:space="preserve">Priya Fairweather</t>
  </si>
  <si>
    <t xml:space="preserve">CB-7700191</t>
  </si>
  <si>
    <t xml:space="preserve">Farah Chatterjee</t>
  </si>
  <si>
    <t xml:space="preserve">CB-7700192</t>
  </si>
  <si>
    <t xml:space="preserve">Rafael Bonaventura</t>
  </si>
  <si>
    <t xml:space="preserve">CB-7700193</t>
  </si>
  <si>
    <t xml:space="preserve">Rasmus Bonaventura</t>
  </si>
  <si>
    <t xml:space="preserve">CB-7700194</t>
  </si>
  <si>
    <t xml:space="preserve">Elena Foster</t>
  </si>
  <si>
    <t xml:space="preserve">CB-7700195</t>
  </si>
  <si>
    <t xml:space="preserve">Kwesi MacAllister</t>
  </si>
  <si>
    <t xml:space="preserve">CB-7700196</t>
  </si>
  <si>
    <t xml:space="preserve">Perrine Dragomir</t>
  </si>
  <si>
    <t xml:space="preserve">CB-7700197</t>
  </si>
  <si>
    <t xml:space="preserve">Ulises MacAllister</t>
  </si>
  <si>
    <t xml:space="preserve">CB-7700198</t>
  </si>
  <si>
    <t xml:space="preserve">Osric Abernathy</t>
  </si>
  <si>
    <t xml:space="preserve">CB-7700199</t>
  </si>
  <si>
    <t xml:space="preserve">Rafael Okafor</t>
  </si>
  <si>
    <t xml:space="preserve">CB-7700200</t>
  </si>
  <si>
    <t xml:space="preserve">Kamal Bakri</t>
  </si>
  <si>
    <t xml:space="preserve">CB-7700201</t>
  </si>
  <si>
    <t xml:space="preserve">Denise Lindgren</t>
  </si>
  <si>
    <t xml:space="preserve">CB-7700202</t>
  </si>
  <si>
    <t xml:space="preserve">Jolene Hobbs</t>
  </si>
  <si>
    <t xml:space="preserve">CB-7700203</t>
  </si>
  <si>
    <t xml:space="preserve">Marcus Winters</t>
  </si>
  <si>
    <t xml:space="preserve">CB-7700204</t>
  </si>
  <si>
    <t xml:space="preserve">Cyril Sorensen</t>
  </si>
  <si>
    <t xml:space="preserve">CB-7700205</t>
  </si>
  <si>
    <t xml:space="preserve">Leon Castellano</t>
  </si>
  <si>
    <t xml:space="preserve">CB-7700206</t>
  </si>
  <si>
    <t xml:space="preserve">Delia Dubois</t>
  </si>
  <si>
    <t xml:space="preserve">CB-7700207</t>
  </si>
  <si>
    <t xml:space="preserve">Petra Okonkwo</t>
  </si>
  <si>
    <t xml:space="preserve">CB-7700208</t>
  </si>
  <si>
    <t xml:space="preserve">Quincy Beaumont</t>
  </si>
  <si>
    <t xml:space="preserve">CB-7700209</t>
  </si>
  <si>
    <t xml:space="preserve">Emeka Okonkwo</t>
  </si>
  <si>
    <t xml:space="preserve">CB-7700210</t>
  </si>
  <si>
    <t xml:space="preserve">Nikhil Delgado</t>
  </si>
  <si>
    <t xml:space="preserve">CB-7700211</t>
  </si>
  <si>
    <t xml:space="preserve">Mateo Nkemdi</t>
  </si>
  <si>
    <t xml:space="preserve">CB-7700212</t>
  </si>
  <si>
    <t xml:space="preserve">Gilles Aziz</t>
  </si>
  <si>
    <t xml:space="preserve">CB-7700213</t>
  </si>
  <si>
    <t xml:space="preserve">Harold Arellano</t>
  </si>
  <si>
    <t xml:space="preserve">CB-7700214</t>
  </si>
  <si>
    <t xml:space="preserve">Nikhil Wexler</t>
  </si>
  <si>
    <t xml:space="preserve">CB-7700215</t>
  </si>
  <si>
    <t xml:space="preserve">Odette Bell</t>
  </si>
  <si>
    <t xml:space="preserve">CB-7700216</t>
  </si>
  <si>
    <t xml:space="preserve">Delia Demir</t>
  </si>
  <si>
    <t xml:space="preserve">CB-7700217</t>
  </si>
  <si>
    <t xml:space="preserve">Jonah Nkemdi</t>
  </si>
  <si>
    <t xml:space="preserve">CB-7700218</t>
  </si>
  <si>
    <t xml:space="preserve">Ulises Thompson</t>
  </si>
  <si>
    <t xml:space="preserve">CB-7700219</t>
  </si>
  <si>
    <t xml:space="preserve">Osric Raman</t>
  </si>
  <si>
    <t xml:space="preserve">CB-7700220</t>
  </si>
  <si>
    <t xml:space="preserve">Derek Arellano</t>
  </si>
  <si>
    <t xml:space="preserve">CB-7700221</t>
  </si>
  <si>
    <t xml:space="preserve">Terrence Yamamoto</t>
  </si>
  <si>
    <t xml:space="preserve">CB-7700222</t>
  </si>
  <si>
    <t xml:space="preserve">Perrine Nasser</t>
  </si>
  <si>
    <t xml:space="preserve">CB-7700223</t>
  </si>
  <si>
    <t xml:space="preserve">Xiomara Pryor</t>
  </si>
  <si>
    <t xml:space="preserve">CB-7700224</t>
  </si>
  <si>
    <t xml:space="preserve">Rhona Jaramillo</t>
  </si>
  <si>
    <t xml:space="preserve">CB-7700225</t>
  </si>
  <si>
    <t xml:space="preserve">Nadia Okonjo</t>
  </si>
  <si>
    <t xml:space="preserve">CB-7700226</t>
  </si>
  <si>
    <t xml:space="preserve">Nadira Rasmussen</t>
  </si>
  <si>
    <t xml:space="preserve">CB-7700227</t>
  </si>
  <si>
    <t xml:space="preserve">Steven Winters</t>
  </si>
  <si>
    <t xml:space="preserve">CB-7700228</t>
  </si>
  <si>
    <t xml:space="preserve">Cormac Fraser</t>
  </si>
  <si>
    <t xml:space="preserve">CB-7700229</t>
  </si>
  <si>
    <t xml:space="preserve">Yusuf Sorensen</t>
  </si>
  <si>
    <t xml:space="preserve">CB-7700230</t>
  </si>
  <si>
    <t xml:space="preserve">Yannick Delgado</t>
  </si>
  <si>
    <t xml:space="preserve">CB-7700231</t>
  </si>
  <si>
    <t xml:space="preserve">Nadira Chigozie</t>
  </si>
  <si>
    <t xml:space="preserve">CB-7700232</t>
  </si>
  <si>
    <t xml:space="preserve">Osric Ishikawa</t>
  </si>
  <si>
    <t xml:space="preserve">CB-7700233</t>
  </si>
  <si>
    <t xml:space="preserve">Kamal Nasser</t>
  </si>
  <si>
    <t xml:space="preserve">CB-7700234</t>
  </si>
  <si>
    <t xml:space="preserve">Xiomara Boyd</t>
  </si>
  <si>
    <t xml:space="preserve">CB-7700235</t>
  </si>
  <si>
    <t xml:space="preserve">Delia Quiroga</t>
  </si>
  <si>
    <t xml:space="preserve">CB-7700236</t>
  </si>
  <si>
    <t xml:space="preserve">Denise Raman</t>
  </si>
  <si>
    <t xml:space="preserve">CB-7700237</t>
  </si>
  <si>
    <t xml:space="preserve">Caius Okonkwo</t>
  </si>
  <si>
    <t xml:space="preserve">CB-7700238</t>
  </si>
  <si>
    <t xml:space="preserve">Hollis Okafor</t>
  </si>
  <si>
    <t xml:space="preserve">CB-7700239</t>
  </si>
  <si>
    <t xml:space="preserve">Quincy Ashby</t>
  </si>
  <si>
    <t xml:space="preserve">CB-7700240</t>
  </si>
  <si>
    <t xml:space="preserve">Dmitri Obi</t>
  </si>
  <si>
    <t xml:space="preserve">CB-7700241</t>
  </si>
  <si>
    <t xml:space="preserve">Delia Haverford</t>
  </si>
  <si>
    <t xml:space="preserve">CB-7700242</t>
  </si>
  <si>
    <t xml:space="preserve">Fenna Fontaine</t>
  </si>
  <si>
    <t xml:space="preserve">CB-7700243</t>
  </si>
  <si>
    <t xml:space="preserve">Jerome Guzman</t>
  </si>
  <si>
    <t xml:space="preserve">CB-7700244</t>
  </si>
  <si>
    <t xml:space="preserve">Petra Nasser</t>
  </si>
  <si>
    <t xml:space="preserve">CB-7700245</t>
  </si>
  <si>
    <t xml:space="preserve">Sable Halvorsen</t>
  </si>
  <si>
    <t xml:space="preserve">CB-7700246</t>
  </si>
  <si>
    <t xml:space="preserve">Idris Okonkwo</t>
  </si>
  <si>
    <t xml:space="preserve">CB-7700247</t>
  </si>
  <si>
    <t xml:space="preserve">Gustavo Nasser</t>
  </si>
  <si>
    <t xml:space="preserve">CB-7700248</t>
  </si>
  <si>
    <t xml:space="preserve">Carmen Lemoine</t>
  </si>
  <si>
    <t xml:space="preserve">CB-7700249</t>
  </si>
  <si>
    <t xml:space="preserve">Denise Lindqvist</t>
  </si>
  <si>
    <t xml:space="preserve">CB-7700250</t>
  </si>
  <si>
    <t xml:space="preserve">Marek Bakri</t>
  </si>
  <si>
    <t xml:space="preserve">CB-7700251</t>
  </si>
  <si>
    <t xml:space="preserve">Pascal Delgado</t>
  </si>
  <si>
    <t xml:space="preserve">CB-7700252</t>
  </si>
  <si>
    <t xml:space="preserve">Tobias Achebe</t>
  </si>
  <si>
    <t xml:space="preserve">CB-7700253</t>
  </si>
  <si>
    <t xml:space="preserve">Noor Whitmore</t>
  </si>
  <si>
    <t xml:space="preserve">CB-7700254</t>
  </si>
  <si>
    <t xml:space="preserve">Petra Raman</t>
  </si>
  <si>
    <t xml:space="preserve">CB-7700255</t>
  </si>
  <si>
    <t xml:space="preserve">Pascal Marchetti</t>
  </si>
  <si>
    <t xml:space="preserve">CB-7700256</t>
  </si>
  <si>
    <t xml:space="preserve">Kirsten Aziz</t>
  </si>
  <si>
    <t xml:space="preserve">CB-7700257</t>
  </si>
  <si>
    <t xml:space="preserve">Fiona Jaramillo</t>
  </si>
  <si>
    <t xml:space="preserve">CB-7700258</t>
  </si>
  <si>
    <t xml:space="preserve">Nadira Dragomir</t>
  </si>
  <si>
    <t xml:space="preserve">CB-7700259</t>
  </si>
  <si>
    <t xml:space="preserve">Denise Reyes</t>
  </si>
  <si>
    <t xml:space="preserve">CB-7700260</t>
  </si>
  <si>
    <t xml:space="preserve">Steven Villalobos</t>
  </si>
  <si>
    <t xml:space="preserve">CB-7700261</t>
  </si>
  <si>
    <t xml:space="preserve">Sunil Vandermeer</t>
  </si>
  <si>
    <t xml:space="preserve">CB-7700262</t>
  </si>
  <si>
    <t xml:space="preserve">Vidal Demir</t>
  </si>
  <si>
    <t xml:space="preserve">CB-7700263</t>
  </si>
  <si>
    <t xml:space="preserve">Xiomara Jaramillo</t>
  </si>
  <si>
    <t xml:space="preserve">CB-7700264</t>
  </si>
  <si>
    <t xml:space="preserve">Zora Pennington</t>
  </si>
  <si>
    <t xml:space="preserve">CB-7700265</t>
  </si>
  <si>
    <t xml:space="preserve">Yusuf Sarkisian</t>
  </si>
  <si>
    <t xml:space="preserve">CB-7700266</t>
  </si>
  <si>
    <t xml:space="preserve">Wendell Obi</t>
  </si>
  <si>
    <t xml:space="preserve">CB-7700267</t>
  </si>
  <si>
    <t xml:space="preserve">Saoirse Demir</t>
  </si>
  <si>
    <t xml:space="preserve">CB-7700268</t>
  </si>
  <si>
    <t xml:space="preserve">Halina Yamamoto</t>
  </si>
  <si>
    <t xml:space="preserve">CB-7700269</t>
  </si>
  <si>
    <t xml:space="preserve">Rafael Lindqvist</t>
  </si>
  <si>
    <t xml:space="preserve">CB-7700270</t>
  </si>
  <si>
    <t xml:space="preserve">Bram Novak</t>
  </si>
  <si>
    <t xml:space="preserve">CB-7700271</t>
  </si>
  <si>
    <t xml:space="preserve">Duncan Steinberg</t>
  </si>
  <si>
    <t xml:space="preserve">CB-7700272</t>
  </si>
  <si>
    <t xml:space="preserve">Marek Demir</t>
  </si>
  <si>
    <t xml:space="preserve">CB-7700273</t>
  </si>
  <si>
    <t xml:space="preserve">Nikhil Valdez</t>
  </si>
  <si>
    <t xml:space="preserve">CB-7700274</t>
  </si>
  <si>
    <t xml:space="preserve">Bianca Aziz</t>
  </si>
  <si>
    <t xml:space="preserve">CB-7700275</t>
  </si>
  <si>
    <t xml:space="preserve">Grace MacAllister</t>
  </si>
  <si>
    <t xml:space="preserve">CB-7700276</t>
  </si>
  <si>
    <t xml:space="preserve">Nikhil Chatterjee</t>
  </si>
  <si>
    <t xml:space="preserve">CB-7700277</t>
  </si>
  <si>
    <t xml:space="preserve">Yolanda Okonjo</t>
  </si>
  <si>
    <t xml:space="preserve">CB-7700278</t>
  </si>
  <si>
    <t xml:space="preserve">Aurelio Castellanos</t>
  </si>
  <si>
    <t xml:space="preserve">CB-7700279</t>
  </si>
  <si>
    <t xml:space="preserve">Vidal Haddad</t>
  </si>
  <si>
    <t xml:space="preserve">CB-7700280</t>
  </si>
  <si>
    <t xml:space="preserve">Uma Ferrara</t>
  </si>
  <si>
    <t xml:space="preserve">CB-7700281</t>
  </si>
  <si>
    <t xml:space="preserve">Tamsin Petrova</t>
  </si>
  <si>
    <t xml:space="preserve">CB-7700282</t>
  </si>
  <si>
    <t xml:space="preserve">Hana Castellanos</t>
  </si>
  <si>
    <t xml:space="preserve">CB-7700283</t>
  </si>
  <si>
    <t xml:space="preserve">Quill Dragomir</t>
  </si>
  <si>
    <t xml:space="preserve">CB-7700284</t>
  </si>
  <si>
    <t xml:space="preserve">Rhona Petrova</t>
  </si>
  <si>
    <t xml:space="preserve">CB-7700285</t>
  </si>
  <si>
    <t xml:space="preserve">Perrine Stavros</t>
  </si>
  <si>
    <t xml:space="preserve">Employer contacts</t>
  </si>
  <si>
    <t xml:space="preserve">101 contacts carrying 210 planned employer calls. Employer calls come from a person, not a company, and which person matters: the authority field records whether that contact can bind the group, because it decides what an agent may action without a second approval. A payroll administrator asking to change contribution is a different call from a CFO asking the same thing. In the smallest groups the caller is usually the owner or a bookkeeper rather than an HR function, which is realistic and changes the tone and the knowledge level of those calls considerably.</t>
  </si>
  <si>
    <t xml:space="preserve">Contact ID</t>
  </si>
  <si>
    <t xml:space="preserve">Contact name</t>
  </si>
  <si>
    <t xml:space="preserve">Role</t>
  </si>
  <si>
    <t xml:space="preserve">Authority</t>
  </si>
  <si>
    <t xml:space="preserve">CON-101</t>
  </si>
  <si>
    <t xml:space="preserve">Quentin Thibault</t>
  </si>
  <si>
    <t xml:space="preserve">Payroll Administrator</t>
  </si>
  <si>
    <t xml:space="preserve">cannot bind</t>
  </si>
  <si>
    <t xml:space="preserve">CON-102</t>
  </si>
  <si>
    <t xml:space="preserve">Duncan Raman</t>
  </si>
  <si>
    <t xml:space="preserve">Office Manager</t>
  </si>
  <si>
    <t xml:space="preserve">CON-103</t>
  </si>
  <si>
    <t xml:space="preserve">CON-104</t>
  </si>
  <si>
    <t xml:space="preserve">Sandra Nasser</t>
  </si>
  <si>
    <t xml:space="preserve">Controller</t>
  </si>
  <si>
    <t xml:space="preserve">can bind</t>
  </si>
  <si>
    <t xml:space="preserve">CON-105</t>
  </si>
  <si>
    <t xml:space="preserve">Lorna Sarkisian</t>
  </si>
  <si>
    <t xml:space="preserve">CON-106</t>
  </si>
  <si>
    <t xml:space="preserve">Gideon Hollis</t>
  </si>
  <si>
    <t xml:space="preserve">HR Manager</t>
  </si>
  <si>
    <t xml:space="preserve">CON-107</t>
  </si>
  <si>
    <t xml:space="preserve">Quill Lindqvist</t>
  </si>
  <si>
    <t xml:space="preserve">HR Coordinator</t>
  </si>
  <si>
    <t xml:space="preserve">CON-108</t>
  </si>
  <si>
    <t xml:space="preserve">Gideon Nkemdi</t>
  </si>
  <si>
    <t xml:space="preserve">HR Director</t>
  </si>
  <si>
    <t xml:space="preserve">CON-109</t>
  </si>
  <si>
    <t xml:space="preserve">Dmitri Jaramillo</t>
  </si>
  <si>
    <t xml:space="preserve">Benefits Administrator</t>
  </si>
  <si>
    <t xml:space="preserve">CON-110</t>
  </si>
  <si>
    <t xml:space="preserve">Aurelio Pryor</t>
  </si>
  <si>
    <t xml:space="preserve">CON-111</t>
  </si>
  <si>
    <t xml:space="preserve">Sunil Baptiste</t>
  </si>
  <si>
    <t xml:space="preserve">Bookkeeper</t>
  </si>
  <si>
    <t xml:space="preserve">CON-112</t>
  </si>
  <si>
    <t xml:space="preserve">Vera Villalobos</t>
  </si>
  <si>
    <t xml:space="preserve">CON-113</t>
  </si>
  <si>
    <t xml:space="preserve">Zadie Yamamoto</t>
  </si>
  <si>
    <t xml:space="preserve">CFO</t>
  </si>
  <si>
    <t xml:space="preserve">CON-114</t>
  </si>
  <si>
    <t xml:space="preserve">Rasmus Nkemdi</t>
  </si>
  <si>
    <t xml:space="preserve">CON-115</t>
  </si>
  <si>
    <t xml:space="preserve">Dagny Yamamoto</t>
  </si>
  <si>
    <t xml:space="preserve">CON-116</t>
  </si>
  <si>
    <t xml:space="preserve">Wendell Wexler</t>
  </si>
  <si>
    <t xml:space="preserve">CON-117</t>
  </si>
  <si>
    <t xml:space="preserve">Mateo Okonjo</t>
  </si>
  <si>
    <t xml:space="preserve">CON-118</t>
  </si>
  <si>
    <t xml:space="preserve">Derek Kowalczyk</t>
  </si>
  <si>
    <t xml:space="preserve">CON-119</t>
  </si>
  <si>
    <t xml:space="preserve">CON-120</t>
  </si>
  <si>
    <t xml:space="preserve">Xavier Sarkisian</t>
  </si>
  <si>
    <t xml:space="preserve">CON-121</t>
  </si>
  <si>
    <t xml:space="preserve">Ahmed Steinberg</t>
  </si>
  <si>
    <t xml:space="preserve">CON-122</t>
  </si>
  <si>
    <t xml:space="preserve">Jonah Hollis</t>
  </si>
  <si>
    <t xml:space="preserve">CON-123</t>
  </si>
  <si>
    <t xml:space="preserve">Vidal Fraser</t>
  </si>
  <si>
    <t xml:space="preserve">CON-124</t>
  </si>
  <si>
    <t xml:space="preserve">Jolene Winters</t>
  </si>
  <si>
    <t xml:space="preserve">CON-125</t>
  </si>
  <si>
    <t xml:space="preserve">Rafael Sarkisian</t>
  </si>
  <si>
    <t xml:space="preserve">CON-126</t>
  </si>
  <si>
    <t xml:space="preserve">Juno Nkemdi</t>
  </si>
  <si>
    <t xml:space="preserve">CON-127</t>
  </si>
  <si>
    <t xml:space="preserve">Sandra Peralta</t>
  </si>
  <si>
    <t xml:space="preserve">CON-128</t>
  </si>
  <si>
    <t xml:space="preserve">Anouk Chigozie</t>
  </si>
  <si>
    <t xml:space="preserve">CON-129</t>
  </si>
  <si>
    <t xml:space="preserve">Quill Ashby</t>
  </si>
  <si>
    <t xml:space="preserve">CON-130</t>
  </si>
  <si>
    <t xml:space="preserve">CON-131</t>
  </si>
  <si>
    <t xml:space="preserve">Caius Villalobos</t>
  </si>
  <si>
    <t xml:space="preserve">CON-132</t>
  </si>
  <si>
    <t xml:space="preserve">Noor Fairweather</t>
  </si>
  <si>
    <t xml:space="preserve">CON-133</t>
  </si>
  <si>
    <t xml:space="preserve">Omar Fontaine</t>
  </si>
  <si>
    <t xml:space="preserve">CON-134</t>
  </si>
  <si>
    <t xml:space="preserve">Pascal Raman</t>
  </si>
  <si>
    <t xml:space="preserve">CON-135</t>
  </si>
  <si>
    <t xml:space="preserve">Omar Fraser</t>
  </si>
  <si>
    <t xml:space="preserve">CON-136</t>
  </si>
  <si>
    <t xml:space="preserve">Tobias Bonaventura</t>
  </si>
  <si>
    <t xml:space="preserve">CON-137</t>
  </si>
  <si>
    <t xml:space="preserve">Sandra Villalobos</t>
  </si>
  <si>
    <t xml:space="preserve">CON-138</t>
  </si>
  <si>
    <t xml:space="preserve">Emeka Pryor</t>
  </si>
  <si>
    <t xml:space="preserve">CON-139</t>
  </si>
  <si>
    <t xml:space="preserve">Saoirse Venkatesh</t>
  </si>
  <si>
    <t xml:space="preserve">CON-140</t>
  </si>
  <si>
    <t xml:space="preserve">CON-141</t>
  </si>
  <si>
    <t xml:space="preserve">Xavier Lindgren</t>
  </si>
  <si>
    <t xml:space="preserve">CON-142</t>
  </si>
  <si>
    <t xml:space="preserve">Imani Hobbs</t>
  </si>
  <si>
    <t xml:space="preserve">CON-143</t>
  </si>
  <si>
    <t xml:space="preserve">Ingrid Quiroga</t>
  </si>
  <si>
    <t xml:space="preserve">CON-144</t>
  </si>
  <si>
    <t xml:space="preserve">CON-145</t>
  </si>
  <si>
    <t xml:space="preserve">Jonah Thibault</t>
  </si>
  <si>
    <t xml:space="preserve">CON-146</t>
  </si>
  <si>
    <t xml:space="preserve">CON-147</t>
  </si>
  <si>
    <t xml:space="preserve">Leon Boyd</t>
  </si>
  <si>
    <t xml:space="preserve">CON-148</t>
  </si>
  <si>
    <t xml:space="preserve">Mireille Nyberg</t>
  </si>
  <si>
    <t xml:space="preserve">CON-149</t>
  </si>
  <si>
    <t xml:space="preserve">Abel Villalobos</t>
  </si>
  <si>
    <t xml:space="preserve">CON-150</t>
  </si>
  <si>
    <t xml:space="preserve">Nina Bonaventura</t>
  </si>
  <si>
    <t xml:space="preserve">CON-151</t>
  </si>
  <si>
    <t xml:space="preserve">Uma Villalobos</t>
  </si>
  <si>
    <t xml:space="preserve">CON-152</t>
  </si>
  <si>
    <t xml:space="preserve">Anouk Yamamoto</t>
  </si>
  <si>
    <t xml:space="preserve">CON-153</t>
  </si>
  <si>
    <t xml:space="preserve">Quentin Reyes</t>
  </si>
  <si>
    <t xml:space="preserve">CON-154</t>
  </si>
  <si>
    <t xml:space="preserve">Dmitri Arellano</t>
  </si>
  <si>
    <t xml:space="preserve">CON-155</t>
  </si>
  <si>
    <t xml:space="preserve">Gustavo Jaramillo</t>
  </si>
  <si>
    <t xml:space="preserve">CON-156</t>
  </si>
  <si>
    <t xml:space="preserve">Rasmus Demir</t>
  </si>
  <si>
    <t xml:space="preserve">CON-157</t>
  </si>
  <si>
    <t xml:space="preserve">Xavier Fraser</t>
  </si>
  <si>
    <t xml:space="preserve">CON-158</t>
  </si>
  <si>
    <t xml:space="preserve">Leon Ueno</t>
  </si>
  <si>
    <t xml:space="preserve">CON-159</t>
  </si>
  <si>
    <t xml:space="preserve">Gustavo Petrova</t>
  </si>
  <si>
    <t xml:space="preserve">CON-160</t>
  </si>
  <si>
    <t xml:space="preserve">Denise Valdez</t>
  </si>
  <si>
    <t xml:space="preserve">CON-161</t>
  </si>
  <si>
    <t xml:space="preserve">Pascal Ferrara</t>
  </si>
  <si>
    <t xml:space="preserve">CON-162</t>
  </si>
  <si>
    <t xml:space="preserve">CON-163</t>
  </si>
  <si>
    <t xml:space="preserve">Yusuf Ashby</t>
  </si>
  <si>
    <t xml:space="preserve">CON-164</t>
  </si>
  <si>
    <t xml:space="preserve">Lena Nakamura</t>
  </si>
  <si>
    <t xml:space="preserve">CON-165</t>
  </si>
  <si>
    <t xml:space="preserve">Lena Boyd</t>
  </si>
  <si>
    <t xml:space="preserve">CON-166</t>
  </si>
  <si>
    <t xml:space="preserve">Dagny Sorensen</t>
  </si>
  <si>
    <t xml:space="preserve">CON-167</t>
  </si>
  <si>
    <t xml:space="preserve">Uma Petrova</t>
  </si>
  <si>
    <t xml:space="preserve">CON-168</t>
  </si>
  <si>
    <t xml:space="preserve">Sable Cruz</t>
  </si>
  <si>
    <t xml:space="preserve">CON-169</t>
  </si>
  <si>
    <t xml:space="preserve">Sable Hobbs</t>
  </si>
  <si>
    <t xml:space="preserve">CON-170</t>
  </si>
  <si>
    <t xml:space="preserve">Oscar Baptiste</t>
  </si>
  <si>
    <t xml:space="preserve">CON-171</t>
  </si>
  <si>
    <t xml:space="preserve">Ewan Castellanos</t>
  </si>
  <si>
    <t xml:space="preserve">CON-172</t>
  </si>
  <si>
    <t xml:space="preserve">Bethany Delgado</t>
  </si>
  <si>
    <t xml:space="preserve">CON-173</t>
  </si>
  <si>
    <t xml:space="preserve">Terrence Thibault</t>
  </si>
  <si>
    <t xml:space="preserve">CON-174</t>
  </si>
  <si>
    <t xml:space="preserve">Derek Castellanos</t>
  </si>
  <si>
    <t xml:space="preserve">CON-175</t>
  </si>
  <si>
    <t xml:space="preserve">Jonah Fairweather</t>
  </si>
  <si>
    <t xml:space="preserve">CON-176</t>
  </si>
  <si>
    <t xml:space="preserve">Tarquin Marchetti</t>
  </si>
  <si>
    <t xml:space="preserve">CON-177</t>
  </si>
  <si>
    <t xml:space="preserve">Uma Nasser</t>
  </si>
  <si>
    <t xml:space="preserve">CON-178</t>
  </si>
  <si>
    <t xml:space="preserve">Nadia Abernathy</t>
  </si>
  <si>
    <t xml:space="preserve">CON-179</t>
  </si>
  <si>
    <t xml:space="preserve">Fenna Valdez</t>
  </si>
  <si>
    <t xml:space="preserve">CON-180</t>
  </si>
  <si>
    <t xml:space="preserve">Rhona Pryor</t>
  </si>
  <si>
    <t xml:space="preserve">CON-181</t>
  </si>
  <si>
    <t xml:space="preserve">Carmen Liu</t>
  </si>
  <si>
    <t xml:space="preserve">CON-182</t>
  </si>
  <si>
    <t xml:space="preserve">Pascal Roux</t>
  </si>
  <si>
    <t xml:space="preserve">CON-183</t>
  </si>
  <si>
    <t xml:space="preserve">Grace Nasser</t>
  </si>
  <si>
    <t xml:space="preserve">CON-184</t>
  </si>
  <si>
    <t xml:space="preserve">Halina Ortega</t>
  </si>
  <si>
    <t xml:space="preserve">CON-185</t>
  </si>
  <si>
    <t xml:space="preserve">Rosa Ferrara</t>
  </si>
  <si>
    <t xml:space="preserve">CON-186</t>
  </si>
  <si>
    <t xml:space="preserve">Duncan Okonjo</t>
  </si>
  <si>
    <t xml:space="preserve">CON-187</t>
  </si>
  <si>
    <t xml:space="preserve">Vera Fairweather</t>
  </si>
  <si>
    <t xml:space="preserve">CON-188</t>
  </si>
  <si>
    <t xml:space="preserve">Bianca Bell</t>
  </si>
  <si>
    <t xml:space="preserve">CON-189</t>
  </si>
  <si>
    <t xml:space="preserve">Yolanda Wexler</t>
  </si>
  <si>
    <t xml:space="preserve">CON-190</t>
  </si>
  <si>
    <t xml:space="preserve">Wilhelmina Fairweather</t>
  </si>
  <si>
    <t xml:space="preserve">CON-191</t>
  </si>
  <si>
    <t xml:space="preserve">Wendell Guzman</t>
  </si>
  <si>
    <t xml:space="preserve">CON-192</t>
  </si>
  <si>
    <t xml:space="preserve">Ingrid Baptiste</t>
  </si>
  <si>
    <t xml:space="preserve">CON-193</t>
  </si>
  <si>
    <t xml:space="preserve">Jonah Fontaine</t>
  </si>
  <si>
    <t xml:space="preserve">CON-194</t>
  </si>
  <si>
    <t xml:space="preserve">Tamsin Cruz</t>
  </si>
  <si>
    <t xml:space="preserve">CON-195</t>
  </si>
  <si>
    <t xml:space="preserve">Nadira Bonaventura</t>
  </si>
  <si>
    <t xml:space="preserve">CON-196</t>
  </si>
  <si>
    <t xml:space="preserve">Rowan Valdez</t>
  </si>
  <si>
    <t xml:space="preserve">CON-197</t>
  </si>
  <si>
    <t xml:space="preserve">Nadia Cruz</t>
  </si>
  <si>
    <t xml:space="preserve">CON-198</t>
  </si>
  <si>
    <t xml:space="preserve">Harold Roux</t>
  </si>
  <si>
    <t xml:space="preserve">CON-199</t>
  </si>
  <si>
    <t xml:space="preserve">Yannick Whitmore</t>
  </si>
  <si>
    <t xml:space="preserve">CON-200</t>
  </si>
  <si>
    <t xml:space="preserve">Uma Foster</t>
  </si>
  <si>
    <t xml:space="preserve">CON-201</t>
  </si>
  <si>
    <t xml:space="preserve">Bram Mbeki</t>
  </si>
  <si>
    <t xml:space="preserve">Broker master — 30 agencies</t>
  </si>
  <si>
    <t xml:space="preserve">Book size comes from Choice's broker records and never from call counts, and that single decision is what makes the small-broker finding possible: dividing attributed calls by book size surfaces the three-group agency that raw volume can never show. The design is deliberate — the brokers highest by raw count are large-book and unremarkable per group, while the highest by rate have books under six. Two brokers are included as controls with small books and no adverse signal, so that a small book alone does not predict the finding. At 600 calls the three adverse small-book agencies carry ten attributed calls each, which is enough to name them credibly but still not enough to quote a precise multiple.</t>
  </si>
  <si>
    <t xml:space="preserve">Broker ID</t>
  </si>
  <si>
    <t xml:space="preserve">Agency</t>
  </si>
  <si>
    <t xml:space="preserve">Groups in book</t>
  </si>
  <si>
    <t xml:space="preserve">Groups in corpus</t>
  </si>
  <si>
    <t xml:space="preserve">Attributed calls</t>
  </si>
  <si>
    <t xml:space="preserve">Complaints per group</t>
  </si>
  <si>
    <t xml:space="preserve">vs channel median</t>
  </si>
  <si>
    <t xml:space="preserve">Signal profile</t>
  </si>
  <si>
    <t xml:space="preserve">Anthony Salerno</t>
  </si>
  <si>
    <t xml:space="preserve">Salerno Benefits Group</t>
  </si>
  <si>
    <t xml:space="preserve">Adverse — responsiveness</t>
  </si>
  <si>
    <t xml:space="preserve">Marcus Trent</t>
  </si>
  <si>
    <t xml:space="preserve">Trent &amp; Associates</t>
  </si>
  <si>
    <t xml:space="preserve">Adverse — misrepresentation at point of sale</t>
  </si>
  <si>
    <t xml:space="preserve">Denise Whitfield</t>
  </si>
  <si>
    <t xml:space="preserve">Whitfield Benefits</t>
  </si>
  <si>
    <t xml:space="preserve">Adverse — execution and disclosure</t>
  </si>
  <si>
    <t xml:space="preserve">Rafael Ortega</t>
  </si>
  <si>
    <t xml:space="preserve">Ortega Insurance Services</t>
  </si>
  <si>
    <t xml:space="preserve">Watch</t>
  </si>
  <si>
    <t xml:space="preserve">Karen Lindqvist</t>
  </si>
  <si>
    <t xml:space="preserve">Lindqvist Group</t>
  </si>
  <si>
    <t xml:space="preserve">Patricia Nunez</t>
  </si>
  <si>
    <t xml:space="preserve">Nunez Benefit Advisors</t>
  </si>
  <si>
    <t xml:space="preserve">Positive — clients arrive informed</t>
  </si>
  <si>
    <t xml:space="preserve">Gerald Ohm</t>
  </si>
  <si>
    <t xml:space="preserve">Ohm &amp; Partners</t>
  </si>
  <si>
    <t xml:space="preserve">Neutral — high volume, low rate</t>
  </si>
  <si>
    <t xml:space="preserve">Lucia Moreno</t>
  </si>
  <si>
    <t xml:space="preserve">Moreno Benefits</t>
  </si>
  <si>
    <t xml:space="preserve">Stephen Vaught</t>
  </si>
  <si>
    <t xml:space="preserve">Vaught Agency</t>
  </si>
  <si>
    <t xml:space="preserve">Neutral — highest raw count, unremarkable rate</t>
  </si>
  <si>
    <t xml:space="preserve">Nadine Frost</t>
  </si>
  <si>
    <t xml:space="preserve">Frost Insurance</t>
  </si>
  <si>
    <t xml:space="preserve">Neutral — second highest raw count, lowest rate</t>
  </si>
  <si>
    <t xml:space="preserve">Omar Haddadi</t>
  </si>
  <si>
    <t xml:space="preserve">Haddadi Group</t>
  </si>
  <si>
    <t xml:space="preserve">Neutral</t>
  </si>
  <si>
    <t xml:space="preserve">Beth Kowalski</t>
  </si>
  <si>
    <t xml:space="preserve">Kowalski Benefits</t>
  </si>
  <si>
    <t xml:space="preserve">Trevor Nash</t>
  </si>
  <si>
    <t xml:space="preserve">Nash Advisory</t>
  </si>
  <si>
    <t xml:space="preserve">Simone Clarke</t>
  </si>
  <si>
    <t xml:space="preserve">Clarke &amp; Co</t>
  </si>
  <si>
    <t xml:space="preserve">Hugo Delacroix</t>
  </si>
  <si>
    <t xml:space="preserve">Delacroix Benefits</t>
  </si>
  <si>
    <t xml:space="preserve">Alina Petrescu</t>
  </si>
  <si>
    <t xml:space="preserve">Petrescu Group</t>
  </si>
  <si>
    <t xml:space="preserve">Dean Whitaker</t>
  </si>
  <si>
    <t xml:space="preserve">Whitaker Insurance</t>
  </si>
  <si>
    <t xml:space="preserve">Rosa Ybarra</t>
  </si>
  <si>
    <t xml:space="preserve">Ybarra Benefits</t>
  </si>
  <si>
    <t xml:space="preserve">Calvin Board</t>
  </si>
  <si>
    <t xml:space="preserve">Board Agency</t>
  </si>
  <si>
    <t xml:space="preserve">Meredith Kang</t>
  </si>
  <si>
    <t xml:space="preserve">Kang Benefit Partners</t>
  </si>
  <si>
    <t xml:space="preserve">Positive</t>
  </si>
  <si>
    <t xml:space="preserve">Felix Arriaga</t>
  </si>
  <si>
    <t xml:space="preserve">Arriaga Group</t>
  </si>
  <si>
    <t xml:space="preserve">Joan Petrie</t>
  </si>
  <si>
    <t xml:space="preserve">Petrie Insurance</t>
  </si>
  <si>
    <t xml:space="preserve">Neutral — control, small book, no signal</t>
  </si>
  <si>
    <t xml:space="preserve">Ivan Sokolov</t>
  </si>
  <si>
    <t xml:space="preserve">Sokolov Advisors</t>
  </si>
  <si>
    <t xml:space="preserve">Priscilla Yee</t>
  </si>
  <si>
    <t xml:space="preserve">Yee Benefits</t>
  </si>
  <si>
    <t xml:space="preserve">Martin Okoro</t>
  </si>
  <si>
    <t xml:space="preserve">Okoro &amp; Associates</t>
  </si>
  <si>
    <t xml:space="preserve">Sylvia Reinhardt</t>
  </si>
  <si>
    <t xml:space="preserve">Reinhardt Benefits</t>
  </si>
  <si>
    <t xml:space="preserve">Gavin Ellery</t>
  </si>
  <si>
    <t xml:space="preserve">Ellery Insurance Group</t>
  </si>
  <si>
    <t xml:space="preserve">Nora Bellamy</t>
  </si>
  <si>
    <t xml:space="preserve">Bellamy Advisory</t>
  </si>
  <si>
    <t xml:space="preserve">Kwame Asante</t>
  </si>
  <si>
    <t xml:space="preserve">Asante Benefit Partners</t>
  </si>
  <si>
    <t xml:space="preserve">Teresa Falco</t>
  </si>
  <si>
    <t xml:space="preserve">Falco Group</t>
  </si>
  <si>
    <t xml:space="preserve">Product lines, carriers and contact rate</t>
  </si>
  <si>
    <t xml:space="preserve">Lives enrolled are within the 95-group corpus sample, not book-wide, because contact rate must use the same population as the calls — dividing sample calls by book-wide enrolment is the classic denominator error and would be found within minutes. Call share deliberately does not mirror enrolment share, and the gap between them is the insight: life covers roughly one member in twelve and generates about three times the contact rate of dental, which says the line is disproportionately hard to administer rather than that it is popular. Dominant failure modes are cross-referenced to the rule IDs that generate them, so a call reason can always be traced to a published rule.</t>
  </si>
  <si>
    <t xml:space="preserve">Product line</t>
  </si>
  <si>
    <t xml:space="preserve">Carriers</t>
  </si>
  <si>
    <t xml:space="preserve">Lives in sample</t>
  </si>
  <si>
    <t xml:space="preserve">Attach rate</t>
  </si>
  <si>
    <t xml:space="preserve">Call share</t>
  </si>
  <si>
    <t xml:space="preserve">Contact rate /1,000/yr</t>
  </si>
  <si>
    <t xml:space="preserve">Index vs dental</t>
  </si>
  <si>
    <t xml:space="preserve">Dominant failure modes</t>
  </si>
  <si>
    <t xml:space="preserve">DeltaCare USA (DHMO, CA only); Delta Dental PPO; Ameritas; MetLife</t>
  </si>
  <si>
    <t xml:space="preserve">Major-service waiting periods (C-12) and takeover credit (P-29); annual maximum and network pricing beyond it (C-16); DHMO assigned dentist and specialist referral (C-01, C-02)</t>
  </si>
  <si>
    <t xml:space="preserve">VSP; EyeMed (provided by Ameritas)</t>
  </si>
  <si>
    <t xml:space="preserve">Allowance mistaken for copay (C-22); lens enhancement copays (C-23); glasses-or-contacts in a period (C-24)</t>
  </si>
  <si>
    <t xml:space="preserve">Assurity; MetLife</t>
  </si>
  <si>
    <t xml:space="preserve">100% participation and 100% employer-paid (P-21, P-22); conversion window on termination (C-34); employer's duty to notify conversion rights (A-44)</t>
  </si>
  <si>
    <t xml:space="preserve">Chiropractic / Acupuncture</t>
  </si>
  <si>
    <t xml:space="preserve">Landmark</t>
  </si>
  <si>
    <t xml:space="preserve">California-only insured plans (C-28); no out-of-network payment at all (C-29); annual visit maximum (C-31)</t>
  </si>
  <si>
    <t xml:space="preserve">Program-level (no single line)</t>
  </si>
  <si>
    <t xml:space="preserve">Billing and credits (A-09, A-27); terminations (A-06, A-07); COBRA and Cal-COBRA (A-33 to A-42); ID card routing (P-31); participation (P-18 to P-26)</t>
  </si>
  <si>
    <t xml:space="preserve">Agent roster — 20 agents</t>
  </si>
  <si>
    <t xml:space="preserve">Twenty agents at thirty calls each, which is exactly the minimum needed to quote an agent-level rate. Variance is within-agent rather than fixed by band, and that matters more than it sounds: if every senior agent scores well on every call the distribution looks engineered and the handle-time finding looks too clean to be true. Strong agents carry poor calls here and weak agents carry good ones. Two agents are modelled as trending across the period, one improving and one declining, so agent trend analysis has something real to find.</t>
  </si>
  <si>
    <t xml:space="preserve">Agent ID</t>
  </si>
  <si>
    <t xml:space="preserve">Band</t>
  </si>
  <si>
    <t xml:space="preserve">Expected mean score</t>
  </si>
  <si>
    <t xml:space="preserve">Score variance (±)</t>
  </si>
  <si>
    <t xml:space="preserve">Dominant pattern</t>
  </si>
  <si>
    <t xml:space="preserve">AGT-01</t>
  </si>
  <si>
    <t xml:space="preserve">Sarah Whitlock</t>
  </si>
  <si>
    <t xml:space="preserve">Senior</t>
  </si>
  <si>
    <t xml:space="preserve">Strong — consistent</t>
  </si>
  <si>
    <t xml:space="preserve">AGT-02</t>
  </si>
  <si>
    <t xml:space="preserve">Carlos Mendez</t>
  </si>
  <si>
    <t xml:space="preserve">Strong — occasional lapse under volume</t>
  </si>
  <si>
    <t xml:space="preserve">AGT-03</t>
  </si>
  <si>
    <t xml:space="preserve">Danielle Park</t>
  </si>
  <si>
    <t xml:space="preserve">Strong</t>
  </si>
  <si>
    <t xml:space="preserve">AGT-04</t>
  </si>
  <si>
    <t xml:space="preserve">Priya Anand</t>
  </si>
  <si>
    <t xml:space="preserve">Strong — weaker on life and COBRA</t>
  </si>
  <si>
    <t xml:space="preserve">AGT-05</t>
  </si>
  <si>
    <t xml:space="preserve">Adaeze Nwosu</t>
  </si>
  <si>
    <t xml:space="preserve">Strong — best on employer administration</t>
  </si>
  <si>
    <t xml:space="preserve">AGT-06</t>
  </si>
  <si>
    <t xml:space="preserve">Michael Osei</t>
  </si>
  <si>
    <t xml:space="preserve">Mid</t>
  </si>
  <si>
    <t xml:space="preserve">Mixed — accurate, low ownership</t>
  </si>
  <si>
    <t xml:space="preserve">AGT-07</t>
  </si>
  <si>
    <t xml:space="preserve">Linda Braithwaite</t>
  </si>
  <si>
    <t xml:space="preserve">Mixed — honest, slow to escalate</t>
  </si>
  <si>
    <t xml:space="preserve">AGT-08</t>
  </si>
  <si>
    <t xml:space="preserve">Nicole Trang</t>
  </si>
  <si>
    <t xml:space="preserve">Mixed</t>
  </si>
  <si>
    <t xml:space="preserve">AGT-09</t>
  </si>
  <si>
    <t xml:space="preserve">James Okonjo</t>
  </si>
  <si>
    <t xml:space="preserve">Mixed — strong on billing, weak on product rules</t>
  </si>
  <si>
    <t xml:space="preserve">AGT-10</t>
  </si>
  <si>
    <t xml:space="preserve">Tony Ferraro</t>
  </si>
  <si>
    <t xml:space="preserve">Mixed — circular calls</t>
  </si>
  <si>
    <t xml:space="preserve">AGT-11</t>
  </si>
  <si>
    <t xml:space="preserve">Grace Adeyemi</t>
  </si>
  <si>
    <t xml:space="preserve">Mixed — improving across the period</t>
  </si>
  <si>
    <t xml:space="preserve">AGT-12</t>
  </si>
  <si>
    <t xml:space="preserve">Hugo Marchetti</t>
  </si>
  <si>
    <t xml:space="preserve">Mixed — strong on carrier rules, weak on billing</t>
  </si>
  <si>
    <t xml:space="preserve">AGT-13</t>
  </si>
  <si>
    <t xml:space="preserve">Kayla Brennan</t>
  </si>
  <si>
    <t xml:space="preserve">Developing</t>
  </si>
  <si>
    <t xml:space="preserve">Weak — brush-off archetype</t>
  </si>
  <si>
    <t xml:space="preserve">AGT-14</t>
  </si>
  <si>
    <t xml:space="preserve">Brad Nolan</t>
  </si>
  <si>
    <t xml:space="preserve">Weak — brush-off, disclosure lapses</t>
  </si>
  <si>
    <t xml:space="preserve">AGT-15</t>
  </si>
  <si>
    <t xml:space="preserve">Tiffany Rowe</t>
  </si>
  <si>
    <t xml:space="preserve">Weak — false confidence on product rules</t>
  </si>
  <si>
    <t xml:space="preserve">AGT-16</t>
  </si>
  <si>
    <t xml:space="preserve">Ryan Castellano</t>
  </si>
  <si>
    <t xml:space="preserve">Weak — refuses escalation</t>
  </si>
  <si>
    <t xml:space="preserve">AGT-17</t>
  </si>
  <si>
    <t xml:space="preserve">Deon Marsh</t>
  </si>
  <si>
    <t xml:space="preserve">Weak — circular, long AHT</t>
  </si>
  <si>
    <t xml:space="preserve">AGT-18</t>
  </si>
  <si>
    <t xml:space="preserve">Elena Sokoloff</t>
  </si>
  <si>
    <t xml:space="preserve">Weak — declining across the period</t>
  </si>
  <si>
    <t xml:space="preserve">AGT-19</t>
  </si>
  <si>
    <t xml:space="preserve">Farrah Bhatti</t>
  </si>
  <si>
    <t xml:space="preserve">Weak — verification lapses</t>
  </si>
  <si>
    <t xml:space="preserve">AGT-20</t>
  </si>
  <si>
    <t xml:space="preserve">Otto Lindgren</t>
  </si>
  <si>
    <t xml:space="preserve">Weak — misses escalation triggers</t>
  </si>
  <si>
    <t xml:space="preserve">Distribution targets</t>
  </si>
  <si>
    <t xml:space="preserve">The counts the transcripts must actually hit. Amber cells are the levers; everything else derives from them, and the check row confirms that caller mix, outcomes and archetypes each still sum to 600. Four sections are new or materially enlarged at this sample size: control exceptions now carry three types each above the rate-quotable threshold, escalation is broken out by trigger type with a floor on the top three, knowledge failures carry a minimum on the top rule so the ranked-articles output is defensible, and process gaps appear for the first time. The archetype mix is unchanged and still matters most — competent-but-constrained at 17% is the bucket that was almost entirely missing from earlier corpora and is a large share of real volume.</t>
  </si>
  <si>
    <t xml:space="preserve">Section</t>
  </si>
  <si>
    <t xml:space="preserve">Target</t>
  </si>
  <si>
    <t xml:space="preserve">Share / value</t>
  </si>
  <si>
    <t xml:space="preserve">Calls</t>
  </si>
  <si>
    <t xml:space="preserve">Supports entry</t>
  </si>
  <si>
    <t xml:space="preserve">CALLER MIX</t>
  </si>
  <si>
    <t xml:space="preserve">Member-initiated</t>
  </si>
  <si>
    <t xml:space="preserve">all</t>
  </si>
  <si>
    <t xml:space="preserve">Members carry product-line, carrier-rule and knowledge-failure signal</t>
  </si>
  <si>
    <t xml:space="preserve">Employer-initiated</t>
  </si>
  <si>
    <t xml:space="preserve">1, 4, 5, 10</t>
  </si>
  <si>
    <t xml:space="preserve">Employer calls run longer and carry the administration layer</t>
  </si>
  <si>
    <t xml:space="preserve">OUTCOMES</t>
  </si>
  <si>
    <t xml:space="preserve">Resolved</t>
  </si>
  <si>
    <t xml:space="preserve">Partially resolved</t>
  </si>
  <si>
    <t xml:space="preserve">In the FCR denominator, never the numerator</t>
  </si>
  <si>
    <t xml:space="preserve">Escalated</t>
  </si>
  <si>
    <t xml:space="preserve">6</t>
  </si>
  <si>
    <t xml:space="preserve">30 calls</t>
  </si>
  <si>
    <t xml:space="preserve">Unresolved</t>
  </si>
  <si>
    <t xml:space="preserve">4, 9</t>
  </si>
  <si>
    <t xml:space="preserve">126 calls — the denominator of the failure-driven repeat rate</t>
  </si>
  <si>
    <t xml:space="preserve">CALL ARCHETYPE</t>
  </si>
  <si>
    <t xml:space="preserve">Competent and resolved</t>
  </si>
  <si>
    <t xml:space="preserve">Competent but constrained — policy blocks the outcome</t>
  </si>
  <si>
    <t xml:space="preserve">Agent does everything right, caller still unhappy</t>
  </si>
  <si>
    <t xml:space="preserve">Circular — long, agent keeps checking, lands nowhere</t>
  </si>
  <si>
    <t xml:space="preserve">Long AHT and a poor score; stops the AHT/quality inversion looking engineered</t>
  </si>
  <si>
    <t xml:space="preserve">Brush-off — short, closed, procedurally correct</t>
  </si>
  <si>
    <t xml:space="preserve">A third of poor calls, not all of them</t>
  </si>
  <si>
    <t xml:space="preserve">Escalated or handed off correctly</t>
  </si>
  <si>
    <t xml:space="preserve">COMPLIANCE</t>
  </si>
  <si>
    <t xml:space="preserve">No recording disclosure</t>
  </si>
  <si>
    <t xml:space="preserve">14</t>
  </si>
  <si>
    <t xml:space="preserve">6% — rate-quotable</t>
  </si>
  <si>
    <t xml:space="preserve">Detail disclosed before verification</t>
  </si>
  <si>
    <t xml:space="preserve">5% — now rate-quotable, was count-only at 360</t>
  </si>
  <si>
    <t xml:space="preserve">Required benefit disclosure omitted</t>
  </si>
  <si>
    <t xml:space="preserve">3.5% — count and rank only</t>
  </si>
  <si>
    <t xml:space="preserve">ESCALATION</t>
  </si>
  <si>
    <t xml:space="preserve">Triggered (denominator)</t>
  </si>
  <si>
    <t xml:space="preserve">— handled correctly</t>
  </si>
  <si>
    <t xml:space="preserve">— refused with no alternative</t>
  </si>
  <si>
    <t xml:space="preserve">58% refusal rate</t>
  </si>
  <si>
    <t xml:space="preserve">— top 3 trigger types, minimum each</t>
  </si>
  <si>
    <t xml:space="preserve">Trigger types 4–8 are named with counts, never quoted as rates</t>
  </si>
  <si>
    <t xml:space="preserve">REPEAT CONTACT</t>
  </si>
  <si>
    <t xml:space="preserve">Distinct callers with 2+ calls</t>
  </si>
  <si>
    <t xml:space="preserve">4</t>
  </si>
  <si>
    <t xml:space="preserve">Failure-driven repeats within 14 days</t>
  </si>
  <si>
    <t xml:space="preserve">38% of the 126 unresolved calls</t>
  </si>
  <si>
    <t xml:space="preserve">KNOWLEDGE</t>
  </si>
  <si>
    <t xml:space="preserve">Knowledge failures total</t>
  </si>
  <si>
    <t xml:space="preserve">16</t>
  </si>
  <si>
    <t xml:space="preserve">12% of calls</t>
  </si>
  <si>
    <t xml:space="preserve">— top rule_id, minimum</t>
  </si>
  <si>
    <t xml:space="preserve">Top five rules carry ~60% of failures</t>
  </si>
  <si>
    <t xml:space="preserve">PROCESS GAPS</t>
  </si>
  <si>
    <t xml:space="preserve">process_gap proposals</t>
  </si>
  <si>
    <t xml:space="preserve">17</t>
  </si>
  <si>
    <t xml:space="preserve">9% of calls</t>
  </si>
  <si>
    <t xml:space="preserve">— top touchpoint, minimum</t>
  </si>
  <si>
    <t xml:space="preserve">BROKER</t>
  </si>
  <si>
    <t xml:space="preserve">Calls naming a broker aloud</t>
  </si>
  <si>
    <t xml:space="preserve">18</t>
  </si>
  <si>
    <t xml:space="preserve">Minimum 12 in every rolling 4-week block</t>
  </si>
  <si>
    <t xml:space="preserve">— adverse, small-book (BRK-01/02/03)</t>
  </si>
  <si>
    <t xml:space="preserve">10 each — the invisible-broker finding</t>
  </si>
  <si>
    <t xml:space="preserve">— positive attribution</t>
  </si>
  <si>
    <t xml:space="preserve">Expansion intent, unrouted</t>
  </si>
  <si>
    <t xml:space="preserve">Market-test or exit language, verbatim</t>
  </si>
  <si>
    <t xml:space="preserve">11</t>
  </si>
  <si>
    <t xml:space="preserve">REFERENCE</t>
  </si>
  <si>
    <t xml:space="preserve">Annual premium per enrolled life ($)</t>
  </si>
  <si>
    <t xml:space="preserve">3</t>
  </si>
  <si>
    <t xml:space="preserve">Lever used by Employer Master</t>
  </si>
  <si>
    <t xml:space="preserve">Coverage matrix — combinations, not counts</t>
  </si>
  <si>
    <t xml:space="preserve">The corpus is not judged on how many calls it has but on which combinations it covers. The most important of those is outcome against fault: the dataset must not teach that unresolved means a bad agent or that resolved means a good call. A call can close well and carry a compliance breach; an agent can handle a call correctly and still leave it unresolved because the dependency is external. Every cell below is counted from the 150 written calls. Empty cells are the brief for the next batch.</t>
  </si>
  <si>
    <t xml:space="preserve">Outcome \ fault</t>
  </si>
  <si>
    <t xml:space="preserve">Agent correct</t>
  </si>
  <si>
    <t xml:space="preserve">Misinformation</t>
  </si>
  <si>
    <t xml:space="preserve">Compliance breach</t>
  </si>
  <si>
    <t xml:space="preserve">Missed escalation</t>
  </si>
  <si>
    <t xml:space="preserve">Over-escalation</t>
  </si>
  <si>
    <t xml:space="preserve">Process failure</t>
  </si>
  <si>
    <t xml:space="preserve">Row total</t>
  </si>
  <si>
    <t xml:space="preserve">Reading it</t>
  </si>
  <si>
    <t xml:space="preserve">Red = no coverage, the batch-3 brief. Amber = fewer than 3, enough to name and not to quantify. Every populated cell is a combination the platform must be able to separate.</t>
  </si>
  <si>
    <t xml:space="preserve">OTHER DIMENSIONS</t>
  </si>
  <si>
    <t xml:space="preserve">Written</t>
  </si>
  <si>
    <t xml:space="preserve">Target at 600</t>
  </si>
  <si>
    <t xml:space="preserve">Status</t>
  </si>
  <si>
    <t xml:space="preserve">What closes it</t>
  </si>
  <si>
    <t xml:space="preserve">Acupuncture named (line is Chiropractic/Acupuncture)</t>
  </si>
  <si>
    <t xml:space="preserve">Closed in this revision — was 0 of 150</t>
  </si>
  <si>
    <t xml:space="preserve">Four calls now name acupuncture explicitly, including the combined visit maximum that catches members out</t>
  </si>
  <si>
    <t xml:space="preserve">Multi-intent calls (primary + secondary issues)</t>
  </si>
  <si>
    <t xml:space="preserve">Open — 5% against a 12% target</t>
  </si>
  <si>
    <t xml:space="preserve">Batch 3 needs ~20 more. Real calls carry a life event, an enrolment, a card and a provider refusal at once</t>
  </si>
  <si>
    <t xml:space="preserve">Source contradictions (portal/EOB/directory/agent)</t>
  </si>
  <si>
    <t xml:space="preserve">Partly closed — was broker-vs-Choice only</t>
  </si>
  <si>
    <t xml:space="preserve">Now covers portal vs eligibility, EOB vs provider bill, directory vs provider, agent vs agent</t>
  </si>
  <si>
    <t xml:space="preserve">Group-level incidents (N employees, one problem)</t>
  </si>
  <si>
    <t xml:space="preserve">On pace</t>
  </si>
  <si>
    <t xml:space="preserve">Keep at roughly one in ten employer calls</t>
  </si>
  <si>
    <t xml:space="preserve">Same problem, different root cause</t>
  </si>
  <si>
    <t xml:space="preserve">Partly — 22 calls across 11 distinct rules</t>
  </si>
  <si>
    <t xml:space="preserve">Design the 'claim not paid' family deliberately: waiting period, exclusion, frequency, maximum, out-of-network, coding, documentation, processing error</t>
  </si>
  <si>
    <t xml:space="preserve">Carrier variation held in reference data</t>
  </si>
  <si>
    <t xml:space="preserve">Closed in this revision</t>
  </si>
  <si>
    <t xml:space="preserve">Carrier per line now on Employer Master; five dental, two vision, two life carriers, ortho gated by carrier and size</t>
  </si>
  <si>
    <t xml:space="preserve">root_cause_owner populated</t>
  </si>
  <si>
    <t xml:space="preserve">Closed in this revision — was a third of calls with no owner</t>
  </si>
  <si>
    <t xml:space="preserve">44% of contact volume traces to a root cause Choice owns</t>
  </si>
  <si>
    <t xml:space="preserve">Repeat-contact journeys of 3+ calls</t>
  </si>
  <si>
    <t xml:space="preserve">Thin</t>
  </si>
  <si>
    <t xml:space="preserve">Batch 3 should carry 4–5 longer member journeys, not just pairs</t>
  </si>
  <si>
    <t xml:space="preserve">Root cause and preventable volume</t>
  </si>
  <si>
    <t xml:space="preserve">Every call now carries a root_cause_owner, not only the ones where a complaint was logged. That closes the gap that made the most commercially useful question unanswerable: what share of our contact volume could Choice have prevented. The answer on 150 calls is 44%. Report the three preventability buckets separately — a blended figure invites an argument about the middle one.</t>
  </si>
  <si>
    <t xml:space="preserve">Root cause owner</t>
  </si>
  <si>
    <t xml:space="preserve">Preventable by Choice</t>
  </si>
  <si>
    <t xml:space="preserve">What it means operationally</t>
  </si>
  <si>
    <t xml:space="preserve">MEMBER_MISUNDERSTANDING</t>
  </si>
  <si>
    <t xml:space="preserve">45%</t>
  </si>
  <si>
    <t xml:space="preserve">Partly — communication</t>
  </si>
  <si>
    <t xml:space="preserve">The member was not wrong to ring — they were not told. Fixable at a touchpoint, not by the agent.</t>
  </si>
  <si>
    <t xml:space="preserve">CHOICE</t>
  </si>
  <si>
    <t xml:space="preserve">43%</t>
  </si>
  <si>
    <t xml:space="preserve">Our process, our document or our agent. Directly fixable.</t>
  </si>
  <si>
    <t xml:space="preserve">5%</t>
  </si>
  <si>
    <t xml:space="preserve">Partly — broker enablement</t>
  </si>
  <si>
    <t xml:space="preserve">A broker action or omission. Fixable through broker enablement, not operations.</t>
  </si>
  <si>
    <t xml:space="preserve">PROVIDER</t>
  </si>
  <si>
    <t xml:space="preserve">3%</t>
  </si>
  <si>
    <t xml:space="preserve">A dentist, optician or practice. Not ours to fix; worth measuring.</t>
  </si>
  <si>
    <t xml:space="preserve">CARRIER</t>
  </si>
  <si>
    <t xml:space="preserve">Partly — carrier management</t>
  </si>
  <si>
    <t xml:space="preserve">Network, directory or claims processing. Fixable through carrier management.</t>
  </si>
  <si>
    <t xml:space="preserve">SYSTEM</t>
  </si>
  <si>
    <t xml:space="preserve">1%</t>
  </si>
  <si>
    <t xml:space="preserve">Two systems disagreeing. Fixable and usually invisible until someone rings.</t>
  </si>
  <si>
    <t xml:space="preserve">EMPLOYER</t>
  </si>
  <si>
    <t xml:space="preserve">Partly — employer enablement</t>
  </si>
  <si>
    <t xml:space="preserve">An employer action or omission. Fixable through employer enablement.</t>
  </si>
  <si>
    <t xml:space="preserve">HEADLINE</t>
  </si>
  <si>
    <t xml:space="preserve">66 of 150 calls (44%) trace to a root cause Choice owns outright. A further 67 (45%) are members who were never told something — preventable at a touchpoint rather than by the agent who took the call.</t>
  </si>
  <si>
    <t xml:space="preserve">Account risk design — how calls are concentrated</t>
  </si>
  <si>
    <t xml:space="preserve">An account can only be identified as at risk if several calls from that account share a risk factor. That means call allocation has to be deliberately concentrated, not spread evenly across employers — and this sheet is the rule the allocator must follow. Each account below carries a designed risk story: a dominant signal type that recurs across several of its calls, from more than one caller where possible, so the pattern is visible at account level rather than looking like isolated incidents. Six anchor accounts carry 31% of all volume between them. One of them, Cedar Point, is a deliberate control — high volume, low severity — so that call count alone does not predict a flag.</t>
  </si>
  <si>
    <t xml:space="preserve">Account</t>
  </si>
  <si>
    <t xml:space="preserve">Calls at 600</t>
  </si>
  <si>
    <t xml:space="preserve">Written so far</t>
  </si>
  <si>
    <t xml:space="preserve">Renews</t>
  </si>
  <si>
    <t xml:space="preserve">Designed risk story — the signal that must recur</t>
  </si>
  <si>
    <t xml:space="preserve">Callers it must come from</t>
  </si>
  <si>
    <t xml:space="preserve">Flag or control</t>
  </si>
  <si>
    <t xml:space="preserve">A — anchor</t>
  </si>
  <si>
    <t xml:space="preserve">process_breakdown recurring at employer_portal — submissions accepted and never applied, plus repeat contacts from members whose issue was never fixed</t>
  </si>
  <si>
    <t xml:space="preserve">2 contacts + 5 members</t>
  </si>
  <si>
    <t xml:space="preserve">FLAG — multi-signal, Jan renewal</t>
  </si>
  <si>
    <t xml:space="preserve">member_communication_gap only. High volume because it is the largest group in the book, low severity throughout</t>
  </si>
  <si>
    <t xml:space="preserve">2 contacts + 7 members</t>
  </si>
  <si>
    <t xml:space="preserve">CONTROL — volume must not predict a flag</t>
  </si>
  <si>
    <t xml:space="preserve">knowledge_error recurring on the same rule, plus below-threshold participation held in the reference data</t>
  </si>
  <si>
    <t xml:space="preserve">1 contact + 6 members</t>
  </si>
  <si>
    <t xml:space="preserve">FLAG — participation + knowledge</t>
  </si>
  <si>
    <t xml:space="preserve">knowledge_error and member_communication_gap from an unresponsive broker (BRK-06 book), unresolved inside the renewal window</t>
  </si>
  <si>
    <t xml:space="preserve">1 contact + 3 members</t>
  </si>
  <si>
    <t xml:space="preserve">FLAG — broker + renewal window</t>
  </si>
  <si>
    <t xml:space="preserve">broker_conduct_adverse recurring against BRK-01, plus network_adequacy on the chiro line</t>
  </si>
  <si>
    <t xml:space="preserve">FLAG — broker pattern</t>
  </si>
  <si>
    <t xml:space="preserve">billing_defect and escalation_missed, ending in verbatim exit language before the January renewal</t>
  </si>
  <si>
    <t xml:space="preserve">2 contacts + 1 member</t>
  </si>
  <si>
    <t xml:space="preserve">FLAG — retention risk</t>
  </si>
  <si>
    <t xml:space="preserve">14 tier-B accounts</t>
  </si>
  <si>
    <t xml:space="preserve">B — heavy</t>
  </si>
  <si>
    <t xml:space="preserve">10–16 each</t>
  </si>
  <si>
    <t xml:space="preserve">30 total</t>
  </si>
  <si>
    <t xml:space="preserve">various</t>
  </si>
  <si>
    <t xml:space="preserve">One recurring signal each, two to three calls apiece. Enough to appear on a watchlist, not enough to lead it</t>
  </si>
  <si>
    <t xml:space="preserve">1–2 callers each</t>
  </si>
  <si>
    <t xml:space="preserve">25 tier-C accounts</t>
  </si>
  <si>
    <t xml:space="preserve">C — moderate</t>
  </si>
  <si>
    <t xml:space="preserve">4–7 each</t>
  </si>
  <si>
    <t xml:space="preserve">No designed pattern. Isolated calls that must NOT trigger a flag</t>
  </si>
  <si>
    <t xml:space="preserve">1 caller each</t>
  </si>
  <si>
    <t xml:space="preserve">Must stay clean</t>
  </si>
  <si>
    <t xml:space="preserve">50 tier-D accounts</t>
  </si>
  <si>
    <t xml:space="preserve">D — tail</t>
  </si>
  <si>
    <t xml:space="preserve">2–3 each</t>
  </si>
  <si>
    <t xml:space="preserve">Single or paired calls. The long tail that proves the flag logic discriminates</t>
  </si>
  <si>
    <t xml:space="preserve">1 caller</t>
  </si>
  <si>
    <t xml:space="preserve">ALLOCATION RULE</t>
  </si>
  <si>
    <t xml:space="preserve">Assign each call to the account with the largest remaining capacity against its Employer Master planned-call figure, filtered to accounts whose designed risk story matches the call's dominant signal. Do NOT spread evenly across employers — an even distribution makes account-level risk undetectable by construction, which is what happened in batches 1 and 2a before this sheet existed.</t>
  </si>
  <si>
    <t xml:space="preserve">CURRENT STATE</t>
  </si>
  <si>
    <t xml:space="preserve">150 of 600 written. 29 accounts have 2 or more calls; 10 carry a repeated signal type. Four anchors now show a coherent pattern (Bellwether 9, Meridian 7, Fontaine 4, Drummond 4). Park Mechanical and Cedar Point are still thin and are the priority for batch 2b.</t>
  </si>
  <si>
    <t xml:space="preserve">Transcript tracker — written to date</t>
  </si>
  <si>
    <t xml:space="preserve">One row per transcript written, in call order, with the tags that matter for coverage. This is the register the team works from: it says what exists, what each call exercises, and — read alongside Batch Coverage — what the next batch has to correct. Employer, industry, broker of record and group size are deliberately absent because they join from caller_ref through the Member Master and Employer Contacts sheets; repeating them here would create two versions of the same fact. Append new batches below row 104 and the Batch Coverage formulas pick them up automatically.</t>
  </si>
  <si>
    <t xml:space="preserve">Call ID</t>
  </si>
  <si>
    <t xml:space="preserve">Date / time</t>
  </si>
  <si>
    <t xml:space="preserve">Batch</t>
  </si>
  <si>
    <t xml:space="preserve">Caller type</t>
  </si>
  <si>
    <t xml:space="preserve">Caller name</t>
  </si>
  <si>
    <t xml:space="preserve">Category</t>
  </si>
  <si>
    <t xml:space="preserve">Rule refs</t>
  </si>
  <si>
    <t xml:space="preserve">Score</t>
  </si>
  <si>
    <t xml:space="preserve">AHT (s)</t>
  </si>
  <si>
    <t xml:space="preserve">Archetype</t>
  </si>
  <si>
    <t xml:space="preserve">Complaint</t>
  </si>
  <si>
    <t xml:space="preserve">Signals</t>
  </si>
  <si>
    <t xml:space="preserve">Escalation</t>
  </si>
  <si>
    <t xml:space="preserve">Control exceptions</t>
  </si>
  <si>
    <t xml:space="preserve">Knowledge failure</t>
  </si>
  <si>
    <t xml:space="preserve">Intent</t>
  </si>
  <si>
    <t xml:space="preserve">Process gap</t>
  </si>
  <si>
    <t xml:space="preserve">Broker named</t>
  </si>
  <si>
    <t xml:space="preserve">Repeat of</t>
  </si>
  <si>
    <t xml:space="preserve">Preventable</t>
  </si>
  <si>
    <t xml:space="preserve">Primary issue</t>
  </si>
  <si>
    <t xml:space="preserve">Secondary issues</t>
  </si>
  <si>
    <t xml:space="preserve">Impact scope</t>
  </si>
  <si>
    <t xml:space="preserve">C-0001</t>
  </si>
  <si>
    <t xml:space="preserve">Mon 06 Jul 2026 09:14</t>
  </si>
  <si>
    <t xml:space="preserve">MEMBER</t>
  </si>
  <si>
    <t xml:space="preserve">AGT-01|Sarah Whitlock</t>
  </si>
  <si>
    <t xml:space="preserve">Claims &amp; EOB</t>
  </si>
  <si>
    <t xml:space="preserve">dental</t>
  </si>
  <si>
    <t xml:space="preserve">C-12, P-14</t>
  </si>
  <si>
    <t xml:space="preserve">present|CHOICE</t>
  </si>
  <si>
    <t xml:space="preserve">member_communication_gap|MEDIUM|Member Communications</t>
  </si>
  <si>
    <t xml:space="preserve">triggered false</t>
  </si>
  <si>
    <t xml:space="preserve">present|C-12|major-service waiting period is a plan feature, separate from the employer's new-hire period</t>
  </si>
  <si>
    <t xml:space="preserve">present|denial letter should name the waiting period and the eligibility date|denial_letter_eob|AGENT|UNVALIDATED</t>
  </si>
  <si>
    <t xml:space="preserve">claims &amp; eob</t>
  </si>
  <si>
    <t xml:space="preserve">1 member</t>
  </si>
  <si>
    <t xml:space="preserve">C-0002</t>
  </si>
  <si>
    <t xml:space="preserve">Mon 06 Jul 2026 10:41</t>
  </si>
  <si>
    <t xml:space="preserve">AGT-14|Brad Nolan</t>
  </si>
  <si>
    <t xml:space="preserve">Enrollment &amp; ID Cards</t>
  </si>
  <si>
    <t xml:space="preserve">Brush-off</t>
  </si>
  <si>
    <t xml:space="preserve">process_breakdown|HIGH|Operations; compliance_disclosure_missing|HIGH|Compliance</t>
  </si>
  <si>
    <t xml:space="preserve">no_recording_disclosure</t>
  </si>
  <si>
    <t xml:space="preserve">present|P-31|cards route to the employer for this carrier, not direct to the member</t>
  </si>
  <si>
    <t xml:space="preserve">enrollment &amp; id cards</t>
  </si>
  <si>
    <t xml:space="preserve">C-0003</t>
  </si>
  <si>
    <t xml:space="preserve">Mon 06 Jul 2026 13:22</t>
  </si>
  <si>
    <t xml:space="preserve">AGT-05|Adaeze Nwosu</t>
  </si>
  <si>
    <t xml:space="preserve">Billing &amp; Premium</t>
  </si>
  <si>
    <t xml:space="preserve">program</t>
  </si>
  <si>
    <t xml:space="preserve">A-27, A-45</t>
  </si>
  <si>
    <t xml:space="preserve">absent</t>
  </si>
  <si>
    <t xml:space="preserve">present|change codes on the statement should be expanded in plain English|invoice_statement|CALLER|UNVALIDATED</t>
  </si>
  <si>
    <t xml:space="preserve">billing &amp; premium</t>
  </si>
  <si>
    <t xml:space="preserve">1 group</t>
  </si>
  <si>
    <t xml:space="preserve">C-0004</t>
  </si>
  <si>
    <t xml:space="preserve">Tue 07 Jul 2026 09:02</t>
  </si>
  <si>
    <t xml:space="preserve">AGT-13|Kayla Brennan</t>
  </si>
  <si>
    <t xml:space="preserve">Coverage &amp; Benefits</t>
  </si>
  <si>
    <t xml:space="preserve">coverage &amp; benefits</t>
  </si>
  <si>
    <t xml:space="preserve">C-0005</t>
  </si>
  <si>
    <t xml:space="preserve">Tue 07 Jul 2026 11:30</t>
  </si>
  <si>
    <t xml:space="preserve">AGT-10|Tony Ferraro</t>
  </si>
  <si>
    <t xml:space="preserve">vision</t>
  </si>
  <si>
    <t xml:space="preserve">Circular</t>
  </si>
  <si>
    <t xml:space="preserve">knowledge_error|MEDIUM|Knowledge Management</t>
  </si>
  <si>
    <t xml:space="preserve">present|C-22|the frame allowance is a budget, not a copay; the member pays the balance above it</t>
  </si>
  <si>
    <t xml:space="preserve">C-0006</t>
  </si>
  <si>
    <t xml:space="preserve">Tue 07 Jul 2026 14:55</t>
  </si>
  <si>
    <t xml:space="preserve">AGT-03|Danielle Park</t>
  </si>
  <si>
    <t xml:space="preserve">A-11, A-20</t>
  </si>
  <si>
    <t xml:space="preserve">Competent but constrained</t>
  </si>
  <si>
    <t xml:space="preserve">C-0007</t>
  </si>
  <si>
    <t xml:space="preserve">Wed 08 Jul 2026 10:10</t>
  </si>
  <si>
    <t xml:space="preserve">AGT-15|Tiffany Rowe</t>
  </si>
  <si>
    <t xml:space="preserve">verification_failure|CRITICAL|Compliance</t>
  </si>
  <si>
    <t xml:space="preserve">disclosure_before_verification</t>
  </si>
  <si>
    <t xml:space="preserve">C-0008</t>
  </si>
  <si>
    <t xml:space="preserve">Wed 08 Jul 2026 13:48</t>
  </si>
  <si>
    <t xml:space="preserve">AGT-02|Carlos Mendez</t>
  </si>
  <si>
    <t xml:space="preserve">A-06, A-07, A-09</t>
  </si>
  <si>
    <t xml:space="preserve">present|BROKER</t>
  </si>
  <si>
    <t xml:space="preserve">broker_conduct_adverse|HIGH|Broker Relations; billing_defect|HIGH|Operations / Finance; process_breakdown|HIGH|Operations</t>
  </si>
  <si>
    <t xml:space="preserve">triggered true|broker_conduct_adverse|requested_by_caller false|handled true</t>
  </si>
  <si>
    <t xml:space="preserve">present|BRK-02|ADVERSE</t>
  </si>
  <si>
    <t xml:space="preserve">eleven employees</t>
  </si>
  <si>
    <t xml:space="preserve">C-0009</t>
  </si>
  <si>
    <t xml:space="preserve">Thu 09 Jul 2026 08:50</t>
  </si>
  <si>
    <t xml:space="preserve">AGT-08|Nicole Trang</t>
  </si>
  <si>
    <t xml:space="preserve">Provider Network</t>
  </si>
  <si>
    <t xml:space="preserve">provider network</t>
  </si>
  <si>
    <t xml:space="preserve">C-0010</t>
  </si>
  <si>
    <t xml:space="preserve">Thu 09 Jul 2026 15:20</t>
  </si>
  <si>
    <t xml:space="preserve">AGT-16|Ryan Castellano</t>
  </si>
  <si>
    <t xml:space="preserve">escalation_missed|HIGH|Operations</t>
  </si>
  <si>
    <t xml:space="preserve">triggered true|caller_request|requested_by_caller true|handled false</t>
  </si>
  <si>
    <t xml:space="preserve">C-0011</t>
  </si>
  <si>
    <t xml:space="preserve">Fri 10 Jul 2026 11:05</t>
  </si>
  <si>
    <t xml:space="preserve">AGT-04|Priya Anand</t>
  </si>
  <si>
    <t xml:space="preserve">A-33, A-34, A-37</t>
  </si>
  <si>
    <t xml:space="preserve">C-0012</t>
  </si>
  <si>
    <t xml:space="preserve">Mon 13 Jul 2026 09:30</t>
  </si>
  <si>
    <t xml:space="preserve">AGT-06|Michael Osei</t>
  </si>
  <si>
    <t xml:space="preserve">C-0013</t>
  </si>
  <si>
    <t xml:space="preserve">Mon 13 Jul 2026 12:15</t>
  </si>
  <si>
    <t xml:space="preserve">AGT-17|Deon Marsh</t>
  </si>
  <si>
    <t xml:space="preserve">A-27, A-28</t>
  </si>
  <si>
    <t xml:space="preserve">process_breakdown|HIGH|Operations</t>
  </si>
  <si>
    <t xml:space="preserve">present|A-27|statements bill the following month's coverage, not the month just ended</t>
  </si>
  <si>
    <t xml:space="preserve">C-0014</t>
  </si>
  <si>
    <t xml:space="preserve">Tue 14 Jul 2026 10:00</t>
  </si>
  <si>
    <t xml:space="preserve">AGT-11|Grace Adeyemi</t>
  </si>
  <si>
    <t xml:space="preserve">Life &amp; Beneficiary</t>
  </si>
  <si>
    <t xml:space="preserve">life</t>
  </si>
  <si>
    <t xml:space="preserve">life &amp; beneficiary</t>
  </si>
  <si>
    <t xml:space="preserve">C-0015</t>
  </si>
  <si>
    <t xml:space="preserve">Tue 14 Jul 2026 14:35</t>
  </si>
  <si>
    <t xml:space="preserve">AGT-19|Farrah Bhatti</t>
  </si>
  <si>
    <t xml:space="preserve">C-0016</t>
  </si>
  <si>
    <t xml:space="preserve">Wed 15 Jul 2026 09:45</t>
  </si>
  <si>
    <t xml:space="preserve">AGT-07|Linda Braithwaite</t>
  </si>
  <si>
    <t xml:space="preserve">P-15, A-22</t>
  </si>
  <si>
    <t xml:space="preserve">C-0017</t>
  </si>
  <si>
    <t xml:space="preserve">Wed 15 Jul 2026 16:10</t>
  </si>
  <si>
    <t xml:space="preserve">AGT-20|Otto Lindgren</t>
  </si>
  <si>
    <t xml:space="preserve">triggered true|scheduled_care_at_risk|requested_by_caller true|handled false</t>
  </si>
  <si>
    <t xml:space="preserve">C-0018</t>
  </si>
  <si>
    <t xml:space="preserve">Thu 16 Jul 2026 10:25</t>
  </si>
  <si>
    <t xml:space="preserve">AGT-09|James Okonjo</t>
  </si>
  <si>
    <t xml:space="preserve">A-01, A-02</t>
  </si>
  <si>
    <t xml:space="preserve">C-0019</t>
  </si>
  <si>
    <t xml:space="preserve">Thu 16 Jul 2026 13:55</t>
  </si>
  <si>
    <t xml:space="preserve">AGT-12|Hugo Marchetti</t>
  </si>
  <si>
    <t xml:space="preserve">chiro</t>
  </si>
  <si>
    <t xml:space="preserve">C-30, C-31</t>
  </si>
  <si>
    <t xml:space="preserve">C-0020</t>
  </si>
  <si>
    <t xml:space="preserve">Fri 17 Jul 2026 09:20</t>
  </si>
  <si>
    <t xml:space="preserve">present|PROVIDER</t>
  </si>
  <si>
    <t xml:space="preserve">C-0021</t>
  </si>
  <si>
    <t xml:space="preserve">Fri 17 Jul 2026 15:40</t>
  </si>
  <si>
    <t xml:space="preserve">Broker Conduct</t>
  </si>
  <si>
    <t xml:space="preserve">P-21, P-22</t>
  </si>
  <si>
    <t xml:space="preserve">broker_conduct_adverse|HIGH|Broker Relations; member_communication_gap|MEDIUM|Member Communications</t>
  </si>
  <si>
    <t xml:space="preserve">present|P-21|life is employer-sponsored only, 100% participation, 100% employer-paid — there is no employee election</t>
  </si>
  <si>
    <t xml:space="preserve">present|BRK-01|ADVERSE</t>
  </si>
  <si>
    <t xml:space="preserve">broker conduct</t>
  </si>
  <si>
    <t xml:space="preserve">four employees</t>
  </si>
  <si>
    <t xml:space="preserve">C-0022</t>
  </si>
  <si>
    <t xml:space="preserve">Mon 20 Jul 2026 08:55</t>
  </si>
  <si>
    <t xml:space="preserve">present|EOB should state that network pricing continues after the maximum is exhausted|denial_letter_eob|AGENT|UNVALIDATED</t>
  </si>
  <si>
    <t xml:space="preserve">C-0023</t>
  </si>
  <si>
    <t xml:space="preserve">Mon 20 Jul 2026 11:50</t>
  </si>
  <si>
    <t xml:space="preserve">AGT-18|Elena Sokoloff</t>
  </si>
  <si>
    <t xml:space="preserve">C-0024</t>
  </si>
  <si>
    <t xml:space="preserve">Tue 21 Jul 2026 10:35</t>
  </si>
  <si>
    <t xml:space="preserve">C-0025</t>
  </si>
  <si>
    <t xml:space="preserve">Tue 21 Jul 2026 14:20</t>
  </si>
  <si>
    <t xml:space="preserve">A-05, A-06, A-09</t>
  </si>
  <si>
    <t xml:space="preserve">billing_defect|HIGH|Operations / Finance</t>
  </si>
  <si>
    <t xml:space="preserve">present|A-05|voluntary withdrawals are never processed retroactively</t>
  </si>
  <si>
    <t xml:space="preserve">C-0026</t>
  </si>
  <si>
    <t xml:space="preserve">Wed 22 Jul 2026 09:15</t>
  </si>
  <si>
    <t xml:space="preserve">C-0027</t>
  </si>
  <si>
    <t xml:space="preserve">Wed 22 Jul 2026 13:05</t>
  </si>
  <si>
    <t xml:space="preserve">compliance_disclosure_missing|HIGH|Compliance</t>
  </si>
  <si>
    <t xml:space="preserve">C-0028</t>
  </si>
  <si>
    <t xml:space="preserve">Thu 23 Jul 2026 10:45</t>
  </si>
  <si>
    <t xml:space="preserve">P-30, P-31</t>
  </si>
  <si>
    <t xml:space="preserve">C-0029</t>
  </si>
  <si>
    <t xml:space="preserve">Thu 23 Jul 2026 15:30</t>
  </si>
  <si>
    <t xml:space="preserve">C-0030</t>
  </si>
  <si>
    <t xml:space="preserve">Fri 24 Jul 2026 09:40</t>
  </si>
  <si>
    <t xml:space="preserve">A-12, A-13</t>
  </si>
  <si>
    <t xml:space="preserve">C-0031</t>
  </si>
  <si>
    <t xml:space="preserve">Fri 24 Jul 2026 14:10</t>
  </si>
  <si>
    <t xml:space="preserve">C-34, A-44</t>
  </si>
  <si>
    <t xml:space="preserve">C-0032</t>
  </si>
  <si>
    <t xml:space="preserve">Mon 27 Jul 2026 08:40</t>
  </si>
  <si>
    <t xml:space="preserve">C-0033</t>
  </si>
  <si>
    <t xml:space="preserve">Mon 27 Jul 2026 11:25</t>
  </si>
  <si>
    <t xml:space="preserve">C-28, C-29</t>
  </si>
  <si>
    <t xml:space="preserve">network_adequacy|MEDIUM|Product / Network; member_communication_gap|MEDIUM|Member Communications</t>
  </si>
  <si>
    <t xml:space="preserve">present|census-versus-network check should run at quotation for multi-state groups|renewal_pack|AGENT|UNVALIDATED</t>
  </si>
  <si>
    <t xml:space="preserve">nine employees</t>
  </si>
  <si>
    <t xml:space="preserve">C-0034</t>
  </si>
  <si>
    <t xml:space="preserve">Tue 28 Jul 2026 09:55</t>
  </si>
  <si>
    <t xml:space="preserve">C-0035</t>
  </si>
  <si>
    <t xml:space="preserve">Tue 28 Jul 2026 13:40</t>
  </si>
  <si>
    <t xml:space="preserve">present|C-24|glasses or contacts in a benefit period, not both</t>
  </si>
  <si>
    <t xml:space="preserve">C-0036</t>
  </si>
  <si>
    <t xml:space="preserve">Wed 29 Jul 2026 10:05</t>
  </si>
  <si>
    <t xml:space="preserve">P-33, A-27</t>
  </si>
  <si>
    <t xml:space="preserve">expansion|verbatim, turn 15</t>
  </si>
  <si>
    <t xml:space="preserve">eight employees</t>
  </si>
  <si>
    <t xml:space="preserve">C-0037</t>
  </si>
  <si>
    <t xml:space="preserve">Wed 29 Jul 2026 15:15</t>
  </si>
  <si>
    <t xml:space="preserve">C-0038</t>
  </si>
  <si>
    <t xml:space="preserve">Thu 30 Jul 2026 09:20</t>
  </si>
  <si>
    <t xml:space="preserve">C-0039</t>
  </si>
  <si>
    <t xml:space="preserve">Thu 30 Jul 2026 14:45</t>
  </si>
  <si>
    <t xml:space="preserve">present|P-28|orthodontia availability is gated by carrier and group size before any waiting period applies</t>
  </si>
  <si>
    <t xml:space="preserve">C-0040</t>
  </si>
  <si>
    <t xml:space="preserve">Fri 31 Jul 2026 10:30</t>
  </si>
  <si>
    <t xml:space="preserve">A-28, A-29</t>
  </si>
  <si>
    <t xml:space="preserve">billing_defect|HIGH|Operations / Finance; retention_risk|CRITICAL|Account Management</t>
  </si>
  <si>
    <t xml:space="preserve">triggered true|authority_limit|requested_by_caller true|handled true</t>
  </si>
  <si>
    <t xml:space="preserve">market_test|verbatim, turn 18</t>
  </si>
  <si>
    <t xml:space="preserve">C-0041</t>
  </si>
  <si>
    <t xml:space="preserve">Fri 31 Jul 2026 15:50</t>
  </si>
  <si>
    <t xml:space="preserve">C-0042</t>
  </si>
  <si>
    <t xml:space="preserve">Mon 03 Aug 2026 09:10</t>
  </si>
  <si>
    <t xml:space="preserve">C-02, C-05</t>
  </si>
  <si>
    <t xml:space="preserve">C-0043</t>
  </si>
  <si>
    <t xml:space="preserve">Mon 03 Aug 2026 13:30</t>
  </si>
  <si>
    <t xml:space="preserve">present|employers repeatedly ask for card or ACH payment|invoice_statement|CALLER|UNVALIDATED</t>
  </si>
  <si>
    <t xml:space="preserve">C-0044</t>
  </si>
  <si>
    <t xml:space="preserve">Tue 04 Aug 2026 10:15</t>
  </si>
  <si>
    <t xml:space="preserve">present|CARRIER</t>
  </si>
  <si>
    <t xml:space="preserve">C-0045</t>
  </si>
  <si>
    <t xml:space="preserve">Tue 04 Aug 2026 15:05</t>
  </si>
  <si>
    <t xml:space="preserve">C-0046</t>
  </si>
  <si>
    <t xml:space="preserve">Wed 05 Aug 2026 09:35</t>
  </si>
  <si>
    <t xml:space="preserve">A-18, P-30</t>
  </si>
  <si>
    <t xml:space="preserve">C-0047</t>
  </si>
  <si>
    <t xml:space="preserve">Wed 05 Aug 2026 14:25</t>
  </si>
  <si>
    <t xml:space="preserve">C-0048</t>
  </si>
  <si>
    <t xml:space="preserve">Thu 06 Aug 2026 10:50</t>
  </si>
  <si>
    <t xml:space="preserve">C-0049</t>
  </si>
  <si>
    <t xml:space="preserve">Thu 06 Aug 2026 15:40</t>
  </si>
  <si>
    <t xml:space="preserve">A-16, A-17</t>
  </si>
  <si>
    <t xml:space="preserve">C-0050</t>
  </si>
  <si>
    <t xml:space="preserve">Fri 07 Aug 2026 11:20</t>
  </si>
  <si>
    <t xml:space="preserve">C-0051</t>
  </si>
  <si>
    <t xml:space="preserve">Fri 07 Aug 2026 14:15</t>
  </si>
  <si>
    <t xml:space="preserve">present|card mailer should tell the member the card went to their employer|id_card_mailer|AGENT|UNVALIDATED</t>
  </si>
  <si>
    <t xml:space="preserve">C-0002 | 06 Jul | closed unresolved</t>
  </si>
  <si>
    <t xml:space="preserve">C-0052</t>
  </si>
  <si>
    <t xml:space="preserve">Mon 17 Aug 2026 09:05</t>
  </si>
  <si>
    <t xml:space="preserve">C-0053</t>
  </si>
  <si>
    <t xml:space="preserve">Mon 17 Aug 2026 13:45</t>
  </si>
  <si>
    <t xml:space="preserve">process_breakdown|HIGH|Operations; billing_defect|HIGH|Operations / Finance</t>
  </si>
  <si>
    <t xml:space="preserve">triggered true|authority_limit|requested_by_caller false|handled true</t>
  </si>
  <si>
    <t xml:space="preserve">present|call notes without a case number produce phantom callbacks|agent_conversation|AGENT|UNVALIDATED</t>
  </si>
  <si>
    <t xml:space="preserve">C-0010 | 09 Jul | closed unresolved</t>
  </si>
  <si>
    <t xml:space="preserve">C-0054</t>
  </si>
  <si>
    <t xml:space="preserve">Tue 18 Aug 2026 10:20</t>
  </si>
  <si>
    <t xml:space="preserve">A-12, A-14</t>
  </si>
  <si>
    <t xml:space="preserve">present|portal should return applied/not-applied status, not just submitted|employer_portal|AGENT|UNVALIDATED</t>
  </si>
  <si>
    <t xml:space="preserve">C-0030 | 24 Jul | closed unresolved</t>
  </si>
  <si>
    <t xml:space="preserve">C-0055</t>
  </si>
  <si>
    <t xml:space="preserve">Tue 18 Aug 2026 15:10</t>
  </si>
  <si>
    <t xml:space="preserve">C-0056</t>
  </si>
  <si>
    <t xml:space="preserve">Wed 19 Aug 2026 09:30</t>
  </si>
  <si>
    <t xml:space="preserve">P-18, P-36</t>
  </si>
  <si>
    <t xml:space="preserve">retention_risk|CRITICAL|Account Management</t>
  </si>
  <si>
    <t xml:space="preserve">market_test|verbatim, turn 16</t>
  </si>
  <si>
    <t xml:space="preserve">six employees</t>
  </si>
  <si>
    <t xml:space="preserve">C-0057</t>
  </si>
  <si>
    <t xml:space="preserve">Wed 19 Aug 2026 14:00</t>
  </si>
  <si>
    <t xml:space="preserve">C-0058</t>
  </si>
  <si>
    <t xml:space="preserve">Thu 20 Aug 2026 10:40</t>
  </si>
  <si>
    <t xml:space="preserve">C-22, C-23</t>
  </si>
  <si>
    <t xml:space="preserve">C-0005 | 07 Jul | closed unresolved</t>
  </si>
  <si>
    <t xml:space="preserve">C-0059</t>
  </si>
  <si>
    <t xml:space="preserve">Thu 20 Aug 2026 15:25</t>
  </si>
  <si>
    <t xml:space="preserve">A-22, A-23</t>
  </si>
  <si>
    <t xml:space="preserve">C-0060</t>
  </si>
  <si>
    <t xml:space="preserve">Fri 21 Aug 2026 09:15</t>
  </si>
  <si>
    <t xml:space="preserve">C-0061</t>
  </si>
  <si>
    <t xml:space="preserve">Fri 21 Aug 2026 13:50</t>
  </si>
  <si>
    <t xml:space="preserve">C-0013 | 13 Jul | closed unresolved</t>
  </si>
  <si>
    <t xml:space="preserve">C-0062</t>
  </si>
  <si>
    <t xml:space="preserve">Mon 24 Aug 2026 08:45</t>
  </si>
  <si>
    <t xml:space="preserve">C-0063</t>
  </si>
  <si>
    <t xml:space="preserve">Mon 24 Aug 2026 12:30</t>
  </si>
  <si>
    <t xml:space="preserve">C-0064</t>
  </si>
  <si>
    <t xml:space="preserve">Tue 25 Aug 2026 10:10</t>
  </si>
  <si>
    <t xml:space="preserve">broker_conduct_adverse|HIGH|Broker Relations</t>
  </si>
  <si>
    <t xml:space="preserve">present|P-23|voluntary dental minimums are headcount-based, not a percentage</t>
  </si>
  <si>
    <t xml:space="preserve">present|BRK-03|ADVERSE</t>
  </si>
  <si>
    <t xml:space="preserve">C-0065</t>
  </si>
  <si>
    <t xml:space="preserve">Tue 25 Aug 2026 14:40</t>
  </si>
  <si>
    <t xml:space="preserve">C-0066</t>
  </si>
  <si>
    <t xml:space="preserve">Wed 26 Aug 2026 09:25</t>
  </si>
  <si>
    <t xml:space="preserve">expansion|verbatim, turn 14</t>
  </si>
  <si>
    <t xml:space="preserve">C-0067</t>
  </si>
  <si>
    <t xml:space="preserve">Wed 26 Aug 2026 15:30</t>
  </si>
  <si>
    <t xml:space="preserve">present|C-12|the major-service waiting period is waived for groups with comparable prior coverage</t>
  </si>
  <si>
    <t xml:space="preserve">C-0068</t>
  </si>
  <si>
    <t xml:space="preserve">Thu 27 Aug 2026 10:55</t>
  </si>
  <si>
    <t xml:space="preserve">C-12, P-29</t>
  </si>
  <si>
    <t xml:space="preserve">knowledge_error|MEDIUM|Knowledge Management; member_communication_gap|MEDIUM|Member Communications</t>
  </si>
  <si>
    <t xml:space="preserve">present|takeover credit is never mentioned at member level|enrolment_material|AGENT|UNVALIDATED</t>
  </si>
  <si>
    <t xml:space="preserve">C-0067 | 26 Aug | closed resolved but incorrectly</t>
  </si>
  <si>
    <t xml:space="preserve">C-0069</t>
  </si>
  <si>
    <t xml:space="preserve">Thu 27 Aug 2026 14:15</t>
  </si>
  <si>
    <t xml:space="preserve">P-09, A-23</t>
  </si>
  <si>
    <t xml:space="preserve">broker_conduct_adverse|HIGH|Broker Relations; revenue_opportunity|LOW|Account Management</t>
  </si>
  <si>
    <t xml:space="preserve">expansion|verbatim, turn 8</t>
  </si>
  <si>
    <t xml:space="preserve">C-0070</t>
  </si>
  <si>
    <t xml:space="preserve">Fri 28 Aug 2026 09:40</t>
  </si>
  <si>
    <t xml:space="preserve">C-0071</t>
  </si>
  <si>
    <t xml:space="preserve">Fri 28 Aug 2026 13:20</t>
  </si>
  <si>
    <t xml:space="preserve">C-0072</t>
  </si>
  <si>
    <t xml:space="preserve">Mon 31 Aug 2026 10:05</t>
  </si>
  <si>
    <t xml:space="preserve">A-30, A-31</t>
  </si>
  <si>
    <t xml:space="preserve">C-0073</t>
  </si>
  <si>
    <t xml:space="preserve">Mon 31 Aug 2026 14:50</t>
  </si>
  <si>
    <t xml:space="preserve">C-0074</t>
  </si>
  <si>
    <t xml:space="preserve">Tue 01 Sep 2026 09:50</t>
  </si>
  <si>
    <t xml:space="preserve">C-0075</t>
  </si>
  <si>
    <t xml:space="preserve">Tue 01 Sep 2026 15:35</t>
  </si>
  <si>
    <t xml:space="preserve">C-0076</t>
  </si>
  <si>
    <t xml:space="preserve">Wed 02 Sep 2026 09:20</t>
  </si>
  <si>
    <t xml:space="preserve">C-0077</t>
  </si>
  <si>
    <t xml:space="preserve">Wed 02 Sep 2026 14:05</t>
  </si>
  <si>
    <t xml:space="preserve">C-0078</t>
  </si>
  <si>
    <t xml:space="preserve">Thu 03 Sep 2026 10:30</t>
  </si>
  <si>
    <t xml:space="preserve">A-33, A-34, A-36</t>
  </si>
  <si>
    <t xml:space="preserve">C-0079</t>
  </si>
  <si>
    <t xml:space="preserve">Thu 03 Sep 2026 15:20</t>
  </si>
  <si>
    <t xml:space="preserve">C-0080</t>
  </si>
  <si>
    <t xml:space="preserve">Fri 04 Sep 2026 09:05</t>
  </si>
  <si>
    <t xml:space="preserve">C-0081</t>
  </si>
  <si>
    <t xml:space="preserve">Tue 08 Sep 2026 10:15</t>
  </si>
  <si>
    <t xml:space="preserve">escalation_missed|HIGH|Operations; knowledge_error|MEDIUM|Knowledge Management</t>
  </si>
  <si>
    <t xml:space="preserve">C-0035 | 28 Jul | closed unresolved</t>
  </si>
  <si>
    <t xml:space="preserve">C-0082</t>
  </si>
  <si>
    <t xml:space="preserve">Tue 08 Sep 2026 14:40</t>
  </si>
  <si>
    <t xml:space="preserve">C-24, C-26</t>
  </si>
  <si>
    <t xml:space="preserve">present|benefit screen should show used/remaining by benefit type, not plan entitlement|agent_conversation|AGENT|UNVALIDATED</t>
  </si>
  <si>
    <t xml:space="preserve">C-0081 | 08 Sep | closed unresolved</t>
  </si>
  <si>
    <t xml:space="preserve">C-0083</t>
  </si>
  <si>
    <t xml:space="preserve">Wed 09 Sep 2026 09:35</t>
  </si>
  <si>
    <t xml:space="preserve">C-0084</t>
  </si>
  <si>
    <t xml:space="preserve">Wed 09 Sep 2026 13:55</t>
  </si>
  <si>
    <t xml:space="preserve">C-0085</t>
  </si>
  <si>
    <t xml:space="preserve">Thu 10 Sep 2026 10:45</t>
  </si>
  <si>
    <t xml:space="preserve">A-06, A-08, A-09</t>
  </si>
  <si>
    <t xml:space="preserve">C-0086</t>
  </si>
  <si>
    <t xml:space="preserve">Thu 10 Sep 2026 15:10</t>
  </si>
  <si>
    <t xml:space="preserve">C-0087</t>
  </si>
  <si>
    <t xml:space="preserve">Fri 11 Sep 2026 09:25</t>
  </si>
  <si>
    <t xml:space="preserve">C-0088</t>
  </si>
  <si>
    <t xml:space="preserve">Fri 11 Sep 2026 14:30</t>
  </si>
  <si>
    <t xml:space="preserve">C-0089</t>
  </si>
  <si>
    <t xml:space="preserve">Mon 14 Sep 2026 08:50</t>
  </si>
  <si>
    <t xml:space="preserve">C-29, C-30</t>
  </si>
  <si>
    <t xml:space="preserve">C-0090</t>
  </si>
  <si>
    <t xml:space="preserve">Mon 14 Sep 2026 13:15</t>
  </si>
  <si>
    <t xml:space="preserve">P-16, P-20</t>
  </si>
  <si>
    <t xml:space="preserve">present|P-16|chiropractic must be 100% employer-paid; there is no voluntary option</t>
  </si>
  <si>
    <t xml:space="preserve">C-0091</t>
  </si>
  <si>
    <t xml:space="preserve">Tue 15 Sep 2026 09:40</t>
  </si>
  <si>
    <t xml:space="preserve">C-0092</t>
  </si>
  <si>
    <t xml:space="preserve">Tue 15 Sep 2026 14:20</t>
  </si>
  <si>
    <t xml:space="preserve">broker_conduct_adverse|HIGH|Broker Relations; retention_risk|CRITICAL|Account Management</t>
  </si>
  <si>
    <t xml:space="preserve">triggered true|contested_document|requested_by_caller false|handled true</t>
  </si>
  <si>
    <t xml:space="preserve">market_test|verbatim, turn 20</t>
  </si>
  <si>
    <t xml:space="preserve">C-0093</t>
  </si>
  <si>
    <t xml:space="preserve">Wed 16 Sep 2026 10:00</t>
  </si>
  <si>
    <t xml:space="preserve">C-0094</t>
  </si>
  <si>
    <t xml:space="preserve">Wed 16 Sep 2026 15:45</t>
  </si>
  <si>
    <t xml:space="preserve">C-0095</t>
  </si>
  <si>
    <t xml:space="preserve">Thu 17 Sep 2026 09:30</t>
  </si>
  <si>
    <t xml:space="preserve">C-0096</t>
  </si>
  <si>
    <t xml:space="preserve">Thu 17 Sep 2026 14:05</t>
  </si>
  <si>
    <t xml:space="preserve">C-0097</t>
  </si>
  <si>
    <t xml:space="preserve">Fri 18 Sep 2026 10:20</t>
  </si>
  <si>
    <t xml:space="preserve">C-0098</t>
  </si>
  <si>
    <t xml:space="preserve">Fri 18 Sep 2026 15:30</t>
  </si>
  <si>
    <t xml:space="preserve">A-24, P-18, P-23</t>
  </si>
  <si>
    <t xml:space="preserve">C-0099</t>
  </si>
  <si>
    <t xml:space="preserve">Mon 21 Sep 2026 09:15</t>
  </si>
  <si>
    <t xml:space="preserve">present|conversion rights are never included in the leaver pack|cobra_notice|AGENT|UNVALIDATED</t>
  </si>
  <si>
    <t xml:space="preserve">C-0100</t>
  </si>
  <si>
    <t xml:space="preserve">Mon 21 Sep 2026 14:50</t>
  </si>
  <si>
    <t xml:space="preserve">A-28, A-29, A-39</t>
  </si>
  <si>
    <t xml:space="preserve">process_breakdown|HIGH|Operations; retention_risk|CRITICAL|Account Management</t>
  </si>
  <si>
    <t xml:space="preserve">market_test|verbatim, turn 17</t>
  </si>
  <si>
    <t xml:space="preserve">present|cancellation notices should have an email route, not post only|invoice_statement|AGENT|UNVALIDATED</t>
  </si>
  <si>
    <t xml:space="preserve">C-0101</t>
  </si>
  <si>
    <t xml:space="preserve">Mon 06 Jul 2026 09:41</t>
  </si>
  <si>
    <t xml:space="preserve">knowledge_error|MEDIUM|Knowledge Management; compliance_disclosure_missing|HIGH|Compliance</t>
  </si>
  <si>
    <t xml:space="preserve">present|P-21|life is employer-sponsored only — there is no employee election to increase</t>
  </si>
  <si>
    <t xml:space="preserve">C-0102</t>
  </si>
  <si>
    <t xml:space="preserve">Mon 06 Jul 2026 16:12</t>
  </si>
  <si>
    <t xml:space="preserve">C-0103</t>
  </si>
  <si>
    <t xml:space="preserve">Tue 07 Jul 2026 13:12</t>
  </si>
  <si>
    <t xml:space="preserve">C-0104</t>
  </si>
  <si>
    <t xml:space="preserve">Tue 07 Jul 2026 15:20</t>
  </si>
  <si>
    <t xml:space="preserve">present|BRK-06|POSITIVE</t>
  </si>
  <si>
    <t xml:space="preserve">C-0105</t>
  </si>
  <si>
    <t xml:space="preserve">Wed 08 Jul 2026 10:35</t>
  </si>
  <si>
    <t xml:space="preserve">network_adequacy|MEDIUM|Product / Network</t>
  </si>
  <si>
    <t xml:space="preserve">C-0106</t>
  </si>
  <si>
    <t xml:space="preserve">Wed 08 Jul 2026 10:55</t>
  </si>
  <si>
    <t xml:space="preserve">A-06, A-07, A-09, A-08</t>
  </si>
  <si>
    <t xml:space="preserve">billing_defect|HIGH|Operations / Finance; process_breakdown|HIGH|Operations</t>
  </si>
  <si>
    <t xml:space="preserve">terminated employees still billing</t>
  </si>
  <si>
    <t xml:space="preserve">COBRA notices possibly late, termination filed before last day rejected, credit not appearing</t>
  </si>
  <si>
    <t xml:space="preserve">4 employees</t>
  </si>
  <si>
    <t xml:space="preserve">C-0107</t>
  </si>
  <si>
    <t xml:space="preserve">Thu 09 Jul 2026 10:35</t>
  </si>
  <si>
    <t xml:space="preserve">present|BRK-10|ADVERSE</t>
  </si>
  <si>
    <t xml:space="preserve">C-0108</t>
  </si>
  <si>
    <t xml:space="preserve">Fri 10 Jul 2026 13:28</t>
  </si>
  <si>
    <t xml:space="preserve">Eleven employees</t>
  </si>
  <si>
    <t xml:space="preserve">C-0109</t>
  </si>
  <si>
    <t xml:space="preserve">Mon 13 Jul 2026 09:05</t>
  </si>
  <si>
    <t xml:space="preserve">present|BRK-02|POSITIVE</t>
  </si>
  <si>
    <t xml:space="preserve">C-0110</t>
  </si>
  <si>
    <t xml:space="preserve">Mon 13 Jul 2026 14:41</t>
  </si>
  <si>
    <t xml:space="preserve">C-0111</t>
  </si>
  <si>
    <t xml:space="preserve">Tue 14 Jul 2026 10:50</t>
  </si>
  <si>
    <t xml:space="preserve">C-30, C-33</t>
  </si>
  <si>
    <t xml:space="preserve">acupuncture access</t>
  </si>
  <si>
    <t xml:space="preserve">C-0112</t>
  </si>
  <si>
    <t xml:space="preserve">Tue 14 Jul 2026 13:55</t>
  </si>
  <si>
    <t xml:space="preserve">A-12, A-14, P-31, A-02</t>
  </si>
  <si>
    <t xml:space="preserve">process_breakdown|HIGH|Operations; member_communication_gap|MEDIUM|Member Communications</t>
  </si>
  <si>
    <t xml:space="preserve">dependent enrolment not applied</t>
  </si>
  <si>
    <t xml:space="preserve">ID card never issued, provider refused treatment, effective date dispute</t>
  </si>
  <si>
    <t xml:space="preserve">1 member + 1 dependent</t>
  </si>
  <si>
    <t xml:space="preserve">C-0113</t>
  </si>
  <si>
    <t xml:space="preserve">Wed 15 Jul 2026 11:20</t>
  </si>
  <si>
    <t xml:space="preserve">P-24, P-28</t>
  </si>
  <si>
    <t xml:space="preserve">C-0114</t>
  </si>
  <si>
    <t xml:space="preserve">Wed 15 Jul 2026 11:50</t>
  </si>
  <si>
    <t xml:space="preserve">C-0115</t>
  </si>
  <si>
    <t xml:space="preserve">Thu 16 Jul 2026 16:50</t>
  </si>
  <si>
    <t xml:space="preserve">P-23, P-30</t>
  </si>
  <si>
    <t xml:space="preserve">C-0116</t>
  </si>
  <si>
    <t xml:space="preserve">Fri 17 Jul 2026 09:55</t>
  </si>
  <si>
    <t xml:space="preserve">P-14, A-22</t>
  </si>
  <si>
    <t xml:space="preserve">present|P-14|the waiting period is a group-level election changeable only at renewal</t>
  </si>
  <si>
    <t xml:space="preserve">C-0117</t>
  </si>
  <si>
    <t xml:space="preserve">C-0118</t>
  </si>
  <si>
    <t xml:space="preserve">Mon 20 Jul 2026 14:55</t>
  </si>
  <si>
    <t xml:space="preserve">present|C-29|Landmark pays nothing out of network — the member carries the full cost</t>
  </si>
  <si>
    <t xml:space="preserve">acupuncture out-of-network</t>
  </si>
  <si>
    <t xml:space="preserve">C-0119</t>
  </si>
  <si>
    <t xml:space="preserve">Tue 21 Jul 2026 14:50</t>
  </si>
  <si>
    <t xml:space="preserve">C-34, A-33, A-34, A-19</t>
  </si>
  <si>
    <t xml:space="preserve">present|leaver pack covers dental continuation but not life conversion|cobra_notice|AGENT|UNVALIDATED</t>
  </si>
  <si>
    <t xml:space="preserve">life conversion on termination</t>
  </si>
  <si>
    <t xml:space="preserve">spouse dental continuation, dependent coverage after leaving, beneficiary change</t>
  </si>
  <si>
    <t xml:space="preserve">1 member + 2 dependents</t>
  </si>
  <si>
    <t xml:space="preserve">C-0120</t>
  </si>
  <si>
    <t xml:space="preserve">Tue 21 Jul 2026 15:05</t>
  </si>
  <si>
    <t xml:space="preserve">triggered false|none|requested_by_caller false|handled true — OVER-ESCALATION</t>
  </si>
  <si>
    <t xml:space="preserve">billing credit</t>
  </si>
  <si>
    <t xml:space="preserve">C-0121</t>
  </si>
  <si>
    <t xml:space="preserve">Wed 22 Jul 2026 15:12</t>
  </si>
  <si>
    <t xml:space="preserve">P-21, P-22, A-25</t>
  </si>
  <si>
    <t xml:space="preserve">C-0122</t>
  </si>
  <si>
    <t xml:space="preserve">Wed 22 Jul 2026 15:35</t>
  </si>
  <si>
    <t xml:space="preserve">present|portal status and eligibility system disagree with no reconciliation|employer_portal|AGENT|UNVALIDATED</t>
  </si>
  <si>
    <t xml:space="preserve">contradiction: portal vs eligibility system</t>
  </si>
  <si>
    <t xml:space="preserve">new hire not covered</t>
  </si>
  <si>
    <t xml:space="preserve">C-0123</t>
  </si>
  <si>
    <t xml:space="preserve">Thu 23 Jul 2026 08:35</t>
  </si>
  <si>
    <t xml:space="preserve">present|EOB should state that network pricing continues past the maximum|denial_letter_eob|AGENT|UNVALIDATED</t>
  </si>
  <si>
    <t xml:space="preserve">C-0124</t>
  </si>
  <si>
    <t xml:space="preserve">Thu 23 Jul 2026 11:41</t>
  </si>
  <si>
    <t xml:space="preserve">C-0125</t>
  </si>
  <si>
    <t xml:space="preserve">Fri 24 Jul 2026 10:55</t>
  </si>
  <si>
    <t xml:space="preserve">A-44, C-34</t>
  </si>
  <si>
    <t xml:space="preserve">present|conversion rights are not in the standard leaver pack|cobra_notice|AGENT|UNVALIDATED</t>
  </si>
  <si>
    <t xml:space="preserve">C-0126</t>
  </si>
  <si>
    <t xml:space="preserve">Mon 27 Jul 2026 09:05</t>
  </si>
  <si>
    <t xml:space="preserve">present|BRK-26|ADVERSE</t>
  </si>
  <si>
    <t xml:space="preserve">C-0127</t>
  </si>
  <si>
    <t xml:space="preserve">Mon 27 Jul 2026 11:35</t>
  </si>
  <si>
    <t xml:space="preserve">C-0128</t>
  </si>
  <si>
    <t xml:space="preserve">Tue 28 Jul 2026 13:35</t>
  </si>
  <si>
    <t xml:space="preserve">C-0129</t>
  </si>
  <si>
    <t xml:space="preserve">Tue 28 Jul 2026 15:12</t>
  </si>
  <si>
    <t xml:space="preserve">C-0130</t>
  </si>
  <si>
    <t xml:space="preserve">Wed 29 Jul 2026 11:41</t>
  </si>
  <si>
    <t xml:space="preserve">present|BRK-09|ADVERSE</t>
  </si>
  <si>
    <t xml:space="preserve">C-0131</t>
  </si>
  <si>
    <t xml:space="preserve">Wed 29 Jul 2026 14:20</t>
  </si>
  <si>
    <t xml:space="preserve">clinical_or_safety_risk|CRITICAL|Clinical review; process_breakdown|HIGH|Operations</t>
  </si>
  <si>
    <t xml:space="preserve">triggered true|scheduled_care_at_risk|requested_by_caller false|handled true</t>
  </si>
  <si>
    <t xml:space="preserve">present|BRK-08|ADVERSE</t>
  </si>
  <si>
    <t xml:space="preserve">C-0132</t>
  </si>
  <si>
    <t xml:space="preserve">Thu 30 Jul 2026 10:12</t>
  </si>
  <si>
    <t xml:space="preserve">A-33, A-37, A-40</t>
  </si>
  <si>
    <t xml:space="preserve">C-0133</t>
  </si>
  <si>
    <t xml:space="preserve">Fri 31 Jul 2026 09:35</t>
  </si>
  <si>
    <t xml:space="preserve">C-0134</t>
  </si>
  <si>
    <t xml:space="preserve">Mon 03 Aug 2026 09:20</t>
  </si>
  <si>
    <t xml:space="preserve">C-0135</t>
  </si>
  <si>
    <t xml:space="preserve">Mon 03 Aug 2026 14:35</t>
  </si>
  <si>
    <t xml:space="preserve">contradiction: EOB vs provider bill</t>
  </si>
  <si>
    <t xml:space="preserve">patient liability</t>
  </si>
  <si>
    <t xml:space="preserve">C-0136</t>
  </si>
  <si>
    <t xml:space="preserve">Tue 04 Aug 2026 11:12</t>
  </si>
  <si>
    <t xml:space="preserve">chiropractor vs acupuncturist choice</t>
  </si>
  <si>
    <t xml:space="preserve">visit maximum</t>
  </si>
  <si>
    <t xml:space="preserve">C-0137</t>
  </si>
  <si>
    <t xml:space="preserve">Tue 04 Aug 2026 15:41</t>
  </si>
  <si>
    <t xml:space="preserve">C-0138</t>
  </si>
  <si>
    <t xml:space="preserve">Wed 05 Aug 2026 10:28</t>
  </si>
  <si>
    <t xml:space="preserve">A-22, P-19</t>
  </si>
  <si>
    <t xml:space="preserve">expansion|verbatim, turn 4</t>
  </si>
  <si>
    <t xml:space="preserve">five employees</t>
  </si>
  <si>
    <t xml:space="preserve">C-0139</t>
  </si>
  <si>
    <t xml:space="preserve">Wed 05 Aug 2026 13:50</t>
  </si>
  <si>
    <t xml:space="preserve">C-0140</t>
  </si>
  <si>
    <t xml:space="preserve">Thu 06 Aug 2026 09:55</t>
  </si>
  <si>
    <t xml:space="preserve">P-16, P-21</t>
  </si>
  <si>
    <t xml:space="preserve">C-0141</t>
  </si>
  <si>
    <t xml:space="preserve">C-31, C-32</t>
  </si>
  <si>
    <t xml:space="preserve">present|members are never told when they approach the combined visit maximum|denial_letter_eob|AGENT|UNVALIDATED</t>
  </si>
  <si>
    <t xml:space="preserve">acupuncture claim denied</t>
  </si>
  <si>
    <t xml:space="preserve">visit maximum exhausted</t>
  </si>
  <si>
    <t xml:space="preserve">C-0142</t>
  </si>
  <si>
    <t xml:space="preserve">Mon 10 Aug 2026 09:41</t>
  </si>
  <si>
    <t xml:space="preserve">C-0143</t>
  </si>
  <si>
    <t xml:space="preserve">Mon 10 Aug 2026 15:50</t>
  </si>
  <si>
    <t xml:space="preserve">contradiction: directory vs provider</t>
  </si>
  <si>
    <t xml:space="preserve">C-0144</t>
  </si>
  <si>
    <t xml:space="preserve">Tue 11 Aug 2026 10:05</t>
  </si>
  <si>
    <t xml:space="preserve">C-0145</t>
  </si>
  <si>
    <t xml:space="preserve">Tue 11 Aug 2026 14:12</t>
  </si>
  <si>
    <t xml:space="preserve">present|C-29|Landmark does not pay for out-of-network services at all</t>
  </si>
  <si>
    <t xml:space="preserve">present|BRK-30|ADVERSE</t>
  </si>
  <si>
    <t xml:space="preserve">C-0146</t>
  </si>
  <si>
    <t xml:space="preserve">Wed 12 Aug 2026 10:35</t>
  </si>
  <si>
    <t xml:space="preserve">present|BRK-08|POSITIVE</t>
  </si>
  <si>
    <t xml:space="preserve">C-0147</t>
  </si>
  <si>
    <t xml:space="preserve">Wed 12 Aug 2026 14:50</t>
  </si>
  <si>
    <t xml:space="preserve">C-0148</t>
  </si>
  <si>
    <t xml:space="preserve">Thu 13 Aug 2026 09:28</t>
  </si>
  <si>
    <t xml:space="preserve">present|two agents gave opposite answers on the same rule within a week|agent_conversation|AGENT|UNVALIDATED</t>
  </si>
  <si>
    <t xml:space="preserve">contradiction: agent vs agent</t>
  </si>
  <si>
    <t xml:space="preserve">takeover credit</t>
  </si>
  <si>
    <t xml:space="preserve">C-0149</t>
  </si>
  <si>
    <t xml:space="preserve">Thu 13 Aug 2026 13:41</t>
  </si>
  <si>
    <t xml:space="preserve">C-0150</t>
  </si>
  <si>
    <t xml:space="preserve">Fri 14 Aug 2026 10:41</t>
  </si>
  <si>
    <t xml:space="preserve">A-04, A-01</t>
  </si>
  <si>
    <t xml:space="preserve">C-0151</t>
  </si>
  <si>
    <t xml:space="preserve">Mon 06 Jul 2026 09:15</t>
  </si>
  <si>
    <t xml:space="preserve">B3</t>
  </si>
  <si>
    <t xml:space="preserve">present|P-22|every employee eligible for dental must be enrolled in life, including those who waived dental</t>
  </si>
  <si>
    <t xml:space="preserve">life enrolment incomplete</t>
  </si>
  <si>
    <t xml:space="preserve">dental waivers not cross-checked</t>
  </si>
  <si>
    <t xml:space="preserve">14 employees</t>
  </si>
  <si>
    <t xml:space="preserve">C-0152</t>
  </si>
  <si>
    <t xml:space="preserve">Mon 06 Jul 2026 15:38</t>
  </si>
  <si>
    <t xml:space="preserve">adding vision mid-year</t>
  </si>
  <si>
    <t xml:space="preserve">C-0153</t>
  </si>
  <si>
    <t xml:space="preserve">Tue 07 Jul 2026 11:07</t>
  </si>
  <si>
    <t xml:space="preserve">A-09, A-27</t>
  </si>
  <si>
    <t xml:space="preserve">credit not appearing</t>
  </si>
  <si>
    <t xml:space="preserve">C-0154</t>
  </si>
  <si>
    <t xml:space="preserve">Tue 07 Jul 2026 14:22</t>
  </si>
  <si>
    <t xml:space="preserve">present|C-22|the frame allowance is a budget, not a discount off the frame price</t>
  </si>
  <si>
    <t xml:space="preserve">frame allowance misunderstood</t>
  </si>
  <si>
    <t xml:space="preserve">C-0155</t>
  </si>
  <si>
    <t xml:space="preserve">Wed 08 Jul 2026 10:31</t>
  </si>
  <si>
    <t xml:space="preserve">cost of glasses before purchase</t>
  </si>
  <si>
    <t xml:space="preserve">C-0156</t>
  </si>
  <si>
    <t xml:space="preserve">Wed 08 Jul 2026 15:44</t>
  </si>
  <si>
    <t xml:space="preserve">C-24, C-25, C-26</t>
  </si>
  <si>
    <t xml:space="preserve">contacts vs glasses in one period</t>
  </si>
  <si>
    <t xml:space="preserve">medical eye condition misrouted, provider lookup failure</t>
  </si>
  <si>
    <t xml:space="preserve">C-0157</t>
  </si>
  <si>
    <t xml:space="preserve">Thu 09 Jul 2026 09:52</t>
  </si>
  <si>
    <t xml:space="preserve">can life be employee-paid</t>
  </si>
  <si>
    <t xml:space="preserve">C-0158</t>
  </si>
  <si>
    <t xml:space="preserve">Fri 10 Jul 2026 13:15</t>
  </si>
  <si>
    <t xml:space="preserve">vision claim pending</t>
  </si>
  <si>
    <t xml:space="preserve">C-0159</t>
  </si>
  <si>
    <t xml:space="preserve">Mon 13 Jul 2026 10:44</t>
  </si>
  <si>
    <t xml:space="preserve">life form deadline</t>
  </si>
  <si>
    <t xml:space="preserve">C-0160</t>
  </si>
  <si>
    <t xml:space="preserve">Mon 13 Jul 2026 15:22</t>
  </si>
  <si>
    <t xml:space="preserve">no provider in area</t>
  </si>
  <si>
    <t xml:space="preserve">C-0161</t>
  </si>
  <si>
    <t xml:space="preserve">Tue 14 Jul 2026 09:38</t>
  </si>
  <si>
    <t xml:space="preserve">acupuncture herbal charges</t>
  </si>
  <si>
    <t xml:space="preserve">C-0162</t>
  </si>
  <si>
    <t xml:space="preserve">Tue 14 Jul 2026 14:07</t>
  </si>
  <si>
    <t xml:space="preserve">C-21, C-26</t>
  </si>
  <si>
    <t xml:space="preserve">exam frequency</t>
  </si>
  <si>
    <t xml:space="preserve">C-0163</t>
  </si>
  <si>
    <t xml:space="preserve">Wed 15 Jul 2026 11:31</t>
  </si>
  <si>
    <t xml:space="preserve">present|C-31|chiropractic and acupuncture share one combined annual visit maximum</t>
  </si>
  <si>
    <t xml:space="preserve">visit count unclear</t>
  </si>
  <si>
    <t xml:space="preserve">C-0164</t>
  </si>
  <si>
    <t xml:space="preserve">Wed 15 Jul 2026 16:12</t>
  </si>
  <si>
    <t xml:space="preserve">voluntary participation check</t>
  </si>
  <si>
    <t xml:space="preserve">waiver retention</t>
  </si>
  <si>
    <t xml:space="preserve">C-0165</t>
  </si>
  <si>
    <t xml:space="preserve">Thu 16 Jul 2026 09:44</t>
  </si>
  <si>
    <t xml:space="preserve">orthodontia availability</t>
  </si>
  <si>
    <t xml:space="preserve">C-0166</t>
  </si>
  <si>
    <t xml:space="preserve">Fri 17 Jul 2026 13:52</t>
  </si>
  <si>
    <t xml:space="preserve">lens upgrade charge disputed</t>
  </si>
  <si>
    <t xml:space="preserve">C-0167</t>
  </si>
  <si>
    <t xml:space="preserve">Mon 20 Jul 2026 10:07</t>
  </si>
  <si>
    <t xml:space="preserve">A-27, A-28, A-08</t>
  </si>
  <si>
    <t xml:space="preserve">permanently one cycle behind</t>
  </si>
  <si>
    <t xml:space="preserve">grace period notices, COBRA notification timing</t>
  </si>
  <si>
    <t xml:space="preserve">C-0168</t>
  </si>
  <si>
    <t xml:space="preserve">Mon 20 Jul 2026 14:44</t>
  </si>
  <si>
    <t xml:space="preserve">what can change mid-year</t>
  </si>
  <si>
    <t xml:space="preserve">C-0169</t>
  </si>
  <si>
    <t xml:space="preserve">Tue 21 Jul 2026 11:15</t>
  </si>
  <si>
    <t xml:space="preserve">present|C-29|Landmark pays nothing out of network</t>
  </si>
  <si>
    <t xml:space="preserve">out-of-network acupuncture</t>
  </si>
  <si>
    <t xml:space="preserve">C-0170</t>
  </si>
  <si>
    <t xml:space="preserve">Tue 21 Jul 2026 15:58</t>
  </si>
  <si>
    <t xml:space="preserve">termination not applied</t>
  </si>
  <si>
    <t xml:space="preserve">C-0171</t>
  </si>
  <si>
    <t xml:space="preserve">Wed 22 Jul 2026 10:52</t>
  </si>
  <si>
    <t xml:space="preserve">beneficiary designation</t>
  </si>
  <si>
    <t xml:space="preserve">C-0172</t>
  </si>
  <si>
    <t xml:space="preserve">Wed 22 Jul 2026 14:31</t>
  </si>
  <si>
    <t xml:space="preserve">P-31, C-26</t>
  </si>
  <si>
    <t xml:space="preserve">no vision card</t>
  </si>
  <si>
    <t xml:space="preserve">C-0173</t>
  </si>
  <si>
    <t xml:space="preserve">Thu 23 Jul 2026 09:22</t>
  </si>
  <si>
    <t xml:space="preserve">withdrawal backdating refused</t>
  </si>
  <si>
    <t xml:space="preserve">re-entry only at renewal</t>
  </si>
  <si>
    <t xml:space="preserve">2 employees</t>
  </si>
  <si>
    <t xml:space="preserve">C-0174</t>
  </si>
  <si>
    <t xml:space="preserve">Thu 23 Jul 2026 15:47</t>
  </si>
  <si>
    <t xml:space="preserve">referral needed for acupuncture</t>
  </si>
  <si>
    <t xml:space="preserve">C-0175</t>
  </si>
  <si>
    <t xml:space="preserve">Fri 24 Jul 2026 11:38</t>
  </si>
  <si>
    <t xml:space="preserve">benefit question for an employee</t>
  </si>
  <si>
    <t xml:space="preserve">C-0176</t>
  </si>
  <si>
    <t xml:space="preserve">Mon 27 Jul 2026 10:44</t>
  </si>
  <si>
    <t xml:space="preserve">finding an acupuncturist</t>
  </si>
  <si>
    <t xml:space="preserve">C-0177</t>
  </si>
  <si>
    <t xml:space="preserve">Mon 27 Jul 2026 15:22</t>
  </si>
  <si>
    <t xml:space="preserve">C-22, C-24</t>
  </si>
  <si>
    <t xml:space="preserve">balance after allowance disputed</t>
  </si>
  <si>
    <t xml:space="preserve">contacts used the hardware benefit</t>
  </si>
  <si>
    <t xml:space="preserve">C-0178</t>
  </si>
  <si>
    <t xml:space="preserve">Tue 28 Jul 2026 09:31</t>
  </si>
  <si>
    <t xml:space="preserve">lens upgrade cost before purchase</t>
  </si>
  <si>
    <t xml:space="preserve">C-0179</t>
  </si>
  <si>
    <t xml:space="preserve">Tue 28 Jul 2026 14:08</t>
  </si>
  <si>
    <t xml:space="preserve">preventive counted against maximum</t>
  </si>
  <si>
    <t xml:space="preserve">C-0180</t>
  </si>
  <si>
    <t xml:space="preserve">Wed 29 Jul 2026 11:15</t>
  </si>
  <si>
    <t xml:space="preserve">C-01, C-02</t>
  </si>
  <si>
    <t xml:space="preserve">specialist referral refused</t>
  </si>
  <si>
    <t xml:space="preserve">assigned dentist unknown</t>
  </si>
  <si>
    <t xml:space="preserve">C-0181</t>
  </si>
  <si>
    <t xml:space="preserve">Wed 29 Jul 2026 16:02</t>
  </si>
  <si>
    <t xml:space="preserve">C-01, C-07</t>
  </si>
  <si>
    <t xml:space="preserve">billed on a DHMO copay plan</t>
  </si>
  <si>
    <t xml:space="preserve">C-0182</t>
  </si>
  <si>
    <t xml:space="preserve">Thu 30 Jul 2026 10:52</t>
  </si>
  <si>
    <t xml:space="preserve">life cover after leaving</t>
  </si>
  <si>
    <t xml:space="preserve">C-0183</t>
  </si>
  <si>
    <t xml:space="preserve">Fri 31 Jul 2026 13:38</t>
  </si>
  <si>
    <t xml:space="preserve">life benefit reduced without notice</t>
  </si>
  <si>
    <t xml:space="preserve">C-0184</t>
  </si>
  <si>
    <t xml:space="preserve">Mon 03 Aug 2026 09:07</t>
  </si>
  <si>
    <t xml:space="preserve">billed for treatment not received</t>
  </si>
  <si>
    <t xml:space="preserve">C-0185</t>
  </si>
  <si>
    <t xml:space="preserve">Mon 03 Aug 2026 14:44</t>
  </si>
  <si>
    <t xml:space="preserve">waiting period on a bridge</t>
  </si>
  <si>
    <t xml:space="preserve">C-0186</t>
  </si>
  <si>
    <t xml:space="preserve">Tue 04 Aug 2026 10:31</t>
  </si>
  <si>
    <t xml:space="preserve">diabetic eye screening</t>
  </si>
  <si>
    <t xml:space="preserve">C-0187</t>
  </si>
  <si>
    <t xml:space="preserve">Tue 04 Aug 2026 15:52</t>
  </si>
  <si>
    <t xml:space="preserve">late enrolment eligibility</t>
  </si>
  <si>
    <t xml:space="preserve">C-0188</t>
  </si>
  <si>
    <t xml:space="preserve">Wed 05 Aug 2026 09:22</t>
  </si>
  <si>
    <t xml:space="preserve">A-22, P-19, P-14</t>
  </si>
  <si>
    <t xml:space="preserve">adding vision</t>
  </si>
  <si>
    <t xml:space="preserve">participation requirement</t>
  </si>
  <si>
    <t xml:space="preserve">C-0189</t>
  </si>
  <si>
    <t xml:space="preserve">Wed 05 Aug 2026 14:07</t>
  </si>
  <si>
    <t xml:space="preserve">P-16, P-20, C-28</t>
  </si>
  <si>
    <t xml:space="preserve">expansion|verbatim, turn 3</t>
  </si>
  <si>
    <t xml:space="preserve">adding chiro and acupuncture</t>
  </si>
  <si>
    <t xml:space="preserve">employer-paid requirement</t>
  </si>
  <si>
    <t xml:space="preserve">C-0190</t>
  </si>
  <si>
    <t xml:space="preserve">Thu 06 Aug 2026 11:44</t>
  </si>
  <si>
    <t xml:space="preserve">age reduction schedule unknown</t>
  </si>
  <si>
    <t xml:space="preserve">C-0191</t>
  </si>
  <si>
    <t xml:space="preserve">Fri 07 Aug 2026 10:15</t>
  </si>
  <si>
    <t xml:space="preserve">C-01, C-03</t>
  </si>
  <si>
    <t xml:space="preserve">child needs a dentist</t>
  </si>
  <si>
    <t xml:space="preserve">1 dependent</t>
  </si>
  <si>
    <t xml:space="preserve">C-0192</t>
  </si>
  <si>
    <t xml:space="preserve">Mon 10 Aug 2026 09:38</t>
  </si>
  <si>
    <t xml:space="preserve">specialist claim denied</t>
  </si>
  <si>
    <t xml:space="preserve">C-0193</t>
  </si>
  <si>
    <t xml:space="preserve">Mon 10 Aug 2026 15:07</t>
  </si>
  <si>
    <t xml:space="preserve">visits exhausted</t>
  </si>
  <si>
    <t xml:space="preserve">C-0194</t>
  </si>
  <si>
    <t xml:space="preserve">Tue 11 Aug 2026 10:22</t>
  </si>
  <si>
    <t xml:space="preserve">second pair of glasses</t>
  </si>
  <si>
    <t xml:space="preserve">C-0195</t>
  </si>
  <si>
    <t xml:space="preserve">Tue 11 Aug 2026 14:52</t>
  </si>
  <si>
    <t xml:space="preserve">present|leaver pack omits life conversion|cobra_notice|AGENT|UNVALIDATED</t>
  </si>
  <si>
    <t xml:space="preserve">leaver paperwork</t>
  </si>
  <si>
    <t xml:space="preserve">life conversion window</t>
  </si>
  <si>
    <t xml:space="preserve">6 employees</t>
  </si>
  <si>
    <t xml:space="preserve">C-0196</t>
  </si>
  <si>
    <t xml:space="preserve">Wed 12 Aug 2026 09:52</t>
  </si>
  <si>
    <t xml:space="preserve">C-14, C-16, C-13</t>
  </si>
  <si>
    <t xml:space="preserve">maximum exhausted mid-treatment</t>
  </si>
  <si>
    <t xml:space="preserve">rewards carryover misunderstood, network pricing after maximum</t>
  </si>
  <si>
    <t xml:space="preserve">C-0197</t>
  </si>
  <si>
    <t xml:space="preserve">Wed 12 Aug 2026 15:15</t>
  </si>
  <si>
    <t xml:space="preserve">dependent terminated in error</t>
  </si>
  <si>
    <t xml:space="preserve">appointment refused, date of birth wrong on file</t>
  </si>
  <si>
    <t xml:space="preserve">C-0198</t>
  </si>
  <si>
    <t xml:space="preserve">Thu 13 Aug 2026 10:07</t>
  </si>
  <si>
    <t xml:space="preserve">process_breakdown|HIGH|Operations; network_adequacy|MEDIUM|Product / Network</t>
  </si>
  <si>
    <t xml:space="preserve">no in-network specialist within range</t>
  </si>
  <si>
    <t xml:space="preserve">authorisation pending, treatment booked</t>
  </si>
  <si>
    <t xml:space="preserve">C-0199</t>
  </si>
  <si>
    <t xml:space="preserve">Thu 13 Aug 2026 14:31</t>
  </si>
  <si>
    <t xml:space="preserve">network_adequacy|MEDIUM|Product / Network; retention_risk|CRITICAL|Account Management</t>
  </si>
  <si>
    <t xml:space="preserve">triggered true|retention_risk|requested_by_caller false|handled true</t>
  </si>
  <si>
    <t xml:space="preserve">cancellation|verbatim, turn 10</t>
  </si>
  <si>
    <t xml:space="preserve">chiro unusable after relocation</t>
  </si>
  <si>
    <t xml:space="preserve">exit intent</t>
  </si>
  <si>
    <t xml:space="preserve">C-0200</t>
  </si>
  <si>
    <t xml:space="preserve">Fri 14 Aug 2026 11:22</t>
  </si>
  <si>
    <t xml:space="preserve">frequency limit unclear</t>
  </si>
  <si>
    <t xml:space="preserve">C-0201</t>
  </si>
  <si>
    <t xml:space="preserve">Mon 17 Aug 2026 09:52</t>
  </si>
  <si>
    <t xml:space="preserve">B4</t>
  </si>
  <si>
    <t xml:space="preserve">network_adequacy|MEDIUM|Product / Network; escalation_missed|HIGH|Operations; compliance_disclosure_missing|HIGH|Compliance</t>
  </si>
  <si>
    <t xml:space="preserve">out-of-state staff have no chiro</t>
  </si>
  <si>
    <t xml:space="preserve">seven employees</t>
  </si>
  <si>
    <t xml:space="preserve">C-0202</t>
  </si>
  <si>
    <t xml:space="preserve">Mon 17 Aug 2026 14:31</t>
  </si>
  <si>
    <t xml:space="preserve">C-21, C-24</t>
  </si>
  <si>
    <t xml:space="preserve">what is due this year</t>
  </si>
  <si>
    <t xml:space="preserve">C-0203</t>
  </si>
  <si>
    <t xml:space="preserve">Tue 18 Aug 2026 10:15</t>
  </si>
  <si>
    <t xml:space="preserve">acupuncturist not in directory</t>
  </si>
  <si>
    <t xml:space="preserve">C-0204</t>
  </si>
  <si>
    <t xml:space="preserve">Tue 18 Aug 2026 15:07</t>
  </si>
  <si>
    <t xml:space="preserve">switching practitioner mid-course</t>
  </si>
  <si>
    <t xml:space="preserve">C-0205</t>
  </si>
  <si>
    <t xml:space="preserve">Wed 19 Aug 2026 10:44</t>
  </si>
  <si>
    <t xml:space="preserve">C-07, C-01</t>
  </si>
  <si>
    <t xml:space="preserve">present|members have no route when a practice ignores the copay schedule|denial_letter_eob|AGENT|UNVALIDATED</t>
  </si>
  <si>
    <t xml:space="preserve">C-0181 | 29 Jul | closed resolved, practice did not rebill</t>
  </si>
  <si>
    <t xml:space="preserve">practice refused to rebill</t>
  </si>
  <si>
    <t xml:space="preserve">C-0206</t>
  </si>
  <si>
    <t xml:space="preserve">Wed 19 Aug 2026 14:22</t>
  </si>
  <si>
    <t xml:space="preserve">C-0182 | 30 Jul | closed unresolved</t>
  </si>
  <si>
    <t xml:space="preserve">certificate never received</t>
  </si>
  <si>
    <t xml:space="preserve">C-0207</t>
  </si>
  <si>
    <t xml:space="preserve">Thu 20 Aug 2026 09:31</t>
  </si>
  <si>
    <t xml:space="preserve">copay schedule unavailable</t>
  </si>
  <si>
    <t xml:space="preserve">crown quoted at full price</t>
  </si>
  <si>
    <t xml:space="preserve">C-0208</t>
  </si>
  <si>
    <t xml:space="preserve">Fri 21 Aug 2026 11:07</t>
  </si>
  <si>
    <t xml:space="preserve">naming a trust as beneficiary</t>
  </si>
  <si>
    <t xml:space="preserve">C-0209</t>
  </si>
  <si>
    <t xml:space="preserve">Mon 24 Aug 2026 10:22</t>
  </si>
  <si>
    <t xml:space="preserve">carryover explained</t>
  </si>
  <si>
    <t xml:space="preserve">C-0210</t>
  </si>
  <si>
    <t xml:space="preserve">Mon 24 Aug 2026 15:38</t>
  </si>
  <si>
    <t xml:space="preserve">accelerated death benefit enquiry</t>
  </si>
  <si>
    <t xml:space="preserve">C-0211</t>
  </si>
  <si>
    <t xml:space="preserve">Tue 25 Aug 2026 09:15</t>
  </si>
  <si>
    <t xml:space="preserve">A-09, A-27, A-28</t>
  </si>
  <si>
    <t xml:space="preserve">C-0153 | 07 Jul | closed unresolved</t>
  </si>
  <si>
    <t xml:space="preserve">credits still unidentified</t>
  </si>
  <si>
    <t xml:space="preserve">account unreconcilable</t>
  </si>
  <si>
    <t xml:space="preserve">C-0212</t>
  </si>
  <si>
    <t xml:space="preserve">Tue 25 Aug 2026 14:07</t>
  </si>
  <si>
    <t xml:space="preserve">C-18, C-10, C-17</t>
  </si>
  <si>
    <t xml:space="preserve">planning treatment against the maximum</t>
  </si>
  <si>
    <t xml:space="preserve">x-ray frequency, pretreatment estimate</t>
  </si>
  <si>
    <t xml:space="preserve">C-0213</t>
  </si>
  <si>
    <t xml:space="preserve">Wed 26 Aug 2026 10:52</t>
  </si>
  <si>
    <t xml:space="preserve">orthodontia for a child</t>
  </si>
  <si>
    <t xml:space="preserve">C-0214</t>
  </si>
  <si>
    <t xml:space="preserve">Wed 26 Aug 2026 15:31</t>
  </si>
  <si>
    <t xml:space="preserve">present|members are not told an authorisation is required until after treatment|welcome_pack|AGENT|UNVALIDATED</t>
  </si>
  <si>
    <t xml:space="preserve">C-0192 | 10 Aug | closed unresolved</t>
  </si>
  <si>
    <t xml:space="preserve">specialist claim denied for no authorisation</t>
  </si>
  <si>
    <t xml:space="preserve">reconsideration route</t>
  </si>
  <si>
    <t xml:space="preserve">C-0215</t>
  </si>
  <si>
    <t xml:space="preserve">Thu 27 Aug 2026 09:44</t>
  </si>
  <si>
    <t xml:space="preserve">dependent age-out query</t>
  </si>
  <si>
    <t xml:space="preserve">C-0216</t>
  </si>
  <si>
    <t xml:space="preserve">claim denied, reason unclear</t>
  </si>
  <si>
    <t xml:space="preserve">C-0217</t>
  </si>
  <si>
    <t xml:space="preserve">Fri 28 Aug 2026 10:31</t>
  </si>
  <si>
    <t xml:space="preserve">expansion|verbatim, turn 2</t>
  </si>
  <si>
    <t xml:space="preserve">when vision can be added</t>
  </si>
  <si>
    <t xml:space="preserve">C-0218</t>
  </si>
  <si>
    <t xml:space="preserve">Mon 31 Aug 2026 09:22</t>
  </si>
  <si>
    <t xml:space="preserve">practice cannot verify eligibility</t>
  </si>
  <si>
    <t xml:space="preserve">C-0219</t>
  </si>
  <si>
    <t xml:space="preserve">Mon 31 Aug 2026 14:52</t>
  </si>
  <si>
    <t xml:space="preserve">waiting period on a denture</t>
  </si>
  <si>
    <t xml:space="preserve">C-0220</t>
  </si>
  <si>
    <t xml:space="preserve">Tue 01 Sep 2026 10:07</t>
  </si>
  <si>
    <t xml:space="preserve">P-14, P-18</t>
  </si>
  <si>
    <t xml:space="preserve">participation risk from hiring</t>
  </si>
  <si>
    <t xml:space="preserve">waiting period change</t>
  </si>
  <si>
    <t xml:space="preserve">C-0221</t>
  </si>
  <si>
    <t xml:space="preserve">Tue 01 Sep 2026 15:22</t>
  </si>
  <si>
    <t xml:space="preserve">COBRA billing on the invoice</t>
  </si>
  <si>
    <t xml:space="preserve">C-0222</t>
  </si>
  <si>
    <t xml:space="preserve">Wed 02 Sep 2026 09:38</t>
  </si>
  <si>
    <t xml:space="preserve">equipment charge unexplained</t>
  </si>
  <si>
    <t xml:space="preserve">C-0223</t>
  </si>
  <si>
    <t xml:space="preserve">Wed 02 Sep 2026 14:44</t>
  </si>
  <si>
    <t xml:space="preserve">C-28, C-29, A-23</t>
  </si>
  <si>
    <t xml:space="preserve">present|census-versus-network check should run before a rider is sold|renewal_pack|AGENT|UNVALIDATED</t>
  </si>
  <si>
    <t xml:space="preserve">chiro unusable for out-of-state staff</t>
  </si>
  <si>
    <t xml:space="preserve">can the line be dropped</t>
  </si>
  <si>
    <t xml:space="preserve">C-0224</t>
  </si>
  <si>
    <t xml:space="preserve">Thu 03 Sep 2026 10:22</t>
  </si>
  <si>
    <t xml:space="preserve">A-44, C-34, A-33</t>
  </si>
  <si>
    <t xml:space="preserve">conversion window missed for a leaver</t>
  </si>
  <si>
    <t xml:space="preserve">leaver pack incomplete</t>
  </si>
  <si>
    <t xml:space="preserve">C-0225</t>
  </si>
  <si>
    <t xml:space="preserve">Fri 04 Sep 2026 11:15</t>
  </si>
  <si>
    <t xml:space="preserve">beneficiary change after bereavement</t>
  </si>
  <si>
    <t xml:space="preserve">policy documents missing</t>
  </si>
  <si>
    <t xml:space="preserve">C-0226</t>
  </si>
  <si>
    <t xml:space="preserve">Mon 07 Sep 2026 09:38</t>
  </si>
  <si>
    <t xml:space="preserve">C-01, C-09</t>
  </si>
  <si>
    <t xml:space="preserve">travelling out of state</t>
  </si>
  <si>
    <t xml:space="preserve">C-0227</t>
  </si>
  <si>
    <t xml:space="preserve">Mon 07 Sep 2026 14:52</t>
  </si>
  <si>
    <t xml:space="preserve">rehire waiting period</t>
  </si>
  <si>
    <t xml:space="preserve">C-0228</t>
  </si>
  <si>
    <t xml:space="preserve">present|P-22|employees who waive dental must still be enrolled in life</t>
  </si>
  <si>
    <t xml:space="preserve">life enrolment scope</t>
  </si>
  <si>
    <t xml:space="preserve">C-0229</t>
  </si>
  <si>
    <t xml:space="preserve">Tue 08 Sep 2026 15:31</t>
  </si>
  <si>
    <t xml:space="preserve">C-36, C-37</t>
  </si>
  <si>
    <t xml:space="preserve">benefit reducing at 65</t>
  </si>
  <si>
    <t xml:space="preserve">beneficiary out of date, no certificate issued</t>
  </si>
  <si>
    <t xml:space="preserve">C-0230</t>
  </si>
  <si>
    <t xml:space="preserve">Wed 09 Sep 2026 09:22</t>
  </si>
  <si>
    <t xml:space="preserve">pre-tax premiums</t>
  </si>
  <si>
    <t xml:space="preserve">C-0231</t>
  </si>
  <si>
    <t xml:space="preserve">Wed 09 Sep 2026 14:44</t>
  </si>
  <si>
    <t xml:space="preserve">specialist distance</t>
  </si>
  <si>
    <t xml:space="preserve">C-0232</t>
  </si>
  <si>
    <t xml:space="preserve">Thu 10 Sep 2026 10:07</t>
  </si>
  <si>
    <t xml:space="preserve">C-24, C-25</t>
  </si>
  <si>
    <t xml:space="preserve">contacts claim denied</t>
  </si>
  <si>
    <t xml:space="preserve">glasses taken earlier in the period, medical exam misrouted</t>
  </si>
  <si>
    <t xml:space="preserve">C-0233</t>
  </si>
  <si>
    <t xml:space="preserve">Mon 14 Sep 2026 09:52</t>
  </si>
  <si>
    <t xml:space="preserve">present|no conversion prompt exists at the point of termination|cobra_notice|AGENT|UNVALIDATED</t>
  </si>
  <si>
    <t xml:space="preserve">building a leaver checklist</t>
  </si>
  <si>
    <t xml:space="preserve">C-0234</t>
  </si>
  <si>
    <t xml:space="preserve">Mon 14 Sep 2026 15:15</t>
  </si>
  <si>
    <t xml:space="preserve">C-0235</t>
  </si>
  <si>
    <t xml:space="preserve">Tue 15 Sep 2026 10:31</t>
  </si>
  <si>
    <t xml:space="preserve">A-07, A-09, A-08</t>
  </si>
  <si>
    <t xml:space="preserve">present|A-07|a termination filed before the last day worked cannot be processed</t>
  </si>
  <si>
    <t xml:space="preserve">C-0170 | 21 Jul | closed unresolved</t>
  </si>
  <si>
    <t xml:space="preserve">terminations failing silently</t>
  </si>
  <si>
    <t xml:space="preserve">credits outstanding, Cal-COBRA notification timing</t>
  </si>
  <si>
    <t xml:space="preserve">three employees</t>
  </si>
  <si>
    <t xml:space="preserve">C-0236</t>
  </si>
  <si>
    <t xml:space="preserve">Tue 15 Sep 2026 15:07</t>
  </si>
  <si>
    <t xml:space="preserve">part-time eligibility for life</t>
  </si>
  <si>
    <t xml:space="preserve">C-0237</t>
  </si>
  <si>
    <t xml:space="preserve">Wed 16 Sep 2026 10:44</t>
  </si>
  <si>
    <t xml:space="preserve">present|C-12|takeover credit waives the major-service wait for members with comparable prior coverage</t>
  </si>
  <si>
    <t xml:space="preserve">waiting period disputed</t>
  </si>
  <si>
    <t xml:space="preserve">prior coverage not considered</t>
  </si>
  <si>
    <t xml:space="preserve">C-0238</t>
  </si>
  <si>
    <t xml:space="preserve">Wed 16 Sep 2026 15:22</t>
  </si>
  <si>
    <t xml:space="preserve">waiver liability</t>
  </si>
  <si>
    <t xml:space="preserve">C-0239</t>
  </si>
  <si>
    <t xml:space="preserve">Thu 17 Sep 2026 09:38</t>
  </si>
  <si>
    <t xml:space="preserve">maximum used faster than expected</t>
  </si>
  <si>
    <t xml:space="preserve">C-0240</t>
  </si>
  <si>
    <t xml:space="preserve">Thu 17 Sep 2026 14:15</t>
  </si>
  <si>
    <t xml:space="preserve">C-22, C-23, C-26</t>
  </si>
  <si>
    <t xml:space="preserve">budgeting for glasses</t>
  </si>
  <si>
    <t xml:space="preserve">second pair discount</t>
  </si>
  <si>
    <t xml:space="preserve">C-0241</t>
  </si>
  <si>
    <t xml:space="preserve">Fri 18 Sep 2026 10:52</t>
  </si>
  <si>
    <t xml:space="preserve">accelerated benefit eligibility</t>
  </si>
  <si>
    <t xml:space="preserve">C-0242</t>
  </si>
  <si>
    <t xml:space="preserve">no card received</t>
  </si>
  <si>
    <t xml:space="preserve">C-0243</t>
  </si>
  <si>
    <t xml:space="preserve">Mon 21 Sep 2026 14:44</t>
  </si>
  <si>
    <t xml:space="preserve">C-30, C-31, C-33</t>
  </si>
  <si>
    <t xml:space="preserve">switching from chiro to acupuncture</t>
  </si>
  <si>
    <t xml:space="preserve">C-0244</t>
  </si>
  <si>
    <t xml:space="preserve">Tue 22 Sep 2026 10:07</t>
  </si>
  <si>
    <t xml:space="preserve">C-28, C-30</t>
  </si>
  <si>
    <t xml:space="preserve">using chiro while travelling</t>
  </si>
  <si>
    <t xml:space="preserve">C-0245</t>
  </si>
  <si>
    <t xml:space="preserve">Tue 22 Sep 2026 15:31</t>
  </si>
  <si>
    <t xml:space="preserve">A-09, A-45</t>
  </si>
  <si>
    <t xml:space="preserve">C-0235 | 15 Sep | resolved, reconciliation raised</t>
  </si>
  <si>
    <t xml:space="preserve">reading the credit on the statement</t>
  </si>
  <si>
    <t xml:space="preserve">C-0246</t>
  </si>
  <si>
    <t xml:space="preserve">Wed 23 Sep 2026 09:52</t>
  </si>
  <si>
    <t xml:space="preserve">A-32, P-30</t>
  </si>
  <si>
    <t xml:space="preserve">C-0220 | 01 Sep | closed partially resolved</t>
  </si>
  <si>
    <t xml:space="preserve">non-enrolled list not received</t>
  </si>
  <si>
    <t xml:space="preserve">C-0247</t>
  </si>
  <si>
    <t xml:space="preserve">Wed 23 Sep 2026 15:22</t>
  </si>
  <si>
    <t xml:space="preserve">when is my exam due</t>
  </si>
  <si>
    <t xml:space="preserve">C-0248</t>
  </si>
  <si>
    <t xml:space="preserve">Thu 24 Sep 2026 10:31</t>
  </si>
  <si>
    <t xml:space="preserve">C-10, C-12</t>
  </si>
  <si>
    <t xml:space="preserve">two denials on one letter</t>
  </si>
  <si>
    <t xml:space="preserve">frequency limit, major-service wait</t>
  </si>
  <si>
    <t xml:space="preserve">C-0249</t>
  </si>
  <si>
    <t xml:space="preserve">Thu 24 Sep 2026 14:52</t>
  </si>
  <si>
    <t xml:space="preserve">visits refused without warning</t>
  </si>
  <si>
    <t xml:space="preserve">C-0250</t>
  </si>
  <si>
    <t xml:space="preserve">Fri 25 Sep 2026 11:15</t>
  </si>
  <si>
    <t xml:space="preserve">C-21, C-24, C-26</t>
  </si>
  <si>
    <t xml:space="preserve">planning the year's vision spend</t>
  </si>
  <si>
    <t xml:space="preserve">C-0251</t>
  </si>
  <si>
    <t xml:space="preserve">Mon 06 Jul 2026 14:46</t>
  </si>
  <si>
    <t xml:space="preserve">B5</t>
  </si>
  <si>
    <t xml:space="preserve">checking eligibility before an exam</t>
  </si>
  <si>
    <t xml:space="preserve">C-0252</t>
  </si>
  <si>
    <t xml:space="preserve">Tue 07 Jul 2026 10:26</t>
  </si>
  <si>
    <t xml:space="preserve">C-0253</t>
  </si>
  <si>
    <t xml:space="preserve">Wed 08 Jul 2026 10:33</t>
  </si>
  <si>
    <t xml:space="preserve">exam due date</t>
  </si>
  <si>
    <t xml:space="preserve">C-0254</t>
  </si>
  <si>
    <t xml:space="preserve">Thu 09 Jul 2026 09:33</t>
  </si>
  <si>
    <t xml:space="preserve">C-01, P-09</t>
  </si>
  <si>
    <t xml:space="preserve">present|C-01|the DHMO requires an assigned dentist and does not travel outside California</t>
  </si>
  <si>
    <t xml:space="preserve">DHMO sold as a free-choice plan</t>
  </si>
  <si>
    <t xml:space="preserve">staff turned away by own dentists</t>
  </si>
  <si>
    <t xml:space="preserve">C-0255</t>
  </si>
  <si>
    <t xml:space="preserve">Mon 13 Jul 2026 13:26</t>
  </si>
  <si>
    <t xml:space="preserve">claim reimbursement amount</t>
  </si>
  <si>
    <t xml:space="preserve">C-0256</t>
  </si>
  <si>
    <t xml:space="preserve">Tue 14 Jul 2026 08:17</t>
  </si>
  <si>
    <t xml:space="preserve">C-01, A-20</t>
  </si>
  <si>
    <t xml:space="preserve">explaining DHMO vs PPO to new starters</t>
  </si>
  <si>
    <t xml:space="preserve">C-0257</t>
  </si>
  <si>
    <t xml:space="preserve">Wed 15 Jul 2026 11:53</t>
  </si>
  <si>
    <t xml:space="preserve">A-27, P-33</t>
  </si>
  <si>
    <t xml:space="preserve">escalation_missed|HIGH|Operations; billing_defect|HIGH|Operations / Finance</t>
  </si>
  <si>
    <t xml:space="preserve">admin fee billed twice</t>
  </si>
  <si>
    <t xml:space="preserve">C-0258</t>
  </si>
  <si>
    <t xml:space="preserve">Thu 16 Jul 2026 10:26</t>
  </si>
  <si>
    <t xml:space="preserve">remaining visits</t>
  </si>
  <si>
    <t xml:space="preserve">C-0259</t>
  </si>
  <si>
    <t xml:space="preserve">Mon 20 Jul 2026 15:33</t>
  </si>
  <si>
    <t xml:space="preserve">remaining annual maximum</t>
  </si>
  <si>
    <t xml:space="preserve">C-0260</t>
  </si>
  <si>
    <t xml:space="preserve">Tue 21 Jul 2026 09:33</t>
  </si>
  <si>
    <t xml:space="preserve">who is my beneficiary</t>
  </si>
  <si>
    <t xml:space="preserve">C-0261</t>
  </si>
  <si>
    <t xml:space="preserve">Wed 22 Jul 2026 09:04</t>
  </si>
  <si>
    <t xml:space="preserve">told coverage lapsed at the dentist</t>
  </si>
  <si>
    <t xml:space="preserve">C-0262</t>
  </si>
  <si>
    <t xml:space="preserve">Thu 23 Jul 2026 09:26</t>
  </si>
  <si>
    <t xml:space="preserve">third cleaning refused</t>
  </si>
  <si>
    <t xml:space="preserve">C-0263</t>
  </si>
  <si>
    <t xml:space="preserve">Mon 27 Jul 2026 13:33</t>
  </si>
  <si>
    <t xml:space="preserve">specialist bill after referral</t>
  </si>
  <si>
    <t xml:space="preserve">C-0264</t>
  </si>
  <si>
    <t xml:space="preserve">Tue 28 Jul 2026 13:46</t>
  </si>
  <si>
    <t xml:space="preserve">network_adequacy|MEDIUM|Product / Network; compliance_disclosure_missing|HIGH|Compliance</t>
  </si>
  <si>
    <t xml:space="preserve">no chiropractor out of state</t>
  </si>
  <si>
    <t xml:space="preserve">C-0265</t>
  </si>
  <si>
    <t xml:space="preserve">Wed 29 Jul 2026 13:04</t>
  </si>
  <si>
    <t xml:space="preserve">A-31, A-28</t>
  </si>
  <si>
    <t xml:space="preserve">present|employers keep asking for electronic payment|invoice_statement|CALLER|UNVALIDATED</t>
  </si>
  <si>
    <t xml:space="preserve">paying by ACH</t>
  </si>
  <si>
    <t xml:space="preserve">posting delay</t>
  </si>
  <si>
    <t xml:space="preserve">C-0266</t>
  </si>
  <si>
    <t xml:space="preserve">Thu 30 Jul 2026 14:26</t>
  </si>
  <si>
    <t xml:space="preserve">A-20, C-01</t>
  </si>
  <si>
    <t xml:space="preserve">employee wants to switch plans mid-year</t>
  </si>
  <si>
    <t xml:space="preserve">C-0267</t>
  </si>
  <si>
    <t xml:space="preserve">Mon 03 Aug 2026 08:33</t>
  </si>
  <si>
    <t xml:space="preserve">life enrolment form deadline</t>
  </si>
  <si>
    <t xml:space="preserve">C-0268</t>
  </si>
  <si>
    <t xml:space="preserve">Tue 04 Aug 2026 10:26</t>
  </si>
  <si>
    <t xml:space="preserve">claims held in group grace period</t>
  </si>
  <si>
    <t xml:space="preserve">C-0269</t>
  </si>
  <si>
    <t xml:space="preserve">Wed 05 Aug 2026 15:53</t>
  </si>
  <si>
    <t xml:space="preserve">life benefit amount</t>
  </si>
  <si>
    <t xml:space="preserve">C-0270</t>
  </si>
  <si>
    <t xml:space="preserve">Thu 06 Aug 2026 10:04</t>
  </si>
  <si>
    <t xml:space="preserve">present|C-18|on the MetLife design preventive does not count against the maximum</t>
  </si>
  <si>
    <t xml:space="preserve">preventive vs maximum</t>
  </si>
  <si>
    <t xml:space="preserve">C-0271</t>
  </si>
  <si>
    <t xml:space="preserve">Mon 10 Aug 2026 10:53</t>
  </si>
  <si>
    <t xml:space="preserve">adding a stepchild</t>
  </si>
  <si>
    <t xml:space="preserve">C-0272</t>
  </si>
  <si>
    <t xml:space="preserve">Tue 11 Aug 2026 10:17</t>
  </si>
  <si>
    <t xml:space="preserve">claim pending twelve weeks</t>
  </si>
  <si>
    <t xml:space="preserve">C-0273</t>
  </si>
  <si>
    <t xml:space="preserve">Wed 12 Aug 2026 14:46</t>
  </si>
  <si>
    <t xml:space="preserve">glasses and contacts both expected</t>
  </si>
  <si>
    <t xml:space="preserve">C-0274</t>
  </si>
  <si>
    <t xml:space="preserve">Thu 13 Aug 2026 09:53</t>
  </si>
  <si>
    <t xml:space="preserve">P-21, A-25</t>
  </si>
  <si>
    <t xml:space="preserve">employee refuses to sign life form</t>
  </si>
  <si>
    <t xml:space="preserve">C-0275</t>
  </si>
  <si>
    <t xml:space="preserve">Mon 17 Aug 2026 16:04</t>
  </si>
  <si>
    <t xml:space="preserve">A-28, C-18</t>
  </si>
  <si>
    <t xml:space="preserve">claim held without explanation</t>
  </si>
  <si>
    <t xml:space="preserve">broker said plan was fully paid</t>
  </si>
  <si>
    <t xml:space="preserve">C-0276</t>
  </si>
  <si>
    <t xml:space="preserve">Tue 18 Aug 2026 11:46</t>
  </si>
  <si>
    <t xml:space="preserve">present|members are told nothing when their group enters a grace period|agent_conversation|AGENT|UNVALIDATED</t>
  </si>
  <si>
    <t xml:space="preserve">claims held across a group</t>
  </si>
  <si>
    <t xml:space="preserve">members uninformed, treatment deferred</t>
  </si>
  <si>
    <t xml:space="preserve">several employees</t>
  </si>
  <si>
    <t xml:space="preserve">C-0277</t>
  </si>
  <si>
    <t xml:space="preserve">Wed 19 Aug 2026 13:17</t>
  </si>
  <si>
    <t xml:space="preserve">A-02, A-10</t>
  </si>
  <si>
    <t xml:space="preserve">present|portal should report rejected submissions|employer_portal|AGENT|UNVALIDATED</t>
  </si>
  <si>
    <t xml:space="preserve">submissions accepted and never applied</t>
  </si>
  <si>
    <t xml:space="preserve">C-0278</t>
  </si>
  <si>
    <t xml:space="preserve">Thu 20 Aug 2026 15:26</t>
  </si>
  <si>
    <t xml:space="preserve">assigned dentist</t>
  </si>
  <si>
    <t xml:space="preserve">C-0279</t>
  </si>
  <si>
    <t xml:space="preserve">Mon 24 Aug 2026 14:46</t>
  </si>
  <si>
    <t xml:space="preserve">coordination of benefits</t>
  </si>
  <si>
    <t xml:space="preserve">C-0280</t>
  </si>
  <si>
    <t xml:space="preserve">Tue 25 Aug 2026 11:04</t>
  </si>
  <si>
    <t xml:space="preserve">escalation_missed|HIGH|Operations; network_adequacy|MEDIUM|Product / Network</t>
  </si>
  <si>
    <t xml:space="preserve">out-of-state chiropractic</t>
  </si>
  <si>
    <t xml:space="preserve">C-0281</t>
  </si>
  <si>
    <t xml:space="preserve">Wed 26 Aug 2026 10:33</t>
  </si>
  <si>
    <t xml:space="preserve">waiting period on major work</t>
  </si>
  <si>
    <t xml:space="preserve">C-0282</t>
  </si>
  <si>
    <t xml:space="preserve">Thu 27 Aug 2026 08:17</t>
  </si>
  <si>
    <t xml:space="preserve">copay on a filling</t>
  </si>
  <si>
    <t xml:space="preserve">C-0283</t>
  </si>
  <si>
    <t xml:space="preserve">Mon 31 Aug 2026 16:17</t>
  </si>
  <si>
    <t xml:space="preserve">maximum reduced by cleanings</t>
  </si>
  <si>
    <t xml:space="preserve">C-0284</t>
  </si>
  <si>
    <t xml:space="preserve">Tue 01 Sep 2026 10:26</t>
  </si>
  <si>
    <t xml:space="preserve">visit count disputed</t>
  </si>
  <si>
    <t xml:space="preserve">C-0285</t>
  </si>
  <si>
    <t xml:space="preserve">Wed 02 Sep 2026 15:46</t>
  </si>
  <si>
    <t xml:space="preserve">implant coverage</t>
  </si>
  <si>
    <t xml:space="preserve">C-0286</t>
  </si>
  <si>
    <t xml:space="preserve">Thu 03 Sep 2026 10:17</t>
  </si>
  <si>
    <t xml:space="preserve">present|C-28|Landmark insured plans are California only</t>
  </si>
  <si>
    <t xml:space="preserve">broker claims nationwide chiro</t>
  </si>
  <si>
    <t xml:space="preserve">Reno staff uncovered</t>
  </si>
  <si>
    <t xml:space="preserve">C-0287</t>
  </si>
  <si>
    <t xml:space="preserve">Tue 08 Sep 2026 10:53</t>
  </si>
  <si>
    <t xml:space="preserve">escalation_missed|HIGH|Operations; compliance_disclosure_missing|HIGH|Compliance; knowledge_error|MEDIUM|Knowledge Management</t>
  </si>
  <si>
    <t xml:space="preserve">C-0288</t>
  </si>
  <si>
    <t xml:space="preserve">Wed 09 Sep 2026 16:46</t>
  </si>
  <si>
    <t xml:space="preserve">exam billed medically</t>
  </si>
  <si>
    <t xml:space="preserve">C-0289</t>
  </si>
  <si>
    <t xml:space="preserve">Thu 10 Sep 2026 11:33</t>
  </si>
  <si>
    <t xml:space="preserve">newborn not on plan</t>
  </si>
  <si>
    <t xml:space="preserve">C-0290</t>
  </si>
  <si>
    <t xml:space="preserve">Mon 14 Sep 2026 10:17</t>
  </si>
  <si>
    <t xml:space="preserve">explaining allowances to staff</t>
  </si>
  <si>
    <t xml:space="preserve">C-0291</t>
  </si>
  <si>
    <t xml:space="preserve">Tue 15 Sep 2026 16:04</t>
  </si>
  <si>
    <t xml:space="preserve">participation threshold</t>
  </si>
  <si>
    <t xml:space="preserve">C-0292</t>
  </si>
  <si>
    <t xml:space="preserve">Wed 16 Sep 2026 10:53</t>
  </si>
  <si>
    <t xml:space="preserve">buying glasses online</t>
  </si>
  <si>
    <t xml:space="preserve">C-0293</t>
  </si>
  <si>
    <t xml:space="preserve">Thu 17 Sep 2026 16:26</t>
  </si>
  <si>
    <t xml:space="preserve">present|agents are misstating the MetLife preventive rule to Meridian members|agent_conversation|AGENT|UNVALIDATED</t>
  </si>
  <si>
    <t xml:space="preserve">conflicting answers about preventive and the maximum</t>
  </si>
  <si>
    <t xml:space="preserve">staff told three different things</t>
  </si>
  <si>
    <t xml:space="preserve">C-0294</t>
  </si>
  <si>
    <t xml:space="preserve">Fri 18 Sep 2026 09:17</t>
  </si>
  <si>
    <t xml:space="preserve">claims still held</t>
  </si>
  <si>
    <t xml:space="preserve">C-0295</t>
  </si>
  <si>
    <t xml:space="preserve">Mon 21 Sep 2026 10:04</t>
  </si>
  <si>
    <t xml:space="preserve">contacts eligibility</t>
  </si>
  <si>
    <t xml:space="preserve">C-0296</t>
  </si>
  <si>
    <t xml:space="preserve">Mon 21 Sep 2026 13:46</t>
  </si>
  <si>
    <t xml:space="preserve">held claim after grace period</t>
  </si>
  <si>
    <t xml:space="preserve">C-0297</t>
  </si>
  <si>
    <t xml:space="preserve">Tue 22 Sep 2026 10:53</t>
  </si>
  <si>
    <t xml:space="preserve">invoice layout query</t>
  </si>
  <si>
    <t xml:space="preserve">C-0298</t>
  </si>
  <si>
    <t xml:space="preserve">Wed 23 Sep 2026 16:26</t>
  </si>
  <si>
    <t xml:space="preserve">C-0207 | 20 Aug | closed partially resolved</t>
  </si>
  <si>
    <t xml:space="preserve">referral lost after dentist change</t>
  </si>
  <si>
    <t xml:space="preserve">C-0299</t>
  </si>
  <si>
    <t xml:space="preserve">Thu 24 Sep 2026 10:46</t>
  </si>
  <si>
    <t xml:space="preserve">glasses and contacts</t>
  </si>
  <si>
    <t xml:space="preserve">C-0300</t>
  </si>
  <si>
    <t xml:space="preserve">Fri 25 Sep 2026 09:33</t>
  </si>
  <si>
    <t xml:space="preserve">retiring — keeping life cover</t>
  </si>
  <si>
    <t xml:space="preserve">C-0301</t>
  </si>
  <si>
    <t xml:space="preserve">Mon 06 Jul 2026 10:27</t>
  </si>
  <si>
    <t xml:space="preserve">B6</t>
  </si>
  <si>
    <t xml:space="preserve">exam eligibility</t>
  </si>
  <si>
    <t xml:space="preserve">C-0302</t>
  </si>
  <si>
    <t xml:space="preserve">Wed 08 Jul 2026 11:02</t>
  </si>
  <si>
    <t xml:space="preserve">P-28, C-19</t>
  </si>
  <si>
    <t xml:space="preserve">present|C-19|orthodontia has its own lifetime maximum and does not draw on the annual maximum</t>
  </si>
  <si>
    <t xml:space="preserve">orthodontia and the annual maximum</t>
  </si>
  <si>
    <t xml:space="preserve">C-0303</t>
  </si>
  <si>
    <t xml:space="preserve">Mon 13 Jul 2026 11:36</t>
  </si>
  <si>
    <t xml:space="preserve">market_test|verbatim, turn 4</t>
  </si>
  <si>
    <t xml:space="preserve">cost at renewal</t>
  </si>
  <si>
    <t xml:space="preserve">contribution change timing</t>
  </si>
  <si>
    <t xml:space="preserve">C-0304</t>
  </si>
  <si>
    <t xml:space="preserve">Tue 14 Jul 2026 08:27</t>
  </si>
  <si>
    <t xml:space="preserve">A-23, P-21</t>
  </si>
  <si>
    <t xml:space="preserve">revenue_opportunity|LOW|Account Management</t>
  </si>
  <si>
    <t xml:space="preserve">adding life cover</t>
  </si>
  <si>
    <t xml:space="preserve">C-0305</t>
  </si>
  <si>
    <t xml:space="preserve">Wed 15 Jul 2026 10:02</t>
  </si>
  <si>
    <t xml:space="preserve">adding life at renewal</t>
  </si>
  <si>
    <t xml:space="preserve">C-0306</t>
  </si>
  <si>
    <t xml:space="preserve">Thu 16 Jul 2026 09:48</t>
  </si>
  <si>
    <t xml:space="preserve">out-of-network reimbursement pending</t>
  </si>
  <si>
    <t xml:space="preserve">C-0307</t>
  </si>
  <si>
    <t xml:space="preserve">Mon 20 Jul 2026 16:48</t>
  </si>
  <si>
    <t xml:space="preserve">C-15, C-12</t>
  </si>
  <si>
    <t xml:space="preserve">crown coverage</t>
  </si>
  <si>
    <t xml:space="preserve">C-0308</t>
  </si>
  <si>
    <t xml:space="preserve">Tue 21 Jul 2026 13:02</t>
  </si>
  <si>
    <t xml:space="preserve">referral for chiropractic</t>
  </si>
  <si>
    <t xml:space="preserve">C-0309</t>
  </si>
  <si>
    <t xml:space="preserve">Thu 23 Jul 2026 13:48</t>
  </si>
  <si>
    <t xml:space="preserve">retention_risk|CRITICAL|Account Management; member_communication_gap|MEDIUM|Member Communications</t>
  </si>
  <si>
    <t xml:space="preserve">market_test|verbatim, turn 5</t>
  </si>
  <si>
    <t xml:space="preserve">staff unhappy with the DHMO</t>
  </si>
  <si>
    <t xml:space="preserve">C-0310</t>
  </si>
  <si>
    <t xml:space="preserve">Mon 27 Jul 2026 14:27</t>
  </si>
  <si>
    <t xml:space="preserve">C-0304 | 14 Jul | resolved</t>
  </si>
  <si>
    <t xml:space="preserve">life cover for staff who waived dental</t>
  </si>
  <si>
    <t xml:space="preserve">C-0311</t>
  </si>
  <si>
    <t xml:space="preserve">Tue 28 Jul 2026 09:48</t>
  </si>
  <si>
    <t xml:space="preserve">contacts vs glasses</t>
  </si>
  <si>
    <t xml:space="preserve">C-0312</t>
  </si>
  <si>
    <t xml:space="preserve">Wed 29 Jul 2026 10:55</t>
  </si>
  <si>
    <t xml:space="preserve">changing assigned dentist</t>
  </si>
  <si>
    <t xml:space="preserve">C-0313</t>
  </si>
  <si>
    <t xml:space="preserve">Wed 29 Jul 2026 14:10</t>
  </si>
  <si>
    <t xml:space="preserve">C-0257 | 15 Jul | closed unresolved</t>
  </si>
  <si>
    <t xml:space="preserve">duplicate admin fee</t>
  </si>
  <si>
    <t xml:space="preserve">C-0314</t>
  </si>
  <si>
    <t xml:space="preserve">Thu 30 Jul 2026 10:27</t>
  </si>
  <si>
    <t xml:space="preserve">frame allowance</t>
  </si>
  <si>
    <t xml:space="preserve">C-0315</t>
  </si>
  <si>
    <t xml:space="preserve">Mon 03 Aug 2026 14:36</t>
  </si>
  <si>
    <t xml:space="preserve">P-16, A-23</t>
  </si>
  <si>
    <t xml:space="preserve">adding chiropractic</t>
  </si>
  <si>
    <t xml:space="preserve">C-0316</t>
  </si>
  <si>
    <t xml:space="preserve">Tue 04 Aug 2026 14:48</t>
  </si>
  <si>
    <t xml:space="preserve">revenue_opportunity|LOW|Account Management; knowledge_error|MEDIUM|Knowledge Management</t>
  </si>
  <si>
    <t xml:space="preserve">present|P-21|life is employer-sponsored only; there is no voluntary employee-paid version</t>
  </si>
  <si>
    <t xml:space="preserve">adding voluntary life</t>
  </si>
  <si>
    <t xml:space="preserve">C-0317</t>
  </si>
  <si>
    <t xml:space="preserve">Wed 05 Aug 2026 11:40</t>
  </si>
  <si>
    <t xml:space="preserve">C-0261 | 22 Jul | closed unresolved</t>
  </si>
  <si>
    <t xml:space="preserve">cover suspended at dentist</t>
  </si>
  <si>
    <t xml:space="preserve">C-0318</t>
  </si>
  <si>
    <t xml:space="preserve">Wed 05 Aug 2026 16:02</t>
  </si>
  <si>
    <t xml:space="preserve">broker said voluntary</t>
  </si>
  <si>
    <t xml:space="preserve">C-0319</t>
  </si>
  <si>
    <t xml:space="preserve">Thu 06 Aug 2026 16:48</t>
  </si>
  <si>
    <t xml:space="preserve">interim restoration coding</t>
  </si>
  <si>
    <t xml:space="preserve">C-0320</t>
  </si>
  <si>
    <t xml:space="preserve">Mon 10 Aug 2026 08:55</t>
  </si>
  <si>
    <t xml:space="preserve">A-09, A-28</t>
  </si>
  <si>
    <t xml:space="preserve">escalation_missed|HIGH|Operations; retention_risk|CRITICAL|Account Management; billing_defect|HIGH|Operations / Finance</t>
  </si>
  <si>
    <t xml:space="preserve">market_test|verbatim, turn 12</t>
  </si>
  <si>
    <t xml:space="preserve">missing credits and grace notice</t>
  </si>
  <si>
    <t xml:space="preserve">exit intent not routed</t>
  </si>
  <si>
    <t xml:space="preserve">C-0321</t>
  </si>
  <si>
    <t xml:space="preserve">Mon 10 Aug 2026 10:20</t>
  </si>
  <si>
    <t xml:space="preserve">present|members are not told a referral is not an authorisation|agent_conversation|AGENT|UNVALIDATED</t>
  </si>
  <si>
    <t xml:space="preserve">C-0263 | 27 Jul | closed unresolved</t>
  </si>
  <si>
    <t xml:space="preserve">C-0322</t>
  </si>
  <si>
    <t xml:space="preserve">Tue 11 Aug 2026 08:55</t>
  </si>
  <si>
    <t xml:space="preserve">renewal timeline</t>
  </si>
  <si>
    <t xml:space="preserve">C-0323</t>
  </si>
  <si>
    <t xml:space="preserve">Wed 12 Aug 2026 10:48</t>
  </si>
  <si>
    <t xml:space="preserve">out-of-network chiropractic</t>
  </si>
  <si>
    <t xml:space="preserve">C-0324</t>
  </si>
  <si>
    <t xml:space="preserve">Thu 13 Aug 2026 15:36</t>
  </si>
  <si>
    <t xml:space="preserve">both glasses and contacts</t>
  </si>
  <si>
    <t xml:space="preserve">C-0325</t>
  </si>
  <si>
    <t xml:space="preserve">Mon 17 Aug 2026 10:14</t>
  </si>
  <si>
    <t xml:space="preserve">annual maximum</t>
  </si>
  <si>
    <t xml:space="preserve">C-0326</t>
  </si>
  <si>
    <t xml:space="preserve">Tue 18 Aug 2026 11:48</t>
  </si>
  <si>
    <t xml:space="preserve">revenue_opportunity|LOW|Account Management; broker_conduct_adverse|HIGH|Broker Relations</t>
  </si>
  <si>
    <t xml:space="preserve">broker said renewal only</t>
  </si>
  <si>
    <t xml:space="preserve">C-0327</t>
  </si>
  <si>
    <t xml:space="preserve">Wed 19 Aug 2026 14:48</t>
  </si>
  <si>
    <t xml:space="preserve">x-ray cap</t>
  </si>
  <si>
    <t xml:space="preserve">C-0328</t>
  </si>
  <si>
    <t xml:space="preserve">Thu 20 Aug 2026 10:02</t>
  </si>
  <si>
    <t xml:space="preserve">mid-year plan switch</t>
  </si>
  <si>
    <t xml:space="preserve">C-0329</t>
  </si>
  <si>
    <t xml:space="preserve">Mon 24 Aug 2026 09:36</t>
  </si>
  <si>
    <t xml:space="preserve">C-01, P-31</t>
  </si>
  <si>
    <t xml:space="preserve">portal login fails</t>
  </si>
  <si>
    <t xml:space="preserve">no card</t>
  </si>
  <si>
    <t xml:space="preserve">C-0330</t>
  </si>
  <si>
    <t xml:space="preserve">Tue 25 Aug 2026 16:27</t>
  </si>
  <si>
    <t xml:space="preserve">escalation_missed|HIGH|Operations; retention_risk|CRITICAL|Account Management</t>
  </si>
  <si>
    <t xml:space="preserve">market_test|verbatim, turn 3</t>
  </si>
  <si>
    <t xml:space="preserve">frustration with service</t>
  </si>
  <si>
    <t xml:space="preserve">C-0331</t>
  </si>
  <si>
    <t xml:space="preserve">Wed 26 Aug 2026 10:27</t>
  </si>
  <si>
    <t xml:space="preserve">prescription sunglasses</t>
  </si>
  <si>
    <t xml:space="preserve">C-0332</t>
  </si>
  <si>
    <t xml:space="preserve">Thu 27 Aug 2026 09:27</t>
  </si>
  <si>
    <t xml:space="preserve">A-09, A-29</t>
  </si>
  <si>
    <t xml:space="preserve">C-0211 | 25 Aug | escalated</t>
  </si>
  <si>
    <t xml:space="preserve">reconciliation outcome</t>
  </si>
  <si>
    <t xml:space="preserve">held claims released</t>
  </si>
  <si>
    <t xml:space="preserve">C-0333</t>
  </si>
  <si>
    <t xml:space="preserve">Tue 01 Sep 2026 11:27</t>
  </si>
  <si>
    <t xml:space="preserve">present|portal submissions fail silently, repeat occurrence|employer_portal|AGENT|UNVALIDATED</t>
  </si>
  <si>
    <t xml:space="preserve">C-0277 | 19 Aug | resolved</t>
  </si>
  <si>
    <t xml:space="preserve">portal failures again</t>
  </si>
  <si>
    <t xml:space="preserve">C-0334</t>
  </si>
  <si>
    <t xml:space="preserve">Wed 02 Sep 2026 09:35</t>
  </si>
  <si>
    <t xml:space="preserve">C-0275 | 17 Aug | closed unresolved</t>
  </si>
  <si>
    <t xml:space="preserve">held claim status</t>
  </si>
  <si>
    <t xml:space="preserve">C-0335</t>
  </si>
  <si>
    <t xml:space="preserve">Wed 02 Sep 2026 13:55</t>
  </si>
  <si>
    <t xml:space="preserve">P-21, P-22, A-23</t>
  </si>
  <si>
    <t xml:space="preserve">C-0316 | 04 Aug | closed unresolved</t>
  </si>
  <si>
    <t xml:space="preserve">adding life — correcting earlier answer</t>
  </si>
  <si>
    <t xml:space="preserve">C-0336</t>
  </si>
  <si>
    <t xml:space="preserve">Tue 08 Sep 2026 10:02</t>
  </si>
  <si>
    <t xml:space="preserve">present|C-34|conversion must be applied for within 31 days of group cover ending</t>
  </si>
  <si>
    <t xml:space="preserve">life after leaving</t>
  </si>
  <si>
    <t xml:space="preserve">C-0337</t>
  </si>
  <si>
    <t xml:space="preserve">Tue 08 Sep 2026 15:05</t>
  </si>
  <si>
    <t xml:space="preserve">C-0280 | 25 Aug | closed unresolved</t>
  </si>
  <si>
    <t xml:space="preserve">C-0338</t>
  </si>
  <si>
    <t xml:space="preserve">Wed 09 Sep 2026 16:27</t>
  </si>
  <si>
    <t xml:space="preserve">coinsurance on a filling</t>
  </si>
  <si>
    <t xml:space="preserve">C-0339</t>
  </si>
  <si>
    <t xml:space="preserve">Thu 10 Sep 2026 13:14</t>
  </si>
  <si>
    <t xml:space="preserve">cleaning frequency</t>
  </si>
  <si>
    <t xml:space="preserve">C-0340</t>
  </si>
  <si>
    <t xml:space="preserve">Mon 14 Sep 2026 10:50</t>
  </si>
  <si>
    <t xml:space="preserve">C-0283 | 31 Aug | closed unresolved</t>
  </si>
  <si>
    <t xml:space="preserve">preventive and the maximum</t>
  </si>
  <si>
    <t xml:space="preserve">C-0341</t>
  </si>
  <si>
    <t xml:space="preserve">Tue 15 Sep 2026 08:14</t>
  </si>
  <si>
    <t xml:space="preserve">age reduction</t>
  </si>
  <si>
    <t xml:space="preserve">C-0342</t>
  </si>
  <si>
    <t xml:space="preserve">Tue 15 Sep 2026 09:15</t>
  </si>
  <si>
    <t xml:space="preserve">C-0289 | 10 Sep | closed unresolved</t>
  </si>
  <si>
    <t xml:space="preserve">newborn enrolment</t>
  </si>
  <si>
    <t xml:space="preserve">C-0343</t>
  </si>
  <si>
    <t xml:space="preserve">Wed 16 Sep 2026 09:55</t>
  </si>
  <si>
    <t xml:space="preserve">C-0212 | 25 Aug | resolved, reconsideration submitted</t>
  </si>
  <si>
    <t xml:space="preserve">ortho reconsideration outcome</t>
  </si>
  <si>
    <t xml:space="preserve">C-0344</t>
  </si>
  <si>
    <t xml:space="preserve">Thu 17 Sep 2026 15:55</t>
  </si>
  <si>
    <t xml:space="preserve">adding life</t>
  </si>
  <si>
    <t xml:space="preserve">broker unresponsive</t>
  </si>
  <si>
    <t xml:space="preserve">C-0345</t>
  </si>
  <si>
    <t xml:space="preserve">Mon 21 Sep 2026 14:36</t>
  </si>
  <si>
    <t xml:space="preserve">triggered true|retention_risk|requested_by_caller false|handled false</t>
  </si>
  <si>
    <t xml:space="preserve">market_test|verbatim, turn 14</t>
  </si>
  <si>
    <t xml:space="preserve">renewal rate increase</t>
  </si>
  <si>
    <t xml:space="preserve">C-0346</t>
  </si>
  <si>
    <t xml:space="preserve">Tue 22 Sep 2026 13:48</t>
  </si>
  <si>
    <t xml:space="preserve">present|C-36|group life reduces at set ages under a schedule</t>
  </si>
  <si>
    <t xml:space="preserve">benefit amount reduced</t>
  </si>
  <si>
    <t xml:space="preserve">C-0347</t>
  </si>
  <si>
    <t xml:space="preserve">Wed 23 Sep 2026 10:55</t>
  </si>
  <si>
    <t xml:space="preserve">C-0333 | 01 Sep | escalated</t>
  </si>
  <si>
    <t xml:space="preserve">portal fix follow-up</t>
  </si>
  <si>
    <t xml:space="preserve">still market-testing</t>
  </si>
  <si>
    <t xml:space="preserve">C-0348</t>
  </si>
  <si>
    <t xml:space="preserve">Thu 24 Sep 2026 08:55</t>
  </si>
  <si>
    <t xml:space="preserve">revenue_opportunity|LOW|Account Management; knowledge_error|MEDIUM|Knowledge Management; compliance_disclosure_missing|HIGH|Compliance</t>
  </si>
  <si>
    <t xml:space="preserve">present|P-21|life is employer-paid only, with no employee-paid option</t>
  </si>
  <si>
    <t xml:space="preserve">C-0349</t>
  </si>
  <si>
    <t xml:space="preserve">Thu 24 Sep 2026 14:20</t>
  </si>
  <si>
    <t xml:space="preserve">C-0297 | 22 Sep | closed unresolved</t>
  </si>
  <si>
    <t xml:space="preserve">per-employee invoice detail</t>
  </si>
  <si>
    <t xml:space="preserve">C-0350</t>
  </si>
  <si>
    <t xml:space="preserve">Fri 25 Sep 2026 10:30</t>
  </si>
  <si>
    <t xml:space="preserve">present|referrals do not carry over when a member changes assigned dentist|agent_conversation|AGENT|UNVALIDATED</t>
  </si>
  <si>
    <t xml:space="preserve">C-0298 | 23 Sep | closed unresolved</t>
  </si>
  <si>
    <t xml:space="preserve">lost referral, third call</t>
  </si>
  <si>
    <t xml:space="preserve">C-0351</t>
  </si>
  <si>
    <t xml:space="preserve">Tue 07 Jul 2026 10:16</t>
  </si>
  <si>
    <t xml:space="preserve">B7</t>
  </si>
  <si>
    <t xml:space="preserve">naming a new beneficiary</t>
  </si>
  <si>
    <t xml:space="preserve">C-0352</t>
  </si>
  <si>
    <t xml:space="preserve">Wed 08 Jul 2026 13:58</t>
  </si>
  <si>
    <t xml:space="preserve">claim payment</t>
  </si>
  <si>
    <t xml:space="preserve">C-0353</t>
  </si>
  <si>
    <t xml:space="preserve">Thu 09 Jul 2026 14:16</t>
  </si>
  <si>
    <t xml:space="preserve">C-30, C-28</t>
  </si>
  <si>
    <t xml:space="preserve">explaining the chiro benefit to crews</t>
  </si>
  <si>
    <t xml:space="preserve">C-0354</t>
  </si>
  <si>
    <t xml:space="preserve">Fri 10 Jul 2026 16:03</t>
  </si>
  <si>
    <t xml:space="preserve">compliance_disclosure_missing|HIGH|Compliance; knowledge_error|MEDIUM|Knowledge Management</t>
  </si>
  <si>
    <t xml:space="preserve">present|P-28|Anthem orthodontia is only available on employer-sponsored groups of 10+</t>
  </si>
  <si>
    <t xml:space="preserve">orthodontia coverage</t>
  </si>
  <si>
    <t xml:space="preserve">C-0355</t>
  </si>
  <si>
    <t xml:space="preserve">Tue 14 Jul 2026 14:39</t>
  </si>
  <si>
    <t xml:space="preserve">chiro while working out of state</t>
  </si>
  <si>
    <t xml:space="preserve">C-0356</t>
  </si>
  <si>
    <t xml:space="preserve">Wed 15 Jul 2026 10:24</t>
  </si>
  <si>
    <t xml:space="preserve">Section 125 fee</t>
  </si>
  <si>
    <t xml:space="preserve">C-0357</t>
  </si>
  <si>
    <t xml:space="preserve">Thu 16 Jul 2026 08:03</t>
  </si>
  <si>
    <t xml:space="preserve">thin optician network</t>
  </si>
  <si>
    <t xml:space="preserve">C-0358</t>
  </si>
  <si>
    <t xml:space="preserve">Fri 17 Jul 2026 14:39</t>
  </si>
  <si>
    <t xml:space="preserve">cleaning due date</t>
  </si>
  <si>
    <t xml:space="preserve">C-0359</t>
  </si>
  <si>
    <t xml:space="preserve">Tue 21 Jul 2026 13:03</t>
  </si>
  <si>
    <t xml:space="preserve">C-02, C-06</t>
  </si>
  <si>
    <t xml:space="preserve">emergency care away from assigned dentist</t>
  </si>
  <si>
    <t xml:space="preserve">C-0360</t>
  </si>
  <si>
    <t xml:space="preserve">Wed 22 Jul 2026 11:39</t>
  </si>
  <si>
    <t xml:space="preserve">verification_failure|CRITICAL|Compliance; broker_conduct_adverse|HIGH|Broker Relations</t>
  </si>
  <si>
    <t xml:space="preserve">waiting period on a crown</t>
  </si>
  <si>
    <t xml:space="preserve">C-0361</t>
  </si>
  <si>
    <t xml:space="preserve">Thu 23 Jul 2026 08:03</t>
  </si>
  <si>
    <t xml:space="preserve">A-25, P-22</t>
  </si>
  <si>
    <t xml:space="preserve">life form for a new hire</t>
  </si>
  <si>
    <t xml:space="preserve">C-0362</t>
  </si>
  <si>
    <t xml:space="preserve">Fri 24 Jul 2026 08:03</t>
  </si>
  <si>
    <t xml:space="preserve">C-0363</t>
  </si>
  <si>
    <t xml:space="preserve">Tue 28 Jul 2026 08:47</t>
  </si>
  <si>
    <t xml:space="preserve">conversion window</t>
  </si>
  <si>
    <t xml:space="preserve">C-0364</t>
  </si>
  <si>
    <t xml:space="preserve">Wed 29 Jul 2026 15:03</t>
  </si>
  <si>
    <t xml:space="preserve">EyeMed provider closed</t>
  </si>
  <si>
    <t xml:space="preserve">C-0365</t>
  </si>
  <si>
    <t xml:space="preserve">Thu 30 Jul 2026 10:03</t>
  </si>
  <si>
    <t xml:space="preserve">C-15, C-16</t>
  </si>
  <si>
    <t xml:space="preserve">treatment plan exceeds maximum</t>
  </si>
  <si>
    <t xml:space="preserve">C-0366</t>
  </si>
  <si>
    <t xml:space="preserve">Fri 31 Jul 2026 09:03</t>
  </si>
  <si>
    <t xml:space="preserve">claim status</t>
  </si>
  <si>
    <t xml:space="preserve">C-0367</t>
  </si>
  <si>
    <t xml:space="preserve">Tue 04 Aug 2026 10:16</t>
  </si>
  <si>
    <t xml:space="preserve">C-19, P-28</t>
  </si>
  <si>
    <t xml:space="preserve">C-0368</t>
  </si>
  <si>
    <t xml:space="preserve">Wed 05 Aug 2026 16:03</t>
  </si>
  <si>
    <t xml:space="preserve">A-01, P-14</t>
  </si>
  <si>
    <t xml:space="preserve">new hire effective date</t>
  </si>
  <si>
    <t xml:space="preserve">C-0369</t>
  </si>
  <si>
    <t xml:space="preserve">Thu 06 Aug 2026 10:03</t>
  </si>
  <si>
    <t xml:space="preserve">C-0370</t>
  </si>
  <si>
    <t xml:space="preserve">Fri 07 Aug 2026 09:24</t>
  </si>
  <si>
    <t xml:space="preserve">C-0371</t>
  </si>
  <si>
    <t xml:space="preserve">Tue 11 Aug 2026 10:47</t>
  </si>
  <si>
    <t xml:space="preserve">present|C-35|an accelerated death benefit exists on the life policy</t>
  </si>
  <si>
    <t xml:space="preserve">terminal illness benefit</t>
  </si>
  <si>
    <t xml:space="preserve">C-0372</t>
  </si>
  <si>
    <t xml:space="preserve">Wed 12 Aug 2026 15:24</t>
  </si>
  <si>
    <t xml:space="preserve">C-0373</t>
  </si>
  <si>
    <t xml:space="preserve">Thu 13 Aug 2026 08:16</t>
  </si>
  <si>
    <t xml:space="preserve">DHMO explained to drivers</t>
  </si>
  <si>
    <t xml:space="preserve">C-0374</t>
  </si>
  <si>
    <t xml:space="preserve">Fri 14 Aug 2026 10:47</t>
  </si>
  <si>
    <t xml:space="preserve">what's owed on a claim</t>
  </si>
  <si>
    <t xml:space="preserve">C-0375</t>
  </si>
  <si>
    <t xml:space="preserve">Tue 18 Aug 2026 13:16</t>
  </si>
  <si>
    <t xml:space="preserve">invoice headcount wrong</t>
  </si>
  <si>
    <t xml:space="preserve">C-0376</t>
  </si>
  <si>
    <t xml:space="preserve">Wed 19 Aug 2026 14:03</t>
  </si>
  <si>
    <t xml:space="preserve">cost of a bridge</t>
  </si>
  <si>
    <t xml:space="preserve">C-0377</t>
  </si>
  <si>
    <t xml:space="preserve">Thu 20 Aug 2026 09:16</t>
  </si>
  <si>
    <t xml:space="preserve">C-0126 | 27 Jul | partially resolved</t>
  </si>
  <si>
    <t xml:space="preserve">out-of-network claim paid</t>
  </si>
  <si>
    <t xml:space="preserve">C-0378</t>
  </si>
  <si>
    <t xml:space="preserve">Fri 21 Aug 2026 08:16</t>
  </si>
  <si>
    <t xml:space="preserve">x-ray frequency</t>
  </si>
  <si>
    <t xml:space="preserve">C-0379</t>
  </si>
  <si>
    <t xml:space="preserve">Tue 25 Aug 2026 08:03</t>
  </si>
  <si>
    <t xml:space="preserve">C-0380</t>
  </si>
  <si>
    <t xml:space="preserve">Wed 26 Aug 2026 11:16</t>
  </si>
  <si>
    <t xml:space="preserve">no nearby optician</t>
  </si>
  <si>
    <t xml:space="preserve">C-0381</t>
  </si>
  <si>
    <t xml:space="preserve">Thu 27 Aug 2026 14:39</t>
  </si>
  <si>
    <t xml:space="preserve">C-0378 | 21 Aug | resolved</t>
  </si>
  <si>
    <t xml:space="preserve">frequency after dentist change</t>
  </si>
  <si>
    <t xml:space="preserve">C-0382</t>
  </si>
  <si>
    <t xml:space="preserve">Fri 28 Aug 2026 08:47</t>
  </si>
  <si>
    <t xml:space="preserve">exam cost</t>
  </si>
  <si>
    <t xml:space="preserve">C-0383</t>
  </si>
  <si>
    <t xml:space="preserve">Tue 01 Sep 2026 09:03</t>
  </si>
  <si>
    <t xml:space="preserve">A-06, A-07</t>
  </si>
  <si>
    <t xml:space="preserve">seasonal terminations</t>
  </si>
  <si>
    <t xml:space="preserve">twelve employees</t>
  </si>
  <si>
    <t xml:space="preserve">C-0384</t>
  </si>
  <si>
    <t xml:space="preserve">Wed 02 Sep 2026 08:47</t>
  </si>
  <si>
    <t xml:space="preserve">C-0385</t>
  </si>
  <si>
    <t xml:space="preserve">Thu 03 Sep 2026 15:39</t>
  </si>
  <si>
    <t xml:space="preserve">sealants for children</t>
  </si>
  <si>
    <t xml:space="preserve">C-0386</t>
  </si>
  <si>
    <t xml:space="preserve">Fri 04 Sep 2026 13:16</t>
  </si>
  <si>
    <t xml:space="preserve">conversion window nearly closed</t>
  </si>
  <si>
    <t xml:space="preserve">C-0387</t>
  </si>
  <si>
    <t xml:space="preserve">Tue 08 Sep 2026 13:39</t>
  </si>
  <si>
    <t xml:space="preserve">reading an EOB</t>
  </si>
  <si>
    <t xml:space="preserve">C-0388</t>
  </si>
  <si>
    <t xml:space="preserve">Wed 09 Sep 2026 16:58</t>
  </si>
  <si>
    <t xml:space="preserve">compliance_disclosure_missing|HIGH|Compliance; network_adequacy|MEDIUM|Product / Network</t>
  </si>
  <si>
    <t xml:space="preserve">C-0357 | 16 Jul | closed unresolved</t>
  </si>
  <si>
    <t xml:space="preserve">optician network, second call</t>
  </si>
  <si>
    <t xml:space="preserve">C-0389</t>
  </si>
  <si>
    <t xml:space="preserve">Thu 10 Sep 2026 15:58</t>
  </si>
  <si>
    <t xml:space="preserve">A-09, A-07</t>
  </si>
  <si>
    <t xml:space="preserve">leavers still billed</t>
  </si>
  <si>
    <t xml:space="preserve">C-0390</t>
  </si>
  <si>
    <t xml:space="preserve">Tue 15 Sep 2026 09:16</t>
  </si>
  <si>
    <t xml:space="preserve">crown waiting period</t>
  </si>
  <si>
    <t xml:space="preserve">C-0391</t>
  </si>
  <si>
    <t xml:space="preserve">Wed 16 Sep 2026 10:58</t>
  </si>
  <si>
    <t xml:space="preserve">remaining maximum</t>
  </si>
  <si>
    <t xml:space="preserve">C-0392</t>
  </si>
  <si>
    <t xml:space="preserve">Thu 17 Sep 2026 09:16</t>
  </si>
  <si>
    <t xml:space="preserve">C-0389 | 10 Sep | escalated</t>
  </si>
  <si>
    <t xml:space="preserve">C-0393</t>
  </si>
  <si>
    <t xml:space="preserve">Fri 18 Sep 2026 16:47</t>
  </si>
  <si>
    <t xml:space="preserve">beneficiary check</t>
  </si>
  <si>
    <t xml:space="preserve">C-0394</t>
  </si>
  <si>
    <t xml:space="preserve">Tue 22 Sep 2026 15:58</t>
  </si>
  <si>
    <t xml:space="preserve">present|BRK-07|POSITIVE</t>
  </si>
  <si>
    <t xml:space="preserve">in-network claim denied</t>
  </si>
  <si>
    <t xml:space="preserve">C-0395</t>
  </si>
  <si>
    <t xml:space="preserve">Wed 23 Sep 2026 14:39</t>
  </si>
  <si>
    <t xml:space="preserve">bill after maximum</t>
  </si>
  <si>
    <t xml:space="preserve">C-0396</t>
  </si>
  <si>
    <t xml:space="preserve">Thu 24 Sep 2026 11:03</t>
  </si>
  <si>
    <t xml:space="preserve">clinical_or_safety_risk|CRITICAL|Clinical review</t>
  </si>
  <si>
    <t xml:space="preserve">sudden vision loss</t>
  </si>
  <si>
    <t xml:space="preserve">C-0397</t>
  </si>
  <si>
    <t xml:space="preserve">Fri 25 Sep 2026 08:03</t>
  </si>
  <si>
    <t xml:space="preserve">present|A-20|relocating outside the carrier's service area is a permitted mid-year plan change</t>
  </si>
  <si>
    <t xml:space="preserve">mid-year plan change for relocated driver</t>
  </si>
  <si>
    <t xml:space="preserve">C-0398</t>
  </si>
  <si>
    <t xml:space="preserve">Fri 25 Sep 2026 11:25</t>
  </si>
  <si>
    <t xml:space="preserve">C-0399</t>
  </si>
  <si>
    <t xml:space="preserve">Fri 25 Sep 2026 13:05</t>
  </si>
  <si>
    <t xml:space="preserve">benefit reset date</t>
  </si>
  <si>
    <t xml:space="preserve">C-0400</t>
  </si>
  <si>
    <t xml:space="preserve">Fri 25 Sep 2026 13:45</t>
  </si>
  <si>
    <t xml:space="preserve">C-0401</t>
  </si>
  <si>
    <t xml:space="preserve">Tue 07 Jul 2026 15:22</t>
  </si>
  <si>
    <t xml:space="preserve">B8</t>
  </si>
  <si>
    <t xml:space="preserve">C-0402</t>
  </si>
  <si>
    <t xml:space="preserve">Wed 08 Jul 2026 15:13</t>
  </si>
  <si>
    <t xml:space="preserve">bill above EOB</t>
  </si>
  <si>
    <t xml:space="preserve">C-0403</t>
  </si>
  <si>
    <t xml:space="preserve">Thu 09 Jul 2026 15:34</t>
  </si>
  <si>
    <t xml:space="preserve">finding a provider</t>
  </si>
  <si>
    <t xml:space="preserve">C-0404</t>
  </si>
  <si>
    <t xml:space="preserve">Fri 10 Jul 2026 14:57</t>
  </si>
  <si>
    <t xml:space="preserve">C-0405</t>
  </si>
  <si>
    <t xml:space="preserve">Mon 13 Jul 2026 14:46</t>
  </si>
  <si>
    <t xml:space="preserve">contacts after glasses</t>
  </si>
  <si>
    <t xml:space="preserve">C-0406</t>
  </si>
  <si>
    <t xml:space="preserve">Tue 14 Jul 2026 11:57</t>
  </si>
  <si>
    <t xml:space="preserve">coinsurance</t>
  </si>
  <si>
    <t xml:space="preserve">C-0407</t>
  </si>
  <si>
    <t xml:space="preserve">Wed 15 Jul 2026 13:01</t>
  </si>
  <si>
    <t xml:space="preserve">pretreatment estimate status</t>
  </si>
  <si>
    <t xml:space="preserve">C-0408</t>
  </si>
  <si>
    <t xml:space="preserve">Thu 16 Jul 2026 09:22</t>
  </si>
  <si>
    <t xml:space="preserve">exam due</t>
  </si>
  <si>
    <t xml:space="preserve">C-0409</t>
  </si>
  <si>
    <t xml:space="preserve">Fri 17 Jul 2026 16:22</t>
  </si>
  <si>
    <t xml:space="preserve">C-0410</t>
  </si>
  <si>
    <t xml:space="preserve">Mon 20 Jul 2026 10:34</t>
  </si>
  <si>
    <t xml:space="preserve">C-31, C-33</t>
  </si>
  <si>
    <t xml:space="preserve">shared visit maximum</t>
  </si>
  <si>
    <t xml:space="preserve">C-0411</t>
  </si>
  <si>
    <t xml:space="preserve">Tue 21 Jul 2026 09:13</t>
  </si>
  <si>
    <t xml:space="preserve">root canal coverage</t>
  </si>
  <si>
    <t xml:space="preserve">C-0412</t>
  </si>
  <si>
    <t xml:space="preserve">Wed 22 Jul 2026 10:13</t>
  </si>
  <si>
    <t xml:space="preserve">present|beneficiary changes should be possible online|agent_conversation|CALLER|UNVALIDATED</t>
  </si>
  <si>
    <t xml:space="preserve">beneficiary change</t>
  </si>
  <si>
    <t xml:space="preserve">C-0413</t>
  </si>
  <si>
    <t xml:space="preserve">Thu 23 Jul 2026 14:13</t>
  </si>
  <si>
    <t xml:space="preserve">dependent vision</t>
  </si>
  <si>
    <t xml:space="preserve">C-0414</t>
  </si>
  <si>
    <t xml:space="preserve">Fri 24 Jul 2026 11:34</t>
  </si>
  <si>
    <t xml:space="preserve">present|EOB labels the network discount 'not covered'|denial_letter_eob|CALLER|UNVALIDATED</t>
  </si>
  <si>
    <t xml:space="preserve">C-0415</t>
  </si>
  <si>
    <t xml:space="preserve">Tue 28 Jul 2026 13:22</t>
  </si>
  <si>
    <t xml:space="preserve">C-0416</t>
  </si>
  <si>
    <t xml:space="preserve">Wed 29 Jul 2026 13:34</t>
  </si>
  <si>
    <t xml:space="preserve">duplicate claim payment</t>
  </si>
  <si>
    <t xml:space="preserve">C-0417</t>
  </si>
  <si>
    <t xml:space="preserve">Thu 30 Jul 2026 13:57</t>
  </si>
  <si>
    <t xml:space="preserve">P-22, A-25</t>
  </si>
  <si>
    <t xml:space="preserve">present|dental and life enrolment should be one form|enrolment_form|CALLER|UNVALIDATED</t>
  </si>
  <si>
    <t xml:space="preserve">separate enrolment forms</t>
  </si>
  <si>
    <t xml:space="preserve">C-0418</t>
  </si>
  <si>
    <t xml:space="preserve">Fri 31 Jul 2026 09:13</t>
  </si>
  <si>
    <t xml:space="preserve">fluoride coverage</t>
  </si>
  <si>
    <t xml:space="preserve">C-0419</t>
  </si>
  <si>
    <t xml:space="preserve">Tue 04 Aug 2026 10:13</t>
  </si>
  <si>
    <t xml:space="preserve">pretreatment estimate delay</t>
  </si>
  <si>
    <t xml:space="preserve">C-0420</t>
  </si>
  <si>
    <t xml:space="preserve">Wed 05 Aug 2026 13:01</t>
  </si>
  <si>
    <t xml:space="preserve">C-0421</t>
  </si>
  <si>
    <t xml:space="preserve">Thu 06 Aug 2026 08:34</t>
  </si>
  <si>
    <t xml:space="preserve">present|C-22|the allowance is a budget; the member pays the full balance above it unless a network discount applies</t>
  </si>
  <si>
    <t xml:space="preserve">frame cost</t>
  </si>
  <si>
    <t xml:space="preserve">C-0422</t>
  </si>
  <si>
    <t xml:space="preserve">Fri 07 Aug 2026 08:13</t>
  </si>
  <si>
    <t xml:space="preserve">participation check</t>
  </si>
  <si>
    <t xml:space="preserve">C-0423</t>
  </si>
  <si>
    <t xml:space="preserve">Mon 10 Aug 2026 09:22</t>
  </si>
  <si>
    <t xml:space="preserve">benefit amount</t>
  </si>
  <si>
    <t xml:space="preserve">C-0424</t>
  </si>
  <si>
    <t xml:space="preserve">Tue 11 Aug 2026 11:34</t>
  </si>
  <si>
    <t xml:space="preserve">explaining vision to staff</t>
  </si>
  <si>
    <t xml:space="preserve">C-0425</t>
  </si>
  <si>
    <t xml:space="preserve">Thu 13 Aug 2026 14:34</t>
  </si>
  <si>
    <t xml:space="preserve">present|C-18|on the Delta Dental PPO design preventive does not count against the maximum</t>
  </si>
  <si>
    <t xml:space="preserve">C-0426</t>
  </si>
  <si>
    <t xml:space="preserve">Mon 17 Aug 2026 13:46</t>
  </si>
  <si>
    <t xml:space="preserve">present|members should be warned before an age reduction|agent_conversation|AGENT|UNVALIDATED</t>
  </si>
  <si>
    <t xml:space="preserve">age reduction without notice</t>
  </si>
  <si>
    <t xml:space="preserve">C-0427</t>
  </si>
  <si>
    <t xml:space="preserve">Tue 18 Aug 2026 15:57</t>
  </si>
  <si>
    <t xml:space="preserve">present|C-34|conversion must be applied for within 31 days, not 60</t>
  </si>
  <si>
    <t xml:space="preserve">C-0428</t>
  </si>
  <si>
    <t xml:space="preserve">Wed 19 Aug 2026 13:34</t>
  </si>
  <si>
    <t xml:space="preserve">present|C-25|out-of-network vision is reimbursed on a lower fixed schedule</t>
  </si>
  <si>
    <t xml:space="preserve">choice of optician</t>
  </si>
  <si>
    <t xml:space="preserve">C-0429</t>
  </si>
  <si>
    <t xml:space="preserve">Thu 20 Aug 2026 08:34</t>
  </si>
  <si>
    <t xml:space="preserve">claim pending</t>
  </si>
  <si>
    <t xml:space="preserve">C-0430</t>
  </si>
  <si>
    <t xml:space="preserve">Fri 21 Aug 2026 08:57</t>
  </si>
  <si>
    <t xml:space="preserve">night guard</t>
  </si>
  <si>
    <t xml:space="preserve">C-0431</t>
  </si>
  <si>
    <t xml:space="preserve">Tue 25 Aug 2026 10:57</t>
  </si>
  <si>
    <t xml:space="preserve">replacement card</t>
  </si>
  <si>
    <t xml:space="preserve">C-0432</t>
  </si>
  <si>
    <t xml:space="preserve">Wed 26 Aug 2026 15:46</t>
  </si>
  <si>
    <t xml:space="preserve">C-0433</t>
  </si>
  <si>
    <t xml:space="preserve">Thu 27 Aug 2026 08:22</t>
  </si>
  <si>
    <t xml:space="preserve">present|members should be prompted to request a pretreatment estimate before major work|agent_conversation|AGENT|UNVALIDATED</t>
  </si>
  <si>
    <t xml:space="preserve">unexpected crown cost</t>
  </si>
  <si>
    <t xml:space="preserve">C-0434</t>
  </si>
  <si>
    <t xml:space="preserve">Fri 28 Aug 2026 16:01</t>
  </si>
  <si>
    <t xml:space="preserve">exam copay</t>
  </si>
  <si>
    <t xml:space="preserve">C-0435</t>
  </si>
  <si>
    <t xml:space="preserve">Mon 31 Aug 2026 15:57</t>
  </si>
  <si>
    <t xml:space="preserve">estimate vs final cost</t>
  </si>
  <si>
    <t xml:space="preserve">C-0436</t>
  </si>
  <si>
    <t xml:space="preserve">Tue 01 Sep 2026 10:13</t>
  </si>
  <si>
    <t xml:space="preserve">new providers</t>
  </si>
  <si>
    <t xml:space="preserve">C-0437</t>
  </si>
  <si>
    <t xml:space="preserve">Wed 02 Sep 2026 10:57</t>
  </si>
  <si>
    <t xml:space="preserve">lens enhancement</t>
  </si>
  <si>
    <t xml:space="preserve">C-0438</t>
  </si>
  <si>
    <t xml:space="preserve">Thu 03 Sep 2026 16:34</t>
  </si>
  <si>
    <t xml:space="preserve">orthodontia</t>
  </si>
  <si>
    <t xml:space="preserve">C-0439</t>
  </si>
  <si>
    <t xml:space="preserve">Fri 04 Sep 2026 15:46</t>
  </si>
  <si>
    <t xml:space="preserve">assigned dentist retired</t>
  </si>
  <si>
    <t xml:space="preserve">C-0440</t>
  </si>
  <si>
    <t xml:space="preserve">Tue 08 Sep 2026 14:46</t>
  </si>
  <si>
    <t xml:space="preserve">C-0441</t>
  </si>
  <si>
    <t xml:space="preserve">Wed 09 Sep 2026 15:01</t>
  </si>
  <si>
    <t xml:space="preserve">visit count</t>
  </si>
  <si>
    <t xml:space="preserve">C-0442</t>
  </si>
  <si>
    <t xml:space="preserve">Thu 10 Sep 2026 16:22</t>
  </si>
  <si>
    <t xml:space="preserve">visit count dispute</t>
  </si>
  <si>
    <t xml:space="preserve">C-0443</t>
  </si>
  <si>
    <t xml:space="preserve">Mon 14 Sep 2026 16:34</t>
  </si>
  <si>
    <t xml:space="preserve">present|C-21|exams are covered every twelve months</t>
  </si>
  <si>
    <t xml:space="preserve">C-0444</t>
  </si>
  <si>
    <t xml:space="preserve">Tue 15 Sep 2026 09:46</t>
  </si>
  <si>
    <t xml:space="preserve">major-service wait</t>
  </si>
  <si>
    <t xml:space="preserve">C-0445</t>
  </si>
  <si>
    <t xml:space="preserve">Thu 17 Sep 2026 11:46</t>
  </si>
  <si>
    <t xml:space="preserve">leaver life cover</t>
  </si>
  <si>
    <t xml:space="preserve">C-0446</t>
  </si>
  <si>
    <t xml:space="preserve">Fri 18 Sep 2026 10:46</t>
  </si>
  <si>
    <t xml:space="preserve">C-0447</t>
  </si>
  <si>
    <t xml:space="preserve">Mon 21 Sep 2026 08:34</t>
  </si>
  <si>
    <t xml:space="preserve">C-0448</t>
  </si>
  <si>
    <t xml:space="preserve">Tue 22 Sep 2026 08:13</t>
  </si>
  <si>
    <t xml:space="preserve">present|vision allowances should be printed on the member card|id_card_mailer|CALLER|UNVALIDATED</t>
  </si>
  <si>
    <t xml:space="preserve">where to find allowance</t>
  </si>
  <si>
    <t xml:space="preserve">C-0449</t>
  </si>
  <si>
    <t xml:space="preserve">Wed 23 Sep 2026 11:57</t>
  </si>
  <si>
    <t xml:space="preserve">present|C-01|on the DeltaCare DHMO the member must use their assigned dentist</t>
  </si>
  <si>
    <t xml:space="preserve">choice of dentist</t>
  </si>
  <si>
    <t xml:space="preserve">C-0450</t>
  </si>
  <si>
    <t xml:space="preserve">Thu 24 Sep 2026 11:13</t>
  </si>
  <si>
    <t xml:space="preserve">cleaning due</t>
  </si>
  <si>
    <t xml:space="preserve">C-0451</t>
  </si>
  <si>
    <t xml:space="preserve">Mon 06 Jul 2026 09:06</t>
  </si>
  <si>
    <t xml:space="preserve">B9</t>
  </si>
  <si>
    <t xml:space="preserve">uneven beneficiary split</t>
  </si>
  <si>
    <t xml:space="preserve">C-0452</t>
  </si>
  <si>
    <t xml:space="preserve">Mon 06 Jul 2026 09:51</t>
  </si>
  <si>
    <t xml:space="preserve">bundled procedure denial</t>
  </si>
  <si>
    <t xml:space="preserve">C-0453</t>
  </si>
  <si>
    <t xml:space="preserve">Mon 06 Jul 2026 10:51</t>
  </si>
  <si>
    <t xml:space="preserve">present|C-22|the allowance on this design is $130, not $200</t>
  </si>
  <si>
    <t xml:space="preserve">C-0454</t>
  </si>
  <si>
    <t xml:space="preserve">Tue 07 Jul 2026 10:28</t>
  </si>
  <si>
    <t xml:space="preserve">C-0455</t>
  </si>
  <si>
    <t xml:space="preserve">Tue 07 Jul 2026 13:59</t>
  </si>
  <si>
    <t xml:space="preserve">qualifying event</t>
  </si>
  <si>
    <t xml:space="preserve">C-0456</t>
  </si>
  <si>
    <t xml:space="preserve">C-0457</t>
  </si>
  <si>
    <t xml:space="preserve">Wed 08 Jul 2026 08:42</t>
  </si>
  <si>
    <t xml:space="preserve">progressive lens tiers</t>
  </si>
  <si>
    <t xml:space="preserve">C-0458</t>
  </si>
  <si>
    <t xml:space="preserve">Wed 08 Jul 2026 13:33</t>
  </si>
  <si>
    <t xml:space="preserve">small group minimum</t>
  </si>
  <si>
    <t xml:space="preserve">C-0459</t>
  </si>
  <si>
    <t xml:space="preserve">Wed 08 Jul 2026 16:51</t>
  </si>
  <si>
    <t xml:space="preserve">broker_conduct_positive|LOW|Broker Relations</t>
  </si>
  <si>
    <t xml:space="preserve">new-hire waiting period</t>
  </si>
  <si>
    <t xml:space="preserve">C-0460</t>
  </si>
  <si>
    <t xml:space="preserve">Thu 09 Jul 2026 13:06</t>
  </si>
  <si>
    <t xml:space="preserve">extraction coverage</t>
  </si>
  <si>
    <t xml:space="preserve">C-0461</t>
  </si>
  <si>
    <t xml:space="preserve">Thu 09 Jul 2026 16:06</t>
  </si>
  <si>
    <t xml:space="preserve">escalation_missed|HIGH|Operations; broker_conduct_adverse|HIGH|Broker Relations</t>
  </si>
  <si>
    <t xml:space="preserve">root canal cost</t>
  </si>
  <si>
    <t xml:space="preserve">C-0462</t>
  </si>
  <si>
    <t xml:space="preserve">Fri 10 Jul 2026 10:06</t>
  </si>
  <si>
    <t xml:space="preserve">waiting period</t>
  </si>
  <si>
    <t xml:space="preserve">C-0463</t>
  </si>
  <si>
    <t xml:space="preserve">Fri 10 Jul 2026 11:28</t>
  </si>
  <si>
    <t xml:space="preserve">unmarried partner as beneficiary</t>
  </si>
  <si>
    <t xml:space="preserve">C-0464</t>
  </si>
  <si>
    <t xml:space="preserve">Mon 13 Jul 2026 08:11</t>
  </si>
  <si>
    <t xml:space="preserve">glasses or contacts</t>
  </si>
  <si>
    <t xml:space="preserve">C-0465</t>
  </si>
  <si>
    <t xml:space="preserve">Mon 13 Jul 2026 11:42</t>
  </si>
  <si>
    <t xml:space="preserve">C-0466</t>
  </si>
  <si>
    <t xml:space="preserve">Mon 13 Jul 2026 13:19</t>
  </si>
  <si>
    <t xml:space="preserve">card needed</t>
  </si>
  <si>
    <t xml:space="preserve">C-0467</t>
  </si>
  <si>
    <t xml:space="preserve">Tue 14 Jul 2026 08:42</t>
  </si>
  <si>
    <t xml:space="preserve">C-0468</t>
  </si>
  <si>
    <t xml:space="preserve">Tue 14 Jul 2026 09:59</t>
  </si>
  <si>
    <t xml:space="preserve">missing EOB</t>
  </si>
  <si>
    <t xml:space="preserve">C-0469</t>
  </si>
  <si>
    <t xml:space="preserve">Tue 14 Jul 2026 10:19</t>
  </si>
  <si>
    <t xml:space="preserve">directory vs provider</t>
  </si>
  <si>
    <t xml:space="preserve">C-0470</t>
  </si>
  <si>
    <t xml:space="preserve">Wed 15 Jul 2026 09:59</t>
  </si>
  <si>
    <t xml:space="preserve">online glasses</t>
  </si>
  <si>
    <t xml:space="preserve">C-0471</t>
  </si>
  <si>
    <t xml:space="preserve">Wed 15 Jul 2026 11:28</t>
  </si>
  <si>
    <t xml:space="preserve">C-0472</t>
  </si>
  <si>
    <t xml:space="preserve">Wed 15 Jul 2026 15:51</t>
  </si>
  <si>
    <t xml:space="preserve">explaining allowance</t>
  </si>
  <si>
    <t xml:space="preserve">C-0473</t>
  </si>
  <si>
    <t xml:space="preserve">Thu 16 Jul 2026 08:33</t>
  </si>
  <si>
    <t xml:space="preserve">C-0474</t>
  </si>
  <si>
    <t xml:space="preserve">Thu 16 Jul 2026 14:28</t>
  </si>
  <si>
    <t xml:space="preserve">escalation_missed|HIGH|Operations; compliance_disclosure_missing|HIGH|Compliance</t>
  </si>
  <si>
    <t xml:space="preserve">denial reason</t>
  </si>
  <si>
    <t xml:space="preserve">C-0475</t>
  </si>
  <si>
    <t xml:space="preserve">Fri 17 Jul 2026 08:06</t>
  </si>
  <si>
    <t xml:space="preserve">next glasses</t>
  </si>
  <si>
    <t xml:space="preserve">C-0476</t>
  </si>
  <si>
    <t xml:space="preserve">Fri 17 Jul 2026 15:11</t>
  </si>
  <si>
    <t xml:space="preserve">C-0477</t>
  </si>
  <si>
    <t xml:space="preserve">Mon 20 Jul 2026 14:51</t>
  </si>
  <si>
    <t xml:space="preserve">finding providers</t>
  </si>
  <si>
    <t xml:space="preserve">C-0478</t>
  </si>
  <si>
    <t xml:space="preserve">Mon 20 Jul 2026 15:42</t>
  </si>
  <si>
    <t xml:space="preserve">contact lens reimbursement</t>
  </si>
  <si>
    <t xml:space="preserve">C-0479</t>
  </si>
  <si>
    <t xml:space="preserve">glasses after contacts</t>
  </si>
  <si>
    <t xml:space="preserve">C-0480</t>
  </si>
  <si>
    <t xml:space="preserve">Tue 21 Jul 2026 08:11</t>
  </si>
  <si>
    <t xml:space="preserve">chiro referral</t>
  </si>
  <si>
    <t xml:space="preserve">C-0481</t>
  </si>
  <si>
    <t xml:space="preserve">Tue 21 Jul 2026 09:06</t>
  </si>
  <si>
    <t xml:space="preserve">C-0482</t>
  </si>
  <si>
    <t xml:space="preserve">Tue 21 Jul 2026 13:33</t>
  </si>
  <si>
    <t xml:space="preserve">dependent exam</t>
  </si>
  <si>
    <t xml:space="preserve">C-0483</t>
  </si>
  <si>
    <t xml:space="preserve">Wed 22 Jul 2026 08:06</t>
  </si>
  <si>
    <t xml:space="preserve">C-0484</t>
  </si>
  <si>
    <t xml:space="preserve">Wed 22 Jul 2026 08:28</t>
  </si>
  <si>
    <t xml:space="preserve">C-0485</t>
  </si>
  <si>
    <t xml:space="preserve">Wed 22 Jul 2026 09:19</t>
  </si>
  <si>
    <t xml:space="preserve">present|C-21|exams carry a $10 copay on this design</t>
  </si>
  <si>
    <t xml:space="preserve">C-0486</t>
  </si>
  <si>
    <t xml:space="preserve">Thu 23 Jul 2026 08:33</t>
  </si>
  <si>
    <t xml:space="preserve">present|C-34|group life can be converted within 31 days of cover ending</t>
  </si>
  <si>
    <t xml:space="preserve">life after retirement</t>
  </si>
  <si>
    <t xml:space="preserve">C-0487</t>
  </si>
  <si>
    <t xml:space="preserve">Thu 23 Jul 2026 14:11</t>
  </si>
  <si>
    <t xml:space="preserve">C-0488</t>
  </si>
  <si>
    <t xml:space="preserve">Fri 24 Jul 2026 09:06</t>
  </si>
  <si>
    <t xml:space="preserve">Cal-COBRA notice</t>
  </si>
  <si>
    <t xml:space="preserve">C-0489</t>
  </si>
  <si>
    <t xml:space="preserve">Fri 24 Jul 2026 10:11</t>
  </si>
  <si>
    <t xml:space="preserve">present|C-14|the MetLife design carries over unused benefit when usage is low</t>
  </si>
  <si>
    <t xml:space="preserve">maximum rollover</t>
  </si>
  <si>
    <t xml:space="preserve">C-0490</t>
  </si>
  <si>
    <t xml:space="preserve">Mon 27 Jul 2026 08:33</t>
  </si>
  <si>
    <t xml:space="preserve">glasses eligibility</t>
  </si>
  <si>
    <t xml:space="preserve">C-0491</t>
  </si>
  <si>
    <t xml:space="preserve">Mon 27 Jul 2026 10:59</t>
  </si>
  <si>
    <t xml:space="preserve">deep cleaning</t>
  </si>
  <si>
    <t xml:space="preserve">C-0492</t>
  </si>
  <si>
    <t xml:space="preserve">Mon 27 Jul 2026 13:51</t>
  </si>
  <si>
    <t xml:space="preserve">family appointment</t>
  </si>
  <si>
    <t xml:space="preserve">C-0493</t>
  </si>
  <si>
    <t xml:space="preserve">Tue 28 Jul 2026 13:51</t>
  </si>
  <si>
    <t xml:space="preserve">C-0494</t>
  </si>
  <si>
    <t xml:space="preserve">Tue 28 Jul 2026 13:59</t>
  </si>
  <si>
    <t xml:space="preserve">admin fee band</t>
  </si>
  <si>
    <t xml:space="preserve">C-0495</t>
  </si>
  <si>
    <t xml:space="preserve">Tue 28 Jul 2026 16:28</t>
  </si>
  <si>
    <t xml:space="preserve">dependent addition status</t>
  </si>
  <si>
    <t xml:space="preserve">C-0496</t>
  </si>
  <si>
    <t xml:space="preserve">Wed 29 Jul 2026 10:06</t>
  </si>
  <si>
    <t xml:space="preserve">new dentist</t>
  </si>
  <si>
    <t xml:space="preserve">C-0497</t>
  </si>
  <si>
    <t xml:space="preserve">Wed 29 Jul 2026 10:11</t>
  </si>
  <si>
    <t xml:space="preserve">visit limit</t>
  </si>
  <si>
    <t xml:space="preserve">C-0498</t>
  </si>
  <si>
    <t xml:space="preserve">Wed 29 Jul 2026 10:42</t>
  </si>
  <si>
    <t xml:space="preserve">C-0499</t>
  </si>
  <si>
    <t xml:space="preserve">Thu 30 Jul 2026 14:11</t>
  </si>
  <si>
    <t xml:space="preserve">acupuncture included</t>
  </si>
  <si>
    <t xml:space="preserve">C-0500</t>
  </si>
  <si>
    <t xml:space="preserve">Thu 30 Jul 2026 14:42</t>
  </si>
  <si>
    <t xml:space="preserve">present|C-37|a benefit cannot be paid directly to a minor; a guardian or trust is required</t>
  </si>
  <si>
    <t xml:space="preserve">minor as beneficiary</t>
  </si>
  <si>
    <t xml:space="preserve">C-0501</t>
  </si>
  <si>
    <t xml:space="preserve">Thu 30 Jul 2026 15:10</t>
  </si>
  <si>
    <t xml:space="preserve">C-0407 | 15 Jul | closed unresolved</t>
  </si>
  <si>
    <t xml:space="preserve">estimate result</t>
  </si>
  <si>
    <t xml:space="preserve">C-0502</t>
  </si>
  <si>
    <t xml:space="preserve">Fri 31 Jul 2026 10:33</t>
  </si>
  <si>
    <t xml:space="preserve">beneficiary confirmation</t>
  </si>
  <si>
    <t xml:space="preserve">C-0503</t>
  </si>
  <si>
    <t xml:space="preserve">Fri 31 Jul 2026 11:28</t>
  </si>
  <si>
    <t xml:space="preserve">explaining DHMO</t>
  </si>
  <si>
    <t xml:space="preserve">C-0504</t>
  </si>
  <si>
    <t xml:space="preserve">Mon 03 Aug 2026 09:19</t>
  </si>
  <si>
    <t xml:space="preserve">present|P-23|voluntary dental needs a headcount (10 eligible / 5 enrolled), not 70% — the broker was right</t>
  </si>
  <si>
    <t xml:space="preserve">voluntary participation</t>
  </si>
  <si>
    <t xml:space="preserve">C-0505</t>
  </si>
  <si>
    <t xml:space="preserve">Mon 03 Aug 2026 10:45</t>
  </si>
  <si>
    <t xml:space="preserve">C-0410 | 20 Jul | closed unresolved</t>
  </si>
  <si>
    <t xml:space="preserve">C-0506</t>
  </si>
  <si>
    <t xml:space="preserve">Mon 03 Aug 2026 15:06</t>
  </si>
  <si>
    <t xml:space="preserve">dentures</t>
  </si>
  <si>
    <t xml:space="preserve">C-0507</t>
  </si>
  <si>
    <t xml:space="preserve">Mon 03 Aug 2026 16:11</t>
  </si>
  <si>
    <t xml:space="preserve">C-0508</t>
  </si>
  <si>
    <t xml:space="preserve">Tue 04 Aug 2026 08:42</t>
  </si>
  <si>
    <t xml:space="preserve">present|C-12|crowns carry a 12-month waiting period from the effective date</t>
  </si>
  <si>
    <t xml:space="preserve">crown eligibility</t>
  </si>
  <si>
    <t xml:space="preserve">C-0509</t>
  </si>
  <si>
    <t xml:space="preserve">Tue 04 Aug 2026 09:51</t>
  </si>
  <si>
    <t xml:space="preserve">leaver still billed</t>
  </si>
  <si>
    <t xml:space="preserve">C-0510</t>
  </si>
  <si>
    <t xml:space="preserve">Tue 04 Aug 2026 10:28</t>
  </si>
  <si>
    <t xml:space="preserve">C-0511</t>
  </si>
  <si>
    <t xml:space="preserve">Wed 05 Aug 2026 09:59</t>
  </si>
  <si>
    <t xml:space="preserve">present|BRK-30|POSITIVE</t>
  </si>
  <si>
    <t xml:space="preserve">preventive coverage</t>
  </si>
  <si>
    <t xml:space="preserve">C-0512</t>
  </si>
  <si>
    <t xml:space="preserve">Wed 05 Aug 2026 11:28</t>
  </si>
  <si>
    <t xml:space="preserve">dependent benefit used</t>
  </si>
  <si>
    <t xml:space="preserve">C-0513</t>
  </si>
  <si>
    <t xml:space="preserve">Wed 05 Aug 2026 13:59</t>
  </si>
  <si>
    <t xml:space="preserve">sealants</t>
  </si>
  <si>
    <t xml:space="preserve">C-0514</t>
  </si>
  <si>
    <t xml:space="preserve">Thu 06 Aug 2026 08:11</t>
  </si>
  <si>
    <t xml:space="preserve">C-0515</t>
  </si>
  <si>
    <t xml:space="preserve">Thu 06 Aug 2026 11:28</t>
  </si>
  <si>
    <t xml:space="preserve">retention_risk|CRITICAL|Account Management; compliance_disclosure_missing|HIGH|Compliance</t>
  </si>
  <si>
    <t xml:space="preserve">market_test|verbatim, turn 2</t>
  </si>
  <si>
    <t xml:space="preserve">C-0509 | 04 Aug | closed unresolved</t>
  </si>
  <si>
    <t xml:space="preserve">leaver still billed, exit</t>
  </si>
  <si>
    <t xml:space="preserve">C-0516</t>
  </si>
  <si>
    <t xml:space="preserve">Fri 07 Aug 2026 11:06</t>
  </si>
  <si>
    <t xml:space="preserve">conversion status</t>
  </si>
  <si>
    <t xml:space="preserve">C-0517</t>
  </si>
  <si>
    <t xml:space="preserve">Fri 07 Aug 2026 13:28</t>
  </si>
  <si>
    <t xml:space="preserve">C-0518</t>
  </si>
  <si>
    <t xml:space="preserve">Mon 10 Aug 2026 13:42</t>
  </si>
  <si>
    <t xml:space="preserve">out-of-state chiro, exit</t>
  </si>
  <si>
    <t xml:space="preserve">C-0519</t>
  </si>
  <si>
    <t xml:space="preserve">Mon 10 Aug 2026 14:33</t>
  </si>
  <si>
    <t xml:space="preserve">C-0520</t>
  </si>
  <si>
    <t xml:space="preserve">Mon 10 Aug 2026 15:33</t>
  </si>
  <si>
    <t xml:space="preserve">adding spouse</t>
  </si>
  <si>
    <t xml:space="preserve">C-0521</t>
  </si>
  <si>
    <t xml:space="preserve">Tue 11 Aug 2026 10:11</t>
  </si>
  <si>
    <t xml:space="preserve">relocation plan change</t>
  </si>
  <si>
    <t xml:space="preserve">C-0522</t>
  </si>
  <si>
    <t xml:space="preserve">Tue 11 Aug 2026 14:33</t>
  </si>
  <si>
    <t xml:space="preserve">dependent restored</t>
  </si>
  <si>
    <t xml:space="preserve">C-0523</t>
  </si>
  <si>
    <t xml:space="preserve">Tue 11 Aug 2026 15:51</t>
  </si>
  <si>
    <t xml:space="preserve">present|C-16|network pricing continues after the maximum is exhausted</t>
  </si>
  <si>
    <t xml:space="preserve">price after maximum</t>
  </si>
  <si>
    <t xml:space="preserve">C-0524</t>
  </si>
  <si>
    <t xml:space="preserve">Wed 12 Aug 2026 08:59</t>
  </si>
  <si>
    <t xml:space="preserve">leaver life notice</t>
  </si>
  <si>
    <t xml:space="preserve">C-0525</t>
  </si>
  <si>
    <t xml:space="preserve">Wed 12 Aug 2026 15:42</t>
  </si>
  <si>
    <t xml:space="preserve">invoice due date</t>
  </si>
  <si>
    <t xml:space="preserve">C-0526</t>
  </si>
  <si>
    <t xml:space="preserve">Wed 12 Aug 2026 16:11</t>
  </si>
  <si>
    <t xml:space="preserve">rehire rule</t>
  </si>
  <si>
    <t xml:space="preserve">C-0527</t>
  </si>
  <si>
    <t xml:space="preserve">Thu 13 Aug 2026 10:33</t>
  </si>
  <si>
    <t xml:space="preserve">change dentist</t>
  </si>
  <si>
    <t xml:space="preserve">C-0528</t>
  </si>
  <si>
    <t xml:space="preserve">Thu 13 Aug 2026 16:19</t>
  </si>
  <si>
    <t xml:space="preserve">dependent allowance</t>
  </si>
  <si>
    <t xml:space="preserve">C-0529</t>
  </si>
  <si>
    <t xml:space="preserve">Fri 14 Aug 2026 08:33</t>
  </si>
  <si>
    <t xml:space="preserve">C-0530</t>
  </si>
  <si>
    <t xml:space="preserve">Fri 14 Aug 2026 11:06</t>
  </si>
  <si>
    <t xml:space="preserve">cleaning cost</t>
  </si>
  <si>
    <t xml:space="preserve">C-0531</t>
  </si>
  <si>
    <t xml:space="preserve">Mon 17 Aug 2026 08:33</t>
  </si>
  <si>
    <t xml:space="preserve">bridge waiting period</t>
  </si>
  <si>
    <t xml:space="preserve">C-0532</t>
  </si>
  <si>
    <t xml:space="preserve">Mon 17 Aug 2026 09:42</t>
  </si>
  <si>
    <t xml:space="preserve">C-0533</t>
  </si>
  <si>
    <t xml:space="preserve">Mon 17 Aug 2026 14:11</t>
  </si>
  <si>
    <t xml:space="preserve">dependent addition confirmed</t>
  </si>
  <si>
    <t xml:space="preserve">C-0534</t>
  </si>
  <si>
    <t xml:space="preserve">Tue 18 Aug 2026 08:33</t>
  </si>
  <si>
    <t xml:space="preserve">C-0535</t>
  </si>
  <si>
    <t xml:space="preserve">Tue 18 Aug 2026 08:59</t>
  </si>
  <si>
    <t xml:space="preserve">C-0536</t>
  </si>
  <si>
    <t xml:space="preserve">Tue 18 Aug 2026 11:15</t>
  </si>
  <si>
    <t xml:space="preserve">C-0371 | 11 Aug | closed unresolved</t>
  </si>
  <si>
    <t xml:space="preserve">accelerated benefit</t>
  </si>
  <si>
    <t xml:space="preserve">C-0537</t>
  </si>
  <si>
    <t xml:space="preserve">Tue 18 Aug 2026 14:19</t>
  </si>
  <si>
    <t xml:space="preserve">present|P-28|Anthem orthodontia is not available on a five-person group</t>
  </si>
  <si>
    <t xml:space="preserve">C-0538</t>
  </si>
  <si>
    <t xml:space="preserve">Wed 19 Aug 2026 09:51</t>
  </si>
  <si>
    <t xml:space="preserve">present|C-36|group life reduces at 65 and 70 on the age schedule</t>
  </si>
  <si>
    <t xml:space="preserve">C-0539</t>
  </si>
  <si>
    <t xml:space="preserve">Wed 19 Aug 2026 14:28</t>
  </si>
  <si>
    <t xml:space="preserve">vision rules</t>
  </si>
  <si>
    <t xml:space="preserve">C-0540</t>
  </si>
  <si>
    <t xml:space="preserve">Wed 19 Aug 2026 16:19</t>
  </si>
  <si>
    <t xml:space="preserve">filing terminations</t>
  </si>
  <si>
    <t xml:space="preserve">C-0541</t>
  </si>
  <si>
    <t xml:space="preserve">Thu 20 Aug 2026 09:40</t>
  </si>
  <si>
    <t xml:space="preserve">C-0420 | 05 Aug | closed unresolved</t>
  </si>
  <si>
    <t xml:space="preserve">age reduction schedule</t>
  </si>
  <si>
    <t xml:space="preserve">C-0542</t>
  </si>
  <si>
    <t xml:space="preserve">Thu 20 Aug 2026 14:42</t>
  </si>
  <si>
    <t xml:space="preserve">switch chiropractor</t>
  </si>
  <si>
    <t xml:space="preserve">C-0543</t>
  </si>
  <si>
    <t xml:space="preserve">Thu 20 Aug 2026 16:42</t>
  </si>
  <si>
    <t xml:space="preserve">false duplicate</t>
  </si>
  <si>
    <t xml:space="preserve">C-0544</t>
  </si>
  <si>
    <t xml:space="preserve">Fri 21 Aug 2026 14:11</t>
  </si>
  <si>
    <t xml:space="preserve">travel emergency</t>
  </si>
  <si>
    <t xml:space="preserve">C-0545</t>
  </si>
  <si>
    <t xml:space="preserve">Fri 21 Aug 2026 15:28</t>
  </si>
  <si>
    <t xml:space="preserve">C-0546</t>
  </si>
  <si>
    <t xml:space="preserve">Mon 24 Aug 2026 13:33</t>
  </si>
  <si>
    <t xml:space="preserve">discount scope</t>
  </si>
  <si>
    <t xml:space="preserve">C-0547</t>
  </si>
  <si>
    <t xml:space="preserve">Mon 24 Aug 2026 14:33</t>
  </si>
  <si>
    <t xml:space="preserve">splitting allowance</t>
  </si>
  <si>
    <t xml:space="preserve">C-0548</t>
  </si>
  <si>
    <t xml:space="preserve">Mon 24 Aug 2026 15:06</t>
  </si>
  <si>
    <t xml:space="preserve">x-rays and maximum</t>
  </si>
  <si>
    <t xml:space="preserve">C-0549</t>
  </si>
  <si>
    <t xml:space="preserve">Tue 25 Aug 2026 08:06</t>
  </si>
  <si>
    <t xml:space="preserve">C-0550</t>
  </si>
  <si>
    <t xml:space="preserve">Tue 25 Aug 2026 15:33</t>
  </si>
  <si>
    <t xml:space="preserve">termination filing confirmed</t>
  </si>
  <si>
    <t xml:space="preserve">3 employees</t>
  </si>
  <si>
    <t xml:space="preserve">C-0551</t>
  </si>
  <si>
    <t xml:space="preserve">Tue 25 Aug 2026 16:51</t>
  </si>
  <si>
    <t xml:space="preserve">certificate received</t>
  </si>
  <si>
    <t xml:space="preserve">C-0552</t>
  </si>
  <si>
    <t xml:space="preserve">Wed 26 Aug 2026 11:33</t>
  </si>
  <si>
    <t xml:space="preserve">filling coverage</t>
  </si>
  <si>
    <t xml:space="preserve">C-0553</t>
  </si>
  <si>
    <t xml:space="preserve">Wed 26 Aug 2026 11:42</t>
  </si>
  <si>
    <t xml:space="preserve">retention_risk|CRITICAL|Account Management; broker_conduct_positive|LOW|Broker Relations</t>
  </si>
  <si>
    <t xml:space="preserve">present|BRK-26|POSITIVE</t>
  </si>
  <si>
    <t xml:space="preserve">C-0554</t>
  </si>
  <si>
    <t xml:space="preserve">Wed 26 Aug 2026 13:51</t>
  </si>
  <si>
    <t xml:space="preserve">present|A-12|newborns may be added within sixty days</t>
  </si>
  <si>
    <t xml:space="preserve">newborn deadline</t>
  </si>
  <si>
    <t xml:space="preserve">C-0555</t>
  </si>
  <si>
    <t xml:space="preserve">Thu 27 Aug 2026 16:33</t>
  </si>
  <si>
    <t xml:space="preserve">C-0556</t>
  </si>
  <si>
    <t xml:space="preserve">Thu 27 Aug 2026 16:42</t>
  </si>
  <si>
    <t xml:space="preserve">C-0557</t>
  </si>
  <si>
    <t xml:space="preserve">Fri 28 Aug 2026 13:06</t>
  </si>
  <si>
    <t xml:space="preserve">lens coating</t>
  </si>
  <si>
    <t xml:space="preserve">C-0558</t>
  </si>
  <si>
    <t xml:space="preserve">Fri 28 Aug 2026 14:42</t>
  </si>
  <si>
    <t xml:space="preserve">charged for cleaning</t>
  </si>
  <si>
    <t xml:space="preserve">C-0559</t>
  </si>
  <si>
    <t xml:space="preserve">Mon 31 Aug 2026 08:59</t>
  </si>
  <si>
    <t xml:space="preserve">compliance_disclosure_missing|HIGH|Compliance; broker_conduct_adverse|HIGH|Broker Relations</t>
  </si>
  <si>
    <t xml:space="preserve">acupuncture referral</t>
  </si>
  <si>
    <t xml:space="preserve">C-0560</t>
  </si>
  <si>
    <t xml:space="preserve">Mon 31 Aug 2026 14:42</t>
  </si>
  <si>
    <t xml:space="preserve">card at new dentist</t>
  </si>
  <si>
    <t xml:space="preserve">C-0561</t>
  </si>
  <si>
    <t xml:space="preserve">Mon 31 Aug 2026 16:06</t>
  </si>
  <si>
    <t xml:space="preserve">present|C-12|twelve months of prior comparable cover can waive the major-service wait</t>
  </si>
  <si>
    <t xml:space="preserve">C-0562</t>
  </si>
  <si>
    <t xml:space="preserve">Tue 01 Sep 2026 08:11</t>
  </si>
  <si>
    <t xml:space="preserve">fee increase, exit</t>
  </si>
  <si>
    <t xml:space="preserve">C-0563</t>
  </si>
  <si>
    <t xml:space="preserve">Tue 01 Sep 2026 09:06</t>
  </si>
  <si>
    <t xml:space="preserve">C-0564</t>
  </si>
  <si>
    <t xml:space="preserve">Tue 01 Sep 2026 10:06</t>
  </si>
  <si>
    <t xml:space="preserve">C-0565</t>
  </si>
  <si>
    <t xml:space="preserve">Tue 01 Sep 2026 13:30</t>
  </si>
  <si>
    <t xml:space="preserve">C-0375 | 18 Aug | closed unresolved</t>
  </si>
  <si>
    <t xml:space="preserve">headcount reconciled</t>
  </si>
  <si>
    <t xml:space="preserve">8 employees</t>
  </si>
  <si>
    <t xml:space="preserve">C-0566</t>
  </si>
  <si>
    <t xml:space="preserve">Wed 02 Sep 2026 09:11</t>
  </si>
  <si>
    <t xml:space="preserve">C-0567</t>
  </si>
  <si>
    <t xml:space="preserve">Wed 02 Sep 2026 10:51</t>
  </si>
  <si>
    <t xml:space="preserve">ortho availability</t>
  </si>
  <si>
    <t xml:space="preserve">C-0568</t>
  </si>
  <si>
    <t xml:space="preserve">Wed 02 Sep 2026 16:42</t>
  </si>
  <si>
    <t xml:space="preserve">provider check</t>
  </si>
  <si>
    <t xml:space="preserve">C-0569</t>
  </si>
  <si>
    <t xml:space="preserve">Thu 03 Sep 2026 09:28</t>
  </si>
  <si>
    <t xml:space="preserve">life eligibility</t>
  </si>
  <si>
    <t xml:space="preserve">C-0570</t>
  </si>
  <si>
    <t xml:space="preserve">Thu 03 Sep 2026 14:19</t>
  </si>
  <si>
    <t xml:space="preserve">C-0571</t>
  </si>
  <si>
    <t xml:space="preserve">Fri 04 Sep 2026 15:06</t>
  </si>
  <si>
    <t xml:space="preserve">accelerated claim status</t>
  </si>
  <si>
    <t xml:space="preserve">C-0572</t>
  </si>
  <si>
    <t xml:space="preserve">Fri 04 Sep 2026 15:33</t>
  </si>
  <si>
    <t xml:space="preserve">over allowance</t>
  </si>
  <si>
    <t xml:space="preserve">C-0573</t>
  </si>
  <si>
    <t xml:space="preserve">Tue 08 Sep 2026 11:06</t>
  </si>
  <si>
    <t xml:space="preserve">C-0574</t>
  </si>
  <si>
    <t xml:space="preserve">Tue 08 Sep 2026 11:11</t>
  </si>
  <si>
    <t xml:space="preserve">C-0575</t>
  </si>
  <si>
    <t xml:space="preserve">Tue 08 Sep 2026 11:42</t>
  </si>
  <si>
    <t xml:space="preserve">seasonal hires</t>
  </si>
  <si>
    <t xml:space="preserve">C-0576</t>
  </si>
  <si>
    <t xml:space="preserve">Tue 08 Sep 2026 15:06</t>
  </si>
  <si>
    <t xml:space="preserve">knowledge_error|MEDIUM|Knowledge Management; broker_conduct_adverse|HIGH|Broker Relations</t>
  </si>
  <si>
    <t xml:space="preserve">out-of-network chiro</t>
  </si>
  <si>
    <t xml:space="preserve">C-0577</t>
  </si>
  <si>
    <t xml:space="preserve">Tue 08 Sep 2026 15:28</t>
  </si>
  <si>
    <t xml:space="preserve">C-0578</t>
  </si>
  <si>
    <t xml:space="preserve">Tue 08 Sep 2026 16:11</t>
  </si>
  <si>
    <t xml:space="preserve">present|C-19|orthodontia has a separate lifetime maximum</t>
  </si>
  <si>
    <t xml:space="preserve">ortho and maximum</t>
  </si>
  <si>
    <t xml:space="preserve">C-0579</t>
  </si>
  <si>
    <t xml:space="preserve">Wed 09 Sep 2026 09:28</t>
  </si>
  <si>
    <t xml:space="preserve">preventive and maximum</t>
  </si>
  <si>
    <t xml:space="preserve">C-0580</t>
  </si>
  <si>
    <t xml:space="preserve">Wed 09 Sep 2026 11:59</t>
  </si>
  <si>
    <t xml:space="preserve">C-0581</t>
  </si>
  <si>
    <t xml:space="preserve">Wed 09 Sep 2026 16:33</t>
  </si>
  <si>
    <t xml:space="preserve">adding chiro</t>
  </si>
  <si>
    <t xml:space="preserve">C-0582</t>
  </si>
  <si>
    <t xml:space="preserve">Thu 10 Sep 2026 11:19</t>
  </si>
  <si>
    <t xml:space="preserve">revenue_opportunity|LOW|Account Management; broker_conduct_positive|LOW|Broker Relations</t>
  </si>
  <si>
    <t xml:space="preserve">present|BRK-10|POSITIVE</t>
  </si>
  <si>
    <t xml:space="preserve">C-0583</t>
  </si>
  <si>
    <t xml:space="preserve">Thu 10 Sep 2026 15:19</t>
  </si>
  <si>
    <t xml:space="preserve">C-0584</t>
  </si>
  <si>
    <t xml:space="preserve">Fri 11 Sep 2026 10:11</t>
  </si>
  <si>
    <t xml:space="preserve">C-0585</t>
  </si>
  <si>
    <t xml:space="preserve">Fri 11 Sep 2026 10:42</t>
  </si>
  <si>
    <t xml:space="preserve">C-0586</t>
  </si>
  <si>
    <t xml:space="preserve">Mon 14 Sep 2026 08:42</t>
  </si>
  <si>
    <t xml:space="preserve">cards not received</t>
  </si>
  <si>
    <t xml:space="preserve">C-0587</t>
  </si>
  <si>
    <t xml:space="preserve">Mon 14 Sep 2026 11:33</t>
  </si>
  <si>
    <t xml:space="preserve">C-0588</t>
  </si>
  <si>
    <t xml:space="preserve">Mon 14 Sep 2026 16:19</t>
  </si>
  <si>
    <t xml:space="preserve">child crown</t>
  </si>
  <si>
    <t xml:space="preserve">C-0589</t>
  </si>
  <si>
    <t xml:space="preserve">Tue 15 Sep 2026 10:22</t>
  </si>
  <si>
    <t xml:space="preserve">C-0439 | 04 Sep | closed unresolved</t>
  </si>
  <si>
    <t xml:space="preserve">reassignment</t>
  </si>
  <si>
    <t xml:space="preserve">C-0590</t>
  </si>
  <si>
    <t xml:space="preserve">Tue 15 Sep 2026 11:28</t>
  </si>
  <si>
    <t xml:space="preserve">chiro x-rays</t>
  </si>
  <si>
    <t xml:space="preserve">C-0591</t>
  </si>
  <si>
    <t xml:space="preserve">Tue 15 Sep 2026 15:33</t>
  </si>
  <si>
    <t xml:space="preserve">C-0592</t>
  </si>
  <si>
    <t xml:space="preserve">Tue 15 Sep 2026 16:28</t>
  </si>
  <si>
    <t xml:space="preserve">present|A-33|groups under 20 are Cal-COBRA, where Choice sends the notice</t>
  </si>
  <si>
    <t xml:space="preserve">continuation notice</t>
  </si>
  <si>
    <t xml:space="preserve">C-0593</t>
  </si>
  <si>
    <t xml:space="preserve">Wed 16 Sep 2026 10:51</t>
  </si>
  <si>
    <t xml:space="preserve">C-0594</t>
  </si>
  <si>
    <t xml:space="preserve">Wed 16 Sep 2026 13:19</t>
  </si>
  <si>
    <t xml:space="preserve">C-0539 | 19 Aug | closed unresolved</t>
  </si>
  <si>
    <t xml:space="preserve">optician bills</t>
  </si>
  <si>
    <t xml:space="preserve">C-0595</t>
  </si>
  <si>
    <t xml:space="preserve">Wed 16 Sep 2026 13:59</t>
  </si>
  <si>
    <t xml:space="preserve">C-0596</t>
  </si>
  <si>
    <t xml:space="preserve">Thu 17 Sep 2026 09:19</t>
  </si>
  <si>
    <t xml:space="preserve">ophthalmologist</t>
  </si>
  <si>
    <t xml:space="preserve">C-0597</t>
  </si>
  <si>
    <t xml:space="preserve">Thu 17 Sep 2026 16:19</t>
  </si>
  <si>
    <t xml:space="preserve">assigned dentist rule</t>
  </si>
  <si>
    <t xml:space="preserve">C-0598</t>
  </si>
  <si>
    <t xml:space="preserve">Fri 18 Sep 2026 09:06</t>
  </si>
  <si>
    <t xml:space="preserve">C-0599</t>
  </si>
  <si>
    <t xml:space="preserve">Fri 18 Sep 2026 10:11</t>
  </si>
  <si>
    <t xml:space="preserve">escalation_missed|HIGH|Operations; retention_risk|CRITICAL|Account Management; network_adequacy|MEDIUM|Product / Network</t>
  </si>
  <si>
    <t xml:space="preserve">network gap, exit</t>
  </si>
  <si>
    <t xml:space="preserve">C-0600</t>
  </si>
  <si>
    <t xml:space="preserve">Wed 23 Sep 2026 14:05</t>
  </si>
  <si>
    <t xml:space="preserve">C-0445 | 17 Sep | closed unresolved</t>
  </si>
  <si>
    <t xml:space="preserve">INTEGRITY GATE</t>
  </si>
  <si>
    <t xml:space="preserve">PASS — 600 of 600 on six checks: ref resolves; spoken name matches record; broker named aloud is the employer's broker of record; tagged product line is held by the group; an expansion request never asks for a line the group already holds; every repeat contact is dated after its source.</t>
  </si>
  <si>
    <t xml:space="preserve">DEFECT CLOSED</t>
  </si>
  <si>
    <t xml:space="preserve">8 calls where a caller asked to add a line their group already held were rebound to contacts at groups that lack that line — same broker where one is named, spoken headcount rewritten: C-0138→CON-152, C-0188→CON-113, C-0090→CON-126, C-0152→CON-127, C-0217→CON-127, C-0066→CON-150, C-0121→CON-156, C-0189→CON-135. C-0138 exceeds its contact's planned call count by one to keep the broker attribution.</t>
  </si>
  <si>
    <t xml:space="preserve">Batch coverage — written against target</t>
  </si>
  <si>
    <t xml:space="preserve">What the corpus has so far against what the design says it needs. Written before anyone asks: batch 1 drifted in four places and this sheet records it rather than hiding it. Competent-and-resolved calls are over-produced and circular calls under-produced, because circular calls are long and slow to write and the easy ones got written first. Vision, life and chiropractic are all behind and program-level employer calls are ahead. Broker-attributed calls are the most serious gap at six against a pro-rata twenty. None of this matters while it is visible and corrected in the next batch; it matters enormously if it is discovered at 600. Batch 2 should be written against the Gap column, not against the design targets.</t>
  </si>
  <si>
    <t xml:space="preserve">Measure</t>
  </si>
  <si>
    <t xml:space="preserve">Written (at 600)</t>
  </si>
  <si>
    <t xml:space="preserve">Target (600)</t>
  </si>
  <si>
    <t xml:space="preserve">Gap</t>
  </si>
  <si>
    <t xml:space="preserve">VOLUME</t>
  </si>
  <si>
    <t xml:space="preserve">Transcripts written</t>
  </si>
  <si>
    <t xml:space="preserve">Batch 1 of an expected six batches of 100.</t>
  </si>
  <si>
    <t xml:space="preserve">On plan.</t>
  </si>
  <si>
    <t xml:space="preserve">Running ahead. Batch 2 should lean harder on the other three.</t>
  </si>
  <si>
    <t xml:space="preserve">Running ahead; ease off in batch 2.</t>
  </si>
  <si>
    <t xml:space="preserve">Slightly behind. Needed as the repeat-rate denominator.</t>
  </si>
  <si>
    <t xml:space="preserve">ARCHETYPE</t>
  </si>
  <si>
    <t xml:space="preserve">Well ahead — correct in batch 2.</t>
  </si>
  <si>
    <t xml:space="preserve">Behind. The most under-represented archetype.</t>
  </si>
  <si>
    <t xml:space="preserve">Behind by half. These are long and expensive to write and were under-produced.</t>
  </si>
  <si>
    <t xml:space="preserve">Escalated or handed off</t>
  </si>
  <si>
    <t xml:space="preserve">Behind. Batch 2 needs roughly double.</t>
  </si>
  <si>
    <t xml:space="preserve">Behind. The thinnest cell and the one that needs 30+ to quote a rate.</t>
  </si>
  <si>
    <t xml:space="preserve">Chiropractic</t>
  </si>
  <si>
    <t xml:space="preserve">Behind.</t>
  </si>
  <si>
    <t xml:space="preserve">Program-level</t>
  </si>
  <si>
    <t xml:space="preserve">Well ahead — employer administration calls over-produced.</t>
  </si>
  <si>
    <t xml:space="preserve">RULE COVERAGE</t>
  </si>
  <si>
    <t xml:space="preserve">Calls anchored to a published rule</t>
  </si>
  <si>
    <t xml:space="preserve">~62%</t>
  </si>
  <si>
    <t xml:space="preserve">69%</t>
  </si>
  <si>
    <t xml:space="preserve">Deliberate design: members call about things that are not rules.</t>
  </si>
  <si>
    <t xml:space="preserve">Calls with no governing rule</t>
  </si>
  <si>
    <t xml:space="preserve">~38%</t>
  </si>
  <si>
    <t xml:space="preserve">31%</t>
  </si>
  <si>
    <t xml:space="preserve">General service concerns — address changes, provider complaints, out-of-scope questions, broken glasses, language access. These must stay roughly a third or the corpus reads as a rules quiz.</t>
  </si>
  <si>
    <t xml:space="preserve">Behind pro-rata (6 expected).</t>
  </si>
  <si>
    <t xml:space="preserve">Disclosure before verification</t>
  </si>
  <si>
    <t xml:space="preserve">Behind pro-rata (5 expected).</t>
  </si>
  <si>
    <t xml:space="preserve">Triggered</t>
  </si>
  <si>
    <t xml:space="preserve">Slightly behind.</t>
  </si>
  <si>
    <t xml:space="preserve">— handled</t>
  </si>
  <si>
    <t xml:space="preserve">Ahead.</t>
  </si>
  <si>
    <t xml:space="preserve">— refused</t>
  </si>
  <si>
    <t xml:space="preserve">Well behind. Batch 2 needs more refused escalations to hold the 58% refusal rate.</t>
  </si>
  <si>
    <t xml:space="preserve">Knowledge failures</t>
  </si>
  <si>
    <t xml:space="preserve">Ahead. New tag, exercised well.</t>
  </si>
  <si>
    <t xml:space="preserve">Well behind. Batch 2 must carry roughly 25 to stay on track.</t>
  </si>
  <si>
    <t xml:space="preserve">Failure-driven repeats</t>
  </si>
  <si>
    <t xml:space="preserve">On plan. Eight repeat pairs written, each following an unresolved call.</t>
  </si>
  <si>
    <t xml:space="preserve">Expansion intent</t>
  </si>
  <si>
    <t xml:space="preserve">Market-test / exit language</t>
  </si>
  <si>
    <t xml:space="preserve">How to use this</t>
  </si>
  <si>
    <t xml:space="preserve">Red rows are four or more behind pro-rata and are the batch 2 brief. When batch 2 is written, extend the Transcript Tracker below the last row, change B1 to B2 in the batch column, and recompute this sheet. The design targets in column C do not move.</t>
  </si>
</sst>
</file>

<file path=xl/styles.xml><?xml version="1.0" encoding="utf-8"?>
<styleSheet xmlns="http://schemas.openxmlformats.org/spreadsheetml/2006/main">
  <numFmts count="9">
    <numFmt numFmtId="164" formatCode="General"/>
    <numFmt numFmtId="165" formatCode="0.0"/>
    <numFmt numFmtId="166" formatCode="#,##0"/>
    <numFmt numFmtId="167" formatCode="0%"/>
    <numFmt numFmtId="168" formatCode="\$#,##0"/>
    <numFmt numFmtId="169" formatCode="0.00"/>
    <numFmt numFmtId="170" formatCode="0.0\x"/>
    <numFmt numFmtId="171" formatCode="0.0%"/>
    <numFmt numFmtId="172" formatCode="0"/>
  </numFmts>
  <fonts count="11">
    <font>
      <sz val="11"/>
      <color theme="1"/>
      <name val="Calibri"/>
      <family val="2"/>
      <charset val="1"/>
    </font>
    <font>
      <sz val="10"/>
      <name val="Arial"/>
      <family val="0"/>
    </font>
    <font>
      <sz val="10"/>
      <name val="Arial"/>
      <family val="0"/>
    </font>
    <font>
      <sz val="10"/>
      <name val="Arial"/>
      <family val="0"/>
    </font>
    <font>
      <b val="true"/>
      <sz val="16"/>
      <color rgb="FF14312B"/>
      <name val="Arial"/>
      <family val="0"/>
      <charset val="1"/>
    </font>
    <font>
      <sz val="9.5"/>
      <color rgb="FF3C4654"/>
      <name val="Arial"/>
      <family val="0"/>
      <charset val="1"/>
    </font>
    <font>
      <b val="true"/>
      <sz val="10"/>
      <name val="Arial"/>
      <family val="0"/>
      <charset val="1"/>
    </font>
    <font>
      <sz val="10"/>
      <name val="Arial"/>
      <family val="0"/>
      <charset val="1"/>
    </font>
    <font>
      <b val="true"/>
      <sz val="11"/>
      <name val="Arial"/>
      <family val="0"/>
      <charset val="1"/>
    </font>
    <font>
      <b val="true"/>
      <sz val="14"/>
      <color rgb="FF14312B"/>
      <name val="Arial"/>
      <family val="0"/>
      <charset val="1"/>
    </font>
    <font>
      <b val="true"/>
      <sz val="10"/>
      <color rgb="FFFFFFFF"/>
      <name val="Arial"/>
      <family val="0"/>
      <charset val="1"/>
    </font>
  </fonts>
  <fills count="9">
    <fill>
      <patternFill patternType="none"/>
    </fill>
    <fill>
      <patternFill patternType="gray125"/>
    </fill>
    <fill>
      <patternFill patternType="solid">
        <fgColor rgb="FF14312B"/>
        <bgColor rgb="FF003300"/>
      </patternFill>
    </fill>
    <fill>
      <patternFill patternType="solid">
        <fgColor rgb="FFF2F5F4"/>
        <bgColor rgb="FFEAF5EF"/>
      </patternFill>
    </fill>
    <fill>
      <patternFill patternType="solid">
        <fgColor rgb="FFE6EFED"/>
        <bgColor rgb="FFEAF5EF"/>
      </patternFill>
    </fill>
    <fill>
      <patternFill patternType="solid">
        <fgColor rgb="FFFDF3DC"/>
        <bgColor rgb="FFFFF6E0"/>
      </patternFill>
    </fill>
    <fill>
      <patternFill patternType="solid">
        <fgColor rgb="FFFFF6E0"/>
        <bgColor rgb="FFFDF3DC"/>
      </patternFill>
    </fill>
    <fill>
      <patternFill patternType="solid">
        <fgColor rgb="FFFBEAE8"/>
        <bgColor rgb="FFFDF3DC"/>
      </patternFill>
    </fill>
    <fill>
      <patternFill patternType="solid">
        <fgColor rgb="FFEAF5EF"/>
        <bgColor rgb="FFF2F5F4"/>
      </patternFill>
    </fill>
  </fills>
  <borders count="2">
    <border diagonalUp="false" diagonalDown="false">
      <left/>
      <right/>
      <top/>
      <bottom/>
      <diagonal/>
    </border>
    <border diagonalUp="false" diagonalDown="false">
      <left/>
      <right/>
      <top/>
      <bottom style="thin">
        <color rgb="FFD8DE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general" vertical="top" textRotation="0" wrapText="false" indent="0" shrinkToFit="false"/>
      <protection locked="true" hidden="false"/>
    </xf>
    <xf numFmtId="167" fontId="7"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6" fontId="6" fillId="4" borderId="1" xfId="0" applyFont="true" applyBorder="true" applyAlignment="true" applyProtection="false">
      <alignment horizontal="general" vertical="top" textRotation="0" wrapText="false" indent="0" shrinkToFit="false"/>
      <protection locked="true" hidden="false"/>
    </xf>
    <xf numFmtId="168" fontId="6" fillId="4" borderId="0" xfId="0" applyFont="true" applyBorder="fals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9" fontId="7" fillId="3" borderId="1" xfId="0" applyFont="true" applyBorder="true" applyAlignment="true" applyProtection="false">
      <alignment horizontal="general" vertical="top" textRotation="0" wrapText="false" indent="0" shrinkToFit="false"/>
      <protection locked="true" hidden="false"/>
    </xf>
    <xf numFmtId="170" fontId="7" fillId="3"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3" borderId="1" xfId="0" applyFont="true" applyBorder="true" applyAlignment="true" applyProtection="false">
      <alignment horizontal="general" vertical="top" textRotation="0" wrapText="false" indent="0" shrinkToFit="false"/>
      <protection locked="true" hidden="false"/>
    </xf>
    <xf numFmtId="172" fontId="7" fillId="3" borderId="1" xfId="0" applyFont="true" applyBorder="true" applyAlignment="true" applyProtection="false">
      <alignment horizontal="general" vertical="top" textRotation="0" wrapText="false" indent="0" shrinkToFit="false"/>
      <protection locked="true" hidden="false"/>
    </xf>
    <xf numFmtId="166" fontId="6" fillId="4" borderId="0" xfId="0" applyFont="true" applyBorder="false" applyAlignment="true" applyProtection="false">
      <alignment horizontal="general" vertical="bottom" textRotation="0" wrapText="false" indent="0" shrinkToFit="false"/>
      <protection locked="true" hidden="false"/>
    </xf>
    <xf numFmtId="167" fontId="7"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8" fontId="7" fillId="6"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7" borderId="1" xfId="0" applyFont="true" applyBorder="tru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true" indent="0" shrinkToFit="false"/>
      <protection locked="true" hidden="false"/>
    </xf>
    <xf numFmtId="164" fontId="7" fillId="8" borderId="0" xfId="0" applyFont="true" applyBorder="false" applyAlignment="true" applyProtection="false">
      <alignment horizontal="general" vertical="bottom" textRotation="0" wrapText="tru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E0"/>
      <rgbColor rgb="FFEAF5EF"/>
      <rgbColor rgb="FF660066"/>
      <rgbColor rgb="FFFF8080"/>
      <rgbColor rgb="FF0066CC"/>
      <rgbColor rgb="FFD8DEDC"/>
      <rgbColor rgb="FF000080"/>
      <rgbColor rgb="FFFF00FF"/>
      <rgbColor rgb="FFFFFF00"/>
      <rgbColor rgb="FF00FFFF"/>
      <rgbColor rgb="FF800080"/>
      <rgbColor rgb="FF800000"/>
      <rgbColor rgb="FF008080"/>
      <rgbColor rgb="FF0000FF"/>
      <rgbColor rgb="FF00CCFF"/>
      <rgbColor rgb="FFE6EFED"/>
      <rgbColor rgb="FFF2F5F4"/>
      <rgbColor rgb="FFFDF3DC"/>
      <rgbColor rgb="FF99CCFF"/>
      <rgbColor rgb="FFFF99CC"/>
      <rgbColor rgb="FFCC99FF"/>
      <rgbColor rgb="FFFBEAE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C4654"/>
      <rgbColor rgb="FF1431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4"/>
  </cols>
  <sheetData>
    <row r="1" customFormat="false" ht="19.5" hidden="false" customHeight="true" outlineLevel="0" collapsed="false">
      <c r="A1" s="2" t="s">
        <v>0</v>
      </c>
    </row>
    <row r="2" customFormat="false" ht="15" hidden="false" customHeight="true" outlineLevel="0" collapsed="false">
      <c r="A2" s="3" t="s">
        <v>1</v>
      </c>
    </row>
    <row r="4" customFormat="false" ht="66" hidden="false" customHeight="true" outlineLevel="0" collapsed="false">
      <c r="A4" s="4" t="s">
        <v>2</v>
      </c>
      <c r="B4" s="5" t="s">
        <v>3</v>
      </c>
    </row>
    <row r="5" customFormat="false" ht="92.25" hidden="false" customHeight="true" outlineLevel="0" collapsed="false">
      <c r="A5" s="4" t="s">
        <v>4</v>
      </c>
      <c r="B5" s="5" t="s">
        <v>5</v>
      </c>
    </row>
    <row r="6" customFormat="false" ht="92.25" hidden="false" customHeight="true" outlineLevel="0" collapsed="false">
      <c r="A6" s="4" t="s">
        <v>6</v>
      </c>
      <c r="B6" s="5" t="s">
        <v>7</v>
      </c>
    </row>
    <row r="7" customFormat="false" ht="66" hidden="false" customHeight="true" outlineLevel="0" collapsed="false">
      <c r="A7" s="4" t="s">
        <v>8</v>
      </c>
      <c r="B7" s="5" t="s">
        <v>9</v>
      </c>
    </row>
    <row r="8" customFormat="false" ht="66" hidden="false" customHeight="true" outlineLevel="0" collapsed="false">
      <c r="A8" s="4" t="s">
        <v>10</v>
      </c>
      <c r="B8" s="5" t="s">
        <v>11</v>
      </c>
    </row>
    <row r="9" customFormat="false" ht="39" hidden="false" customHeight="true" outlineLevel="0" collapsed="false">
      <c r="A9" s="4" t="s">
        <v>12</v>
      </c>
      <c r="B9" s="5" t="s">
        <v>13</v>
      </c>
    </row>
    <row r="10" customFormat="false" ht="52.5" hidden="false" customHeight="true" outlineLevel="0" collapsed="false">
      <c r="A10" s="4" t="s">
        <v>14</v>
      </c>
      <c r="B10" s="5" t="s">
        <v>15</v>
      </c>
    </row>
    <row r="11" customFormat="false" ht="66" hidden="false" customHeight="true" outlineLevel="0" collapsed="false">
      <c r="A11" s="4" t="s">
        <v>16</v>
      </c>
      <c r="B11" s="5" t="s">
        <v>17</v>
      </c>
    </row>
    <row r="12" customFormat="false" ht="39" hidden="false" customHeight="true" outlineLevel="0" collapsed="false">
      <c r="A12" s="4" t="s">
        <v>18</v>
      </c>
      <c r="B12" s="5" t="s">
        <v>19</v>
      </c>
    </row>
    <row r="13" customFormat="false" ht="30" hidden="false" customHeight="true" outlineLevel="0" collapsed="false">
      <c r="A13" s="4" t="s">
        <v>20</v>
      </c>
      <c r="B13" s="5" t="s">
        <v>21</v>
      </c>
    </row>
    <row r="15" customFormat="false" ht="15" hidden="false" customHeight="false" outlineLevel="0" collapsed="false">
      <c r="A15" s="6" t="s">
        <v>22</v>
      </c>
    </row>
    <row r="16" customFormat="false" ht="31.5" hidden="false" customHeight="true" outlineLevel="0" collapsed="false">
      <c r="A16" s="5" t="s">
        <v>23</v>
      </c>
    </row>
    <row r="17" customFormat="false" ht="31.5" hidden="false" customHeight="true" outlineLevel="0" collapsed="false">
      <c r="A17" s="5" t="s">
        <v>24</v>
      </c>
    </row>
    <row r="18" customFormat="false" ht="31.5" hidden="false" customHeight="true" outlineLevel="0" collapsed="false">
      <c r="A18" s="5" t="s">
        <v>25</v>
      </c>
    </row>
    <row r="19" customFormat="false" ht="31.5" hidden="false" customHeight="true" outlineLevel="0" collapsed="false">
      <c r="A19" s="5" t="s">
        <v>26</v>
      </c>
    </row>
    <row r="20" customFormat="false" ht="31.5" hidden="false" customHeight="true" outlineLevel="0" collapsed="false">
      <c r="A20" s="5"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14"/>
    <col collapsed="false" customWidth="true" hidden="false" outlineLevel="0" max="4" min="3" style="1" width="22"/>
    <col collapsed="false" customWidth="true" hidden="false" outlineLevel="0" max="5" min="5" style="1" width="44"/>
    <col collapsed="false" customWidth="true" hidden="false" outlineLevel="0" max="6" min="6" style="1" width="48"/>
  </cols>
  <sheetData>
    <row r="1" customFormat="false" ht="21.75" hidden="false" customHeight="true" outlineLevel="0" collapsed="false">
      <c r="A1" s="7" t="s">
        <v>28</v>
      </c>
    </row>
    <row r="2" customFormat="false" ht="74.25" hidden="false" customHeight="true" outlineLevel="0" collapsed="false">
      <c r="A2" s="8" t="s">
        <v>29</v>
      </c>
      <c r="B2" s="8"/>
      <c r="C2" s="8"/>
      <c r="D2" s="8"/>
      <c r="E2" s="8"/>
      <c r="F2" s="8"/>
    </row>
    <row r="3" customFormat="false" ht="6" hidden="false" customHeight="true" outlineLevel="0" collapsed="false"/>
    <row r="4" customFormat="false" ht="31.5" hidden="false" customHeight="true" outlineLevel="0" collapsed="false">
      <c r="A4" s="9" t="s">
        <v>30</v>
      </c>
      <c r="B4" s="9" t="s">
        <v>31</v>
      </c>
      <c r="C4" s="9" t="s">
        <v>32</v>
      </c>
      <c r="D4" s="9" t="s">
        <v>33</v>
      </c>
      <c r="E4" s="9" t="s">
        <v>34</v>
      </c>
      <c r="F4" s="9" t="s">
        <v>35</v>
      </c>
    </row>
    <row r="5" customFormat="false" ht="45.75" hidden="false" customHeight="true" outlineLevel="0" collapsed="false">
      <c r="A5" s="10" t="s">
        <v>36</v>
      </c>
      <c r="B5" s="10" t="s">
        <v>37</v>
      </c>
      <c r="C5" s="11" t="s">
        <v>38</v>
      </c>
      <c r="D5" s="11" t="s">
        <v>39</v>
      </c>
      <c r="E5" s="11" t="s">
        <v>40</v>
      </c>
      <c r="F5" s="11" t="s">
        <v>41</v>
      </c>
    </row>
    <row r="6" customFormat="false" ht="45.75" hidden="false" customHeight="true" outlineLevel="0" collapsed="false">
      <c r="A6" s="12" t="s">
        <v>42</v>
      </c>
      <c r="B6" s="12" t="s">
        <v>43</v>
      </c>
      <c r="C6" s="13" t="s">
        <v>44</v>
      </c>
      <c r="D6" s="13" t="s">
        <v>45</v>
      </c>
      <c r="E6" s="13" t="s">
        <v>46</v>
      </c>
      <c r="F6" s="13" t="s">
        <v>47</v>
      </c>
    </row>
    <row r="7" customFormat="false" ht="45.75" hidden="false" customHeight="true" outlineLevel="0" collapsed="false">
      <c r="A7" s="10" t="s">
        <v>48</v>
      </c>
      <c r="B7" s="10" t="s">
        <v>49</v>
      </c>
      <c r="C7" s="11" t="s">
        <v>43</v>
      </c>
      <c r="D7" s="11" t="s">
        <v>50</v>
      </c>
      <c r="E7" s="11" t="s">
        <v>51</v>
      </c>
      <c r="F7" s="11" t="s">
        <v>52</v>
      </c>
    </row>
    <row r="8" customFormat="false" ht="45.75" hidden="false" customHeight="true" outlineLevel="0" collapsed="false">
      <c r="A8" s="12" t="s">
        <v>53</v>
      </c>
      <c r="B8" s="12" t="s">
        <v>54</v>
      </c>
      <c r="C8" s="13" t="s">
        <v>43</v>
      </c>
      <c r="D8" s="13" t="s">
        <v>55</v>
      </c>
      <c r="E8" s="13" t="s">
        <v>56</v>
      </c>
      <c r="F8" s="13" t="s">
        <v>57</v>
      </c>
    </row>
    <row r="9" customFormat="false" ht="45.75" hidden="false" customHeight="true" outlineLevel="0" collapsed="false">
      <c r="A9" s="10" t="s">
        <v>58</v>
      </c>
      <c r="B9" s="10" t="s">
        <v>59</v>
      </c>
      <c r="C9" s="11" t="s">
        <v>38</v>
      </c>
      <c r="D9" s="11" t="s">
        <v>60</v>
      </c>
      <c r="E9" s="11" t="s">
        <v>61</v>
      </c>
      <c r="F9" s="11" t="s">
        <v>62</v>
      </c>
    </row>
    <row r="10" customFormat="false" ht="45.75" hidden="false" customHeight="true" outlineLevel="0" collapsed="false">
      <c r="A10" s="12" t="s">
        <v>63</v>
      </c>
      <c r="B10" s="12" t="s">
        <v>64</v>
      </c>
      <c r="C10" s="13" t="s">
        <v>65</v>
      </c>
      <c r="D10" s="13" t="s">
        <v>66</v>
      </c>
      <c r="E10" s="13" t="s">
        <v>67</v>
      </c>
      <c r="F10" s="13" t="s">
        <v>68</v>
      </c>
    </row>
    <row r="11" customFormat="false" ht="45.75" hidden="false" customHeight="true" outlineLevel="0" collapsed="false">
      <c r="A11" s="10" t="s">
        <v>69</v>
      </c>
      <c r="B11" s="10" t="s">
        <v>70</v>
      </c>
      <c r="C11" s="11" t="s">
        <v>64</v>
      </c>
      <c r="D11" s="11" t="s">
        <v>71</v>
      </c>
      <c r="E11" s="11" t="s">
        <v>72</v>
      </c>
      <c r="F11" s="11" t="s">
        <v>73</v>
      </c>
    </row>
    <row r="12" customFormat="false" ht="45.75" hidden="false" customHeight="true" outlineLevel="0" collapsed="false">
      <c r="A12" s="12" t="s">
        <v>74</v>
      </c>
      <c r="B12" s="12" t="s">
        <v>75</v>
      </c>
      <c r="C12" s="13" t="s">
        <v>64</v>
      </c>
      <c r="D12" s="13" t="s">
        <v>76</v>
      </c>
      <c r="E12" s="13" t="s">
        <v>77</v>
      </c>
      <c r="F12" s="13" t="s">
        <v>78</v>
      </c>
    </row>
    <row r="14" customFormat="false" ht="43.5" hidden="false" customHeight="true" outlineLevel="0" collapsed="false">
      <c r="A14" s="14" t="s">
        <v>79</v>
      </c>
      <c r="B14" s="15" t="s">
        <v>80</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5"/>
    <col collapsed="false" customWidth="true" hidden="false" outlineLevel="0" max="3" min="3" style="1" width="14"/>
    <col collapsed="false" customWidth="true" hidden="false" outlineLevel="0" max="4" min="4" style="1" width="46"/>
    <col collapsed="false" customWidth="true" hidden="false" outlineLevel="0" max="5" min="5" style="1" width="14"/>
    <col collapsed="false" customWidth="true" hidden="false" outlineLevel="0" max="6" min="6" style="1" width="50"/>
  </cols>
  <sheetData>
    <row r="1" customFormat="false" ht="21.75" hidden="false" customHeight="true" outlineLevel="0" collapsed="false">
      <c r="A1" s="7" t="s">
        <v>81</v>
      </c>
    </row>
    <row r="2" customFormat="false" ht="74.25" hidden="false" customHeight="true" outlineLevel="0" collapsed="false">
      <c r="A2" s="8" t="s">
        <v>82</v>
      </c>
      <c r="B2" s="8"/>
      <c r="C2" s="8"/>
      <c r="D2" s="8"/>
      <c r="E2" s="8"/>
      <c r="F2" s="8"/>
    </row>
    <row r="3" customFormat="false" ht="6" hidden="false" customHeight="true" outlineLevel="0" collapsed="false"/>
    <row r="4" customFormat="false" ht="31.5" hidden="false" customHeight="true" outlineLevel="0" collapsed="false">
      <c r="A4" s="9" t="s">
        <v>83</v>
      </c>
      <c r="B4" s="9" t="s">
        <v>84</v>
      </c>
      <c r="C4" s="9" t="s">
        <v>85</v>
      </c>
      <c r="D4" s="9" t="s">
        <v>86</v>
      </c>
      <c r="E4" s="9" t="s">
        <v>87</v>
      </c>
      <c r="F4" s="9" t="s">
        <v>88</v>
      </c>
    </row>
    <row r="5" customFormat="false" ht="43.5" hidden="false" customHeight="true" outlineLevel="0" collapsed="false">
      <c r="A5" s="10" t="n">
        <v>1</v>
      </c>
      <c r="B5" s="10" t="s">
        <v>89</v>
      </c>
      <c r="C5" s="10" t="s">
        <v>90</v>
      </c>
      <c r="D5" s="11" t="s">
        <v>91</v>
      </c>
      <c r="E5" s="10" t="s">
        <v>92</v>
      </c>
      <c r="F5" s="11" t="s">
        <v>93</v>
      </c>
    </row>
    <row r="6" customFormat="false" ht="43.5" hidden="false" customHeight="true" outlineLevel="0" collapsed="false">
      <c r="A6" s="12" t="n">
        <v>2</v>
      </c>
      <c r="B6" s="12" t="s">
        <v>94</v>
      </c>
      <c r="C6" s="12" t="s">
        <v>90</v>
      </c>
      <c r="D6" s="13" t="s">
        <v>95</v>
      </c>
      <c r="E6" s="12" t="s">
        <v>92</v>
      </c>
      <c r="F6" s="13" t="s">
        <v>96</v>
      </c>
    </row>
    <row r="7" customFormat="false" ht="43.5" hidden="false" customHeight="true" outlineLevel="0" collapsed="false">
      <c r="A7" s="10" t="n">
        <v>3</v>
      </c>
      <c r="B7" s="10" t="s">
        <v>97</v>
      </c>
      <c r="C7" s="10" t="s">
        <v>98</v>
      </c>
      <c r="D7" s="11" t="s">
        <v>99</v>
      </c>
      <c r="E7" s="10" t="s">
        <v>92</v>
      </c>
      <c r="F7" s="11" t="s">
        <v>100</v>
      </c>
    </row>
    <row r="8" customFormat="false" ht="43.5" hidden="false" customHeight="true" outlineLevel="0" collapsed="false">
      <c r="A8" s="12" t="n">
        <v>4</v>
      </c>
      <c r="B8" s="12" t="s">
        <v>101</v>
      </c>
      <c r="C8" s="12" t="s">
        <v>102</v>
      </c>
      <c r="D8" s="13" t="s">
        <v>103</v>
      </c>
      <c r="E8" s="12" t="s">
        <v>92</v>
      </c>
      <c r="F8" s="13" t="s">
        <v>104</v>
      </c>
    </row>
    <row r="9" customFormat="false" ht="43.5" hidden="false" customHeight="true" outlineLevel="0" collapsed="false">
      <c r="A9" s="10" t="n">
        <v>5</v>
      </c>
      <c r="B9" s="10" t="s">
        <v>105</v>
      </c>
      <c r="C9" s="10" t="s">
        <v>98</v>
      </c>
      <c r="D9" s="11" t="s">
        <v>106</v>
      </c>
      <c r="E9" s="10" t="s">
        <v>107</v>
      </c>
      <c r="F9" s="11" t="s">
        <v>108</v>
      </c>
    </row>
    <row r="10" customFormat="false" ht="43.5" hidden="false" customHeight="true" outlineLevel="0" collapsed="false">
      <c r="A10" s="12" t="n">
        <v>6</v>
      </c>
      <c r="B10" s="12" t="s">
        <v>109</v>
      </c>
      <c r="C10" s="12" t="s">
        <v>102</v>
      </c>
      <c r="D10" s="13" t="s">
        <v>110</v>
      </c>
      <c r="E10" s="12" t="s">
        <v>111</v>
      </c>
      <c r="F10" s="13" t="s">
        <v>112</v>
      </c>
    </row>
    <row r="11" customFormat="false" ht="43.5" hidden="false" customHeight="true" outlineLevel="0" collapsed="false">
      <c r="A11" s="10" t="n">
        <v>7</v>
      </c>
      <c r="B11" s="10" t="s">
        <v>113</v>
      </c>
      <c r="C11" s="10" t="s">
        <v>98</v>
      </c>
      <c r="D11" s="11" t="s">
        <v>114</v>
      </c>
      <c r="E11" s="10" t="s">
        <v>115</v>
      </c>
      <c r="F11" s="11" t="s">
        <v>116</v>
      </c>
    </row>
    <row r="12" customFormat="false" ht="43.5" hidden="false" customHeight="true" outlineLevel="0" collapsed="false">
      <c r="A12" s="12" t="n">
        <v>8</v>
      </c>
      <c r="B12" s="12" t="s">
        <v>117</v>
      </c>
      <c r="C12" s="12" t="s">
        <v>102</v>
      </c>
      <c r="D12" s="13" t="s">
        <v>118</v>
      </c>
      <c r="E12" s="12" t="s">
        <v>119</v>
      </c>
      <c r="F12" s="13" t="s">
        <v>120</v>
      </c>
    </row>
    <row r="13" customFormat="false" ht="43.5" hidden="false" customHeight="true" outlineLevel="0" collapsed="false">
      <c r="A13" s="10" t="n">
        <v>9</v>
      </c>
      <c r="B13" s="10" t="s">
        <v>121</v>
      </c>
      <c r="C13" s="10" t="s">
        <v>98</v>
      </c>
      <c r="D13" s="11" t="s">
        <v>122</v>
      </c>
      <c r="E13" s="10" t="s">
        <v>92</v>
      </c>
      <c r="F13" s="11" t="s">
        <v>123</v>
      </c>
    </row>
    <row r="14" customFormat="false" ht="43.5" hidden="false" customHeight="true" outlineLevel="0" collapsed="false">
      <c r="A14" s="12" t="n">
        <v>10</v>
      </c>
      <c r="B14" s="12" t="s">
        <v>124</v>
      </c>
      <c r="C14" s="12" t="s">
        <v>125</v>
      </c>
      <c r="D14" s="13" t="s">
        <v>126</v>
      </c>
      <c r="E14" s="12" t="s">
        <v>119</v>
      </c>
      <c r="F14" s="13" t="s">
        <v>127</v>
      </c>
    </row>
    <row r="15" customFormat="false" ht="43.5" hidden="false" customHeight="true" outlineLevel="0" collapsed="false">
      <c r="A15" s="10" t="n">
        <v>11</v>
      </c>
      <c r="B15" s="10" t="s">
        <v>128</v>
      </c>
      <c r="C15" s="10" t="s">
        <v>98</v>
      </c>
      <c r="D15" s="11" t="s">
        <v>129</v>
      </c>
      <c r="E15" s="10" t="s">
        <v>119</v>
      </c>
      <c r="F15" s="11" t="s">
        <v>130</v>
      </c>
    </row>
    <row r="16" customFormat="false" ht="43.5" hidden="false" customHeight="true" outlineLevel="0" collapsed="false">
      <c r="A16" s="12" t="n">
        <v>12</v>
      </c>
      <c r="B16" s="12" t="s">
        <v>131</v>
      </c>
      <c r="C16" s="12" t="s">
        <v>125</v>
      </c>
      <c r="D16" s="13" t="s">
        <v>38</v>
      </c>
      <c r="E16" s="12" t="s">
        <v>132</v>
      </c>
      <c r="F16" s="13" t="s">
        <v>133</v>
      </c>
    </row>
    <row r="17" customFormat="false" ht="43.5" hidden="false" customHeight="true" outlineLevel="0" collapsed="false">
      <c r="A17" s="10" t="n">
        <v>13</v>
      </c>
      <c r="B17" s="10" t="s">
        <v>134</v>
      </c>
      <c r="C17" s="10" t="s">
        <v>135</v>
      </c>
      <c r="D17" s="11" t="s">
        <v>136</v>
      </c>
      <c r="E17" s="10" t="s">
        <v>137</v>
      </c>
      <c r="F17" s="11" t="s">
        <v>138</v>
      </c>
    </row>
    <row r="18" customFormat="false" ht="43.5" hidden="false" customHeight="true" outlineLevel="0" collapsed="false">
      <c r="A18" s="12" t="n">
        <v>14</v>
      </c>
      <c r="B18" s="12" t="s">
        <v>139</v>
      </c>
      <c r="C18" s="12" t="s">
        <v>102</v>
      </c>
      <c r="D18" s="13" t="s">
        <v>140</v>
      </c>
      <c r="E18" s="12" t="s">
        <v>141</v>
      </c>
      <c r="F18" s="13" t="s">
        <v>142</v>
      </c>
    </row>
    <row r="19" customFormat="false" ht="43.5" hidden="false" customHeight="true" outlineLevel="0" collapsed="false">
      <c r="A19" s="10" t="n">
        <v>15</v>
      </c>
      <c r="B19" s="10" t="s">
        <v>143</v>
      </c>
      <c r="C19" s="10" t="s">
        <v>102</v>
      </c>
      <c r="D19" s="11" t="s">
        <v>144</v>
      </c>
      <c r="E19" s="10" t="s">
        <v>107</v>
      </c>
      <c r="F19" s="11" t="s">
        <v>145</v>
      </c>
    </row>
    <row r="20" customFormat="false" ht="43.5" hidden="false" customHeight="true" outlineLevel="0" collapsed="false">
      <c r="A20" s="12" t="n">
        <v>16</v>
      </c>
      <c r="B20" s="12" t="s">
        <v>146</v>
      </c>
      <c r="C20" s="12" t="s">
        <v>90</v>
      </c>
      <c r="D20" s="13" t="s">
        <v>147</v>
      </c>
      <c r="E20" s="12" t="s">
        <v>111</v>
      </c>
      <c r="F20" s="13" t="s">
        <v>148</v>
      </c>
    </row>
    <row r="21" customFormat="false" ht="60" hidden="false" customHeight="true" outlineLevel="0" collapsed="false">
      <c r="A21" s="10" t="n">
        <v>17</v>
      </c>
      <c r="B21" s="10" t="s">
        <v>149</v>
      </c>
      <c r="C21" s="10" t="s">
        <v>90</v>
      </c>
      <c r="D21" s="11" t="s">
        <v>150</v>
      </c>
      <c r="E21" s="10" t="s">
        <v>107</v>
      </c>
      <c r="F21" s="11" t="s">
        <v>151</v>
      </c>
    </row>
    <row r="22" customFormat="false" ht="60" hidden="false" customHeight="true" outlineLevel="0" collapsed="false">
      <c r="A22" s="12" t="n">
        <v>18</v>
      </c>
      <c r="B22" s="12" t="s">
        <v>152</v>
      </c>
      <c r="C22" s="12" t="s">
        <v>90</v>
      </c>
      <c r="D22" s="13" t="s">
        <v>153</v>
      </c>
      <c r="E22" s="12" t="s">
        <v>107</v>
      </c>
      <c r="F22" s="13" t="s">
        <v>154</v>
      </c>
    </row>
    <row r="23" customFormat="false" ht="60" hidden="false" customHeight="true" outlineLevel="0" collapsed="false">
      <c r="A23" s="10" t="n">
        <v>19</v>
      </c>
      <c r="B23" s="10" t="s">
        <v>155</v>
      </c>
      <c r="C23" s="10" t="s">
        <v>102</v>
      </c>
      <c r="D23" s="11" t="s">
        <v>156</v>
      </c>
      <c r="E23" s="10" t="s">
        <v>92</v>
      </c>
      <c r="F23" s="11" t="s">
        <v>157</v>
      </c>
    </row>
    <row r="24" customFormat="false" ht="60" hidden="false" customHeight="true" outlineLevel="0" collapsed="false">
      <c r="A24" s="12" t="n">
        <v>20</v>
      </c>
      <c r="B24" s="12" t="s">
        <v>158</v>
      </c>
      <c r="C24" s="12" t="s">
        <v>135</v>
      </c>
      <c r="D24" s="13" t="s">
        <v>159</v>
      </c>
      <c r="E24" s="12" t="s">
        <v>92</v>
      </c>
      <c r="F24" s="13" t="s">
        <v>160</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40"/>
    <col collapsed="false" customWidth="true" hidden="false" outlineLevel="0" max="3" min="3" style="1" width="34"/>
    <col collapsed="false" customWidth="true" hidden="false" outlineLevel="0" max="4" min="4" style="1" width="44"/>
    <col collapsed="false" customWidth="true" hidden="false" outlineLevel="0" max="5" min="5" style="1" width="34"/>
    <col collapsed="false" customWidth="true" hidden="false" outlineLevel="0" max="6" min="6" style="1" width="44"/>
    <col collapsed="false" customWidth="true" hidden="false" outlineLevel="0" max="7" min="7" style="1" width="32"/>
  </cols>
  <sheetData>
    <row r="1" customFormat="false" ht="21.75" hidden="false" customHeight="true" outlineLevel="0" collapsed="false">
      <c r="A1" s="7" t="s">
        <v>161</v>
      </c>
    </row>
    <row r="2" customFormat="false" ht="74.25" hidden="false" customHeight="true" outlineLevel="0" collapsed="false">
      <c r="A2" s="8" t="s">
        <v>162</v>
      </c>
      <c r="B2" s="8"/>
      <c r="C2" s="8"/>
      <c r="D2" s="8"/>
      <c r="E2" s="8"/>
      <c r="F2" s="8"/>
      <c r="G2" s="8"/>
    </row>
    <row r="3" customFormat="false" ht="6" hidden="false" customHeight="true" outlineLevel="0" collapsed="false"/>
    <row r="4" customFormat="false" ht="31.5" hidden="false" customHeight="true" outlineLevel="0" collapsed="false">
      <c r="A4" s="9" t="s">
        <v>163</v>
      </c>
      <c r="B4" s="9" t="s">
        <v>164</v>
      </c>
      <c r="C4" s="9" t="s">
        <v>165</v>
      </c>
      <c r="D4" s="9" t="s">
        <v>166</v>
      </c>
      <c r="E4" s="9" t="s">
        <v>167</v>
      </c>
      <c r="F4" s="9" t="s">
        <v>168</v>
      </c>
      <c r="G4" s="9" t="s">
        <v>169</v>
      </c>
    </row>
    <row r="5" customFormat="false" ht="117.75" hidden="false" customHeight="true" outlineLevel="0" collapsed="false">
      <c r="A5" s="10" t="s">
        <v>170</v>
      </c>
      <c r="B5" s="11" t="s">
        <v>171</v>
      </c>
      <c r="C5" s="11" t="s">
        <v>172</v>
      </c>
      <c r="D5" s="11" t="s">
        <v>173</v>
      </c>
      <c r="E5" s="11" t="s">
        <v>174</v>
      </c>
      <c r="F5" s="11" t="s">
        <v>175</v>
      </c>
      <c r="G5" s="11" t="s">
        <v>176</v>
      </c>
    </row>
    <row r="6" customFormat="false" ht="117.75" hidden="false" customHeight="true" outlineLevel="0" collapsed="false">
      <c r="A6" s="12" t="s">
        <v>177</v>
      </c>
      <c r="B6" s="13" t="s">
        <v>178</v>
      </c>
      <c r="C6" s="13" t="s">
        <v>179</v>
      </c>
      <c r="D6" s="13" t="s">
        <v>180</v>
      </c>
      <c r="E6" s="13" t="s">
        <v>181</v>
      </c>
      <c r="F6" s="13" t="s">
        <v>182</v>
      </c>
      <c r="G6" s="13" t="s">
        <v>183</v>
      </c>
    </row>
    <row r="7" customFormat="false" ht="117.75" hidden="false" customHeight="true" outlineLevel="0" collapsed="false">
      <c r="A7" s="10" t="s">
        <v>184</v>
      </c>
      <c r="B7" s="11" t="s">
        <v>185</v>
      </c>
      <c r="C7" s="11" t="s">
        <v>186</v>
      </c>
      <c r="D7" s="11" t="s">
        <v>187</v>
      </c>
      <c r="E7" s="11" t="s">
        <v>188</v>
      </c>
      <c r="F7" s="11" t="s">
        <v>189</v>
      </c>
      <c r="G7" s="11" t="s">
        <v>190</v>
      </c>
    </row>
    <row r="8" customFormat="false" ht="117.75" hidden="false" customHeight="true" outlineLevel="0" collapsed="false">
      <c r="A8" s="12" t="s">
        <v>191</v>
      </c>
      <c r="B8" s="13" t="s">
        <v>192</v>
      </c>
      <c r="C8" s="13" t="s">
        <v>193</v>
      </c>
      <c r="D8" s="13" t="s">
        <v>194</v>
      </c>
      <c r="E8" s="13" t="s">
        <v>195</v>
      </c>
      <c r="F8" s="13" t="s">
        <v>196</v>
      </c>
      <c r="G8" s="13" t="s">
        <v>197</v>
      </c>
    </row>
    <row r="10" customFormat="false" ht="48" hidden="false" customHeight="true" outlineLevel="0" collapsed="false">
      <c r="A10" s="14" t="s">
        <v>198</v>
      </c>
      <c r="B10" s="15" t="s">
        <v>199</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6"/>
    <col collapsed="false" customWidth="true" hidden="false" outlineLevel="0" max="3" min="3" style="1" width="42"/>
    <col collapsed="false" customWidth="true" hidden="false" outlineLevel="0" max="4" min="4" style="1" width="52"/>
  </cols>
  <sheetData>
    <row r="1" customFormat="false" ht="21.75" hidden="false" customHeight="true" outlineLevel="0" collapsed="false">
      <c r="A1" s="7" t="s">
        <v>200</v>
      </c>
    </row>
    <row r="2" customFormat="false" ht="74.25" hidden="false" customHeight="true" outlineLevel="0" collapsed="false">
      <c r="A2" s="8" t="s">
        <v>201</v>
      </c>
      <c r="B2" s="8"/>
      <c r="C2" s="8"/>
      <c r="D2" s="8"/>
    </row>
    <row r="3" customFormat="false" ht="6" hidden="false" customHeight="true" outlineLevel="0" collapsed="false"/>
    <row r="4" customFormat="false" ht="31.5" hidden="false" customHeight="true" outlineLevel="0" collapsed="false">
      <c r="A4" s="9" t="s">
        <v>202</v>
      </c>
      <c r="B4" s="9" t="s">
        <v>203</v>
      </c>
      <c r="C4" s="9" t="s">
        <v>204</v>
      </c>
      <c r="D4" s="9" t="s">
        <v>205</v>
      </c>
    </row>
    <row r="5" customFormat="false" ht="45.75" hidden="false" customHeight="true" outlineLevel="0" collapsed="false">
      <c r="A5" s="10" t="s">
        <v>206</v>
      </c>
      <c r="B5" s="11" t="s">
        <v>207</v>
      </c>
      <c r="C5" s="11" t="s">
        <v>208</v>
      </c>
      <c r="D5" s="11" t="s">
        <v>209</v>
      </c>
    </row>
    <row r="6" customFormat="false" ht="45.75" hidden="false" customHeight="true" outlineLevel="0" collapsed="false">
      <c r="A6" s="12" t="s">
        <v>210</v>
      </c>
      <c r="B6" s="13" t="s">
        <v>211</v>
      </c>
      <c r="C6" s="13" t="s">
        <v>212</v>
      </c>
      <c r="D6" s="13" t="s">
        <v>213</v>
      </c>
    </row>
    <row r="7" customFormat="false" ht="45.75" hidden="false" customHeight="true" outlineLevel="0" collapsed="false">
      <c r="A7" s="10" t="s">
        <v>214</v>
      </c>
      <c r="B7" s="11" t="s">
        <v>215</v>
      </c>
      <c r="C7" s="11" t="s">
        <v>216</v>
      </c>
      <c r="D7" s="11" t="s">
        <v>217</v>
      </c>
    </row>
    <row r="8" customFormat="false" ht="45.75" hidden="false" customHeight="true" outlineLevel="0" collapsed="false">
      <c r="A8" s="12" t="s">
        <v>218</v>
      </c>
      <c r="B8" s="13" t="s">
        <v>219</v>
      </c>
      <c r="C8" s="13" t="s">
        <v>220</v>
      </c>
      <c r="D8" s="13" t="s">
        <v>221</v>
      </c>
    </row>
    <row r="9" customFormat="false" ht="45.75" hidden="false" customHeight="true" outlineLevel="0" collapsed="false">
      <c r="A9" s="10" t="s">
        <v>89</v>
      </c>
      <c r="B9" s="11" t="s">
        <v>222</v>
      </c>
      <c r="C9" s="11" t="s">
        <v>223</v>
      </c>
      <c r="D9" s="11" t="s">
        <v>224</v>
      </c>
    </row>
    <row r="11" customFormat="false" ht="15" hidden="false" customHeight="true" outlineLevel="0" collapsed="false">
      <c r="A11" s="16" t="s">
        <v>225</v>
      </c>
    </row>
    <row r="12" customFormat="false" ht="25.5" hidden="false" customHeight="true" outlineLevel="0" collapsed="false">
      <c r="A12" s="9" t="s">
        <v>226</v>
      </c>
      <c r="B12" s="9" t="s">
        <v>227</v>
      </c>
      <c r="C12" s="9" t="s">
        <v>228</v>
      </c>
      <c r="D12" s="9" t="s">
        <v>229</v>
      </c>
      <c r="E12" s="9" t="s">
        <v>230</v>
      </c>
    </row>
    <row r="13" customFormat="false" ht="61.5" hidden="false" customHeight="true" outlineLevel="0" collapsed="false">
      <c r="A13" s="11" t="s">
        <v>231</v>
      </c>
      <c r="B13" s="11" t="s">
        <v>184</v>
      </c>
      <c r="C13" s="11" t="s">
        <v>232</v>
      </c>
      <c r="D13" s="11" t="s">
        <v>233</v>
      </c>
      <c r="E13" s="11" t="s">
        <v>234</v>
      </c>
    </row>
    <row r="14" customFormat="false" ht="61.5" hidden="false" customHeight="true" outlineLevel="0" collapsed="false">
      <c r="A14" s="13" t="s">
        <v>235</v>
      </c>
      <c r="B14" s="13" t="s">
        <v>236</v>
      </c>
      <c r="C14" s="13" t="s">
        <v>237</v>
      </c>
      <c r="D14" s="13" t="s">
        <v>238</v>
      </c>
      <c r="E14" s="13" t="s">
        <v>239</v>
      </c>
    </row>
    <row r="15" customFormat="false" ht="61.5" hidden="false" customHeight="true" outlineLevel="0" collapsed="false">
      <c r="A15" s="11" t="s">
        <v>240</v>
      </c>
      <c r="B15" s="11" t="s">
        <v>241</v>
      </c>
      <c r="C15" s="11" t="s">
        <v>242</v>
      </c>
      <c r="D15" s="11" t="s">
        <v>243</v>
      </c>
      <c r="E15" s="11" t="s">
        <v>244</v>
      </c>
    </row>
    <row r="16" customFormat="false" ht="61.5" hidden="false" customHeight="true" outlineLevel="0" collapsed="false">
      <c r="A16" s="13" t="s">
        <v>245</v>
      </c>
      <c r="B16" s="13" t="s">
        <v>246</v>
      </c>
      <c r="C16" s="13" t="s">
        <v>247</v>
      </c>
      <c r="D16" s="13" t="s">
        <v>248</v>
      </c>
      <c r="E16" s="13" t="s">
        <v>249</v>
      </c>
    </row>
    <row r="18" customFormat="false" ht="15" hidden="false" customHeight="true" outlineLevel="0" collapsed="false">
      <c r="A18" s="16" t="s">
        <v>250</v>
      </c>
    </row>
    <row r="19" customFormat="false" ht="15" hidden="false" customHeight="true" outlineLevel="0" collapsed="false">
      <c r="A19" s="9" t="s">
        <v>251</v>
      </c>
      <c r="B19" s="9" t="s">
        <v>252</v>
      </c>
      <c r="C19" s="9" t="s">
        <v>253</v>
      </c>
      <c r="D19" s="9" t="s">
        <v>254</v>
      </c>
    </row>
    <row r="20" customFormat="false" ht="33.75" hidden="false" customHeight="true" outlineLevel="0" collapsed="false">
      <c r="A20" s="11" t="s">
        <v>255</v>
      </c>
      <c r="B20" s="11" t="s">
        <v>256</v>
      </c>
      <c r="C20" s="11" t="s">
        <v>257</v>
      </c>
      <c r="D20" s="11" t="s">
        <v>258</v>
      </c>
    </row>
    <row r="21" customFormat="false" ht="33.75" hidden="false" customHeight="true" outlineLevel="0" collapsed="false">
      <c r="A21" s="13" t="s">
        <v>259</v>
      </c>
      <c r="B21" s="13" t="s">
        <v>260</v>
      </c>
      <c r="C21" s="13" t="s">
        <v>261</v>
      </c>
      <c r="D21" s="13" t="s">
        <v>262</v>
      </c>
    </row>
    <row r="22" customFormat="false" ht="33.75" hidden="false" customHeight="true" outlineLevel="0" collapsed="false">
      <c r="A22" s="11" t="s">
        <v>263</v>
      </c>
      <c r="B22" s="11" t="s">
        <v>264</v>
      </c>
      <c r="C22" s="11" t="s">
        <v>265</v>
      </c>
      <c r="D22" s="11" t="s">
        <v>266</v>
      </c>
    </row>
    <row r="23" customFormat="false" ht="33.75" hidden="false" customHeight="true" outlineLevel="0" collapsed="false">
      <c r="A23" s="13" t="s">
        <v>267</v>
      </c>
      <c r="B23" s="13" t="s">
        <v>268</v>
      </c>
      <c r="C23" s="13" t="s">
        <v>269</v>
      </c>
      <c r="D23" s="13" t="s">
        <v>270</v>
      </c>
    </row>
    <row r="24" customFormat="false" ht="33.75" hidden="false" customHeight="true" outlineLevel="0" collapsed="false">
      <c r="A24" s="11" t="s">
        <v>271</v>
      </c>
      <c r="B24" s="11" t="s">
        <v>272</v>
      </c>
      <c r="C24" s="11" t="s">
        <v>273</v>
      </c>
      <c r="D24" s="11" t="s">
        <v>274</v>
      </c>
    </row>
    <row r="25" customFormat="false" ht="33.75" hidden="false" customHeight="true" outlineLevel="0" collapsed="false">
      <c r="A25" s="13" t="s">
        <v>275</v>
      </c>
      <c r="B25" s="13" t="s">
        <v>276</v>
      </c>
      <c r="C25" s="13" t="s">
        <v>277</v>
      </c>
      <c r="D25" s="13" t="s">
        <v>258</v>
      </c>
    </row>
    <row r="26" customFormat="false" ht="33.75" hidden="false" customHeight="true" outlineLevel="0" collapsed="false">
      <c r="A26" s="11" t="s">
        <v>278</v>
      </c>
      <c r="B26" s="11" t="s">
        <v>279</v>
      </c>
      <c r="C26" s="11" t="s">
        <v>280</v>
      </c>
      <c r="D26" s="11" t="s">
        <v>281</v>
      </c>
    </row>
    <row r="27" customFormat="false" ht="33.75" hidden="false" customHeight="true" outlineLevel="0" collapsed="false">
      <c r="A27" s="13" t="s">
        <v>282</v>
      </c>
      <c r="B27" s="13" t="s">
        <v>283</v>
      </c>
      <c r="C27" s="13" t="s">
        <v>284</v>
      </c>
      <c r="D27" s="13" t="s">
        <v>285</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52"/>
    <col collapsed="false" customWidth="true" hidden="false" outlineLevel="0" max="3" min="3" style="1" width="48"/>
    <col collapsed="false" customWidth="true" hidden="false" outlineLevel="0" max="4" min="4" style="1" width="50"/>
  </cols>
  <sheetData>
    <row r="1" customFormat="false" ht="21.75" hidden="false" customHeight="true" outlineLevel="0" collapsed="false">
      <c r="A1" s="7" t="s">
        <v>286</v>
      </c>
    </row>
    <row r="2" customFormat="false" ht="74.25" hidden="false" customHeight="true" outlineLevel="0" collapsed="false">
      <c r="A2" s="8" t="s">
        <v>287</v>
      </c>
      <c r="B2" s="8"/>
      <c r="C2" s="8"/>
      <c r="D2" s="8"/>
    </row>
    <row r="3" customFormat="false" ht="6" hidden="false" customHeight="true" outlineLevel="0" collapsed="false"/>
    <row r="4" customFormat="false" ht="31.5" hidden="false" customHeight="true" outlineLevel="0" collapsed="false">
      <c r="A4" s="9" t="s">
        <v>288</v>
      </c>
      <c r="B4" s="9" t="s">
        <v>289</v>
      </c>
      <c r="C4" s="9" t="s">
        <v>290</v>
      </c>
      <c r="D4" s="9" t="s">
        <v>291</v>
      </c>
    </row>
    <row r="5" customFormat="false" ht="84" hidden="false" customHeight="true" outlineLevel="0" collapsed="false">
      <c r="A5" s="10" t="s">
        <v>292</v>
      </c>
      <c r="B5" s="11" t="s">
        <v>293</v>
      </c>
      <c r="C5" s="11" t="s">
        <v>294</v>
      </c>
      <c r="D5" s="11" t="s">
        <v>295</v>
      </c>
    </row>
    <row r="6" customFormat="false" ht="84" hidden="false" customHeight="true" outlineLevel="0" collapsed="false">
      <c r="A6" s="12" t="s">
        <v>296</v>
      </c>
      <c r="B6" s="13" t="s">
        <v>297</v>
      </c>
      <c r="C6" s="13" t="s">
        <v>298</v>
      </c>
      <c r="D6" s="13" t="s">
        <v>299</v>
      </c>
    </row>
    <row r="7" customFormat="false" ht="84" hidden="false" customHeight="true" outlineLevel="0" collapsed="false">
      <c r="A7" s="10" t="s">
        <v>300</v>
      </c>
      <c r="B7" s="11" t="s">
        <v>301</v>
      </c>
      <c r="C7" s="11" t="s">
        <v>302</v>
      </c>
      <c r="D7" s="11" t="s">
        <v>303</v>
      </c>
    </row>
    <row r="8" customFormat="false" ht="84" hidden="false" customHeight="true" outlineLevel="0" collapsed="false">
      <c r="A8" s="12" t="s">
        <v>304</v>
      </c>
      <c r="B8" s="13" t="s">
        <v>305</v>
      </c>
      <c r="C8" s="13" t="s">
        <v>306</v>
      </c>
      <c r="D8" s="13" t="s">
        <v>307</v>
      </c>
    </row>
    <row r="9" customFormat="false" ht="84" hidden="false" customHeight="true" outlineLevel="0" collapsed="false">
      <c r="A9" s="10" t="s">
        <v>308</v>
      </c>
      <c r="B9" s="11" t="s">
        <v>309</v>
      </c>
      <c r="C9" s="11" t="s">
        <v>310</v>
      </c>
      <c r="D9" s="11" t="s">
        <v>311</v>
      </c>
    </row>
    <row r="10" customFormat="false" ht="84" hidden="false" customHeight="true" outlineLevel="0" collapsed="false">
      <c r="A10" s="12" t="s">
        <v>312</v>
      </c>
      <c r="B10" s="13" t="s">
        <v>313</v>
      </c>
      <c r="C10" s="13" t="s">
        <v>314</v>
      </c>
      <c r="D10" s="13" t="s">
        <v>315</v>
      </c>
    </row>
    <row r="12" customFormat="false" ht="15" hidden="false" customHeight="true" outlineLevel="0" collapsed="false">
      <c r="A12" s="16" t="s">
        <v>316</v>
      </c>
    </row>
    <row r="13" customFormat="false" ht="57" hidden="false" customHeight="true" outlineLevel="0" collapsed="false">
      <c r="A13" s="9" t="s">
        <v>317</v>
      </c>
      <c r="B13" s="9" t="s">
        <v>318</v>
      </c>
      <c r="C13" s="9" t="s">
        <v>319</v>
      </c>
      <c r="D13" s="9" t="s">
        <v>320</v>
      </c>
      <c r="E13" s="9" t="s">
        <v>321</v>
      </c>
      <c r="F13" s="9" t="s">
        <v>322</v>
      </c>
    </row>
    <row r="14" customFormat="false" ht="23.25" hidden="false" customHeight="true" outlineLevel="0" collapsed="false">
      <c r="A14" s="11" t="s">
        <v>323</v>
      </c>
      <c r="B14" s="11" t="s">
        <v>324</v>
      </c>
      <c r="C14" s="11" t="n">
        <v>3</v>
      </c>
      <c r="D14" s="11" t="n">
        <v>-20</v>
      </c>
      <c r="E14" s="11" t="n">
        <v>40</v>
      </c>
      <c r="F14" s="11" t="s">
        <v>325</v>
      </c>
    </row>
    <row r="15" customFormat="false" ht="15" hidden="false" customHeight="true" outlineLevel="0" collapsed="false">
      <c r="A15" s="13" t="s">
        <v>326</v>
      </c>
      <c r="B15" s="13" t="s">
        <v>327</v>
      </c>
      <c r="C15" s="13" t="n">
        <v>2</v>
      </c>
      <c r="D15" s="13" t="n">
        <v>-15</v>
      </c>
      <c r="E15" s="13" t="n">
        <v>45</v>
      </c>
      <c r="F15" s="13" t="s">
        <v>328</v>
      </c>
    </row>
    <row r="16" customFormat="false" ht="15" hidden="false" customHeight="true" outlineLevel="0" collapsed="false">
      <c r="A16" s="11" t="s">
        <v>329</v>
      </c>
      <c r="B16" s="11" t="s">
        <v>330</v>
      </c>
      <c r="C16" s="11" t="n">
        <v>2</v>
      </c>
      <c r="D16" s="11" t="n">
        <v>-12</v>
      </c>
      <c r="E16" s="11" t="n">
        <v>36</v>
      </c>
      <c r="F16" s="11" t="s">
        <v>331</v>
      </c>
    </row>
    <row r="17" customFormat="false" ht="15" hidden="false" customHeight="true" outlineLevel="0" collapsed="false">
      <c r="A17" s="13" t="s">
        <v>332</v>
      </c>
      <c r="B17" s="13" t="s">
        <v>333</v>
      </c>
      <c r="C17" s="13" t="n">
        <v>2</v>
      </c>
      <c r="D17" s="13" t="n">
        <v>-10</v>
      </c>
      <c r="E17" s="13" t="n">
        <v>30</v>
      </c>
      <c r="F17" s="13" t="s">
        <v>334</v>
      </c>
    </row>
    <row r="18" customFormat="false" ht="15" hidden="false" customHeight="true" outlineLevel="0" collapsed="false">
      <c r="A18" s="11" t="s">
        <v>335</v>
      </c>
      <c r="B18" s="11" t="s">
        <v>336</v>
      </c>
      <c r="C18" s="11" t="n">
        <v>3</v>
      </c>
      <c r="D18" s="11" t="n">
        <v>-8</v>
      </c>
      <c r="E18" s="11" t="n">
        <v>24</v>
      </c>
      <c r="F18" s="11" t="s">
        <v>337</v>
      </c>
    </row>
    <row r="19" customFormat="false" ht="15" hidden="false" customHeight="true" outlineLevel="0" collapsed="false">
      <c r="A19" s="13" t="s">
        <v>338</v>
      </c>
      <c r="B19" s="13" t="s">
        <v>339</v>
      </c>
      <c r="C19" s="13" t="n">
        <v>3</v>
      </c>
      <c r="D19" s="13" t="n">
        <v>-6</v>
      </c>
      <c r="E19" s="13" t="n">
        <v>18</v>
      </c>
      <c r="F19" s="13" t="s">
        <v>340</v>
      </c>
    </row>
    <row r="21" customFormat="false" ht="15" hidden="false" customHeight="true" outlineLevel="0" collapsed="false">
      <c r="A21" s="16" t="s">
        <v>341</v>
      </c>
    </row>
    <row r="22" customFormat="false" ht="15" hidden="false" customHeight="true" outlineLevel="0" collapsed="false">
      <c r="A22" s="9" t="s">
        <v>83</v>
      </c>
      <c r="B22" s="9" t="s">
        <v>342</v>
      </c>
      <c r="C22" s="9" t="s">
        <v>343</v>
      </c>
      <c r="D22" s="9" t="s">
        <v>344</v>
      </c>
    </row>
    <row r="23" customFormat="false" ht="72" hidden="false" customHeight="true" outlineLevel="0" collapsed="false">
      <c r="A23" s="11" t="n">
        <v>1</v>
      </c>
      <c r="B23" s="11" t="s">
        <v>345</v>
      </c>
      <c r="C23" s="11" t="s">
        <v>346</v>
      </c>
      <c r="D23" s="11" t="s">
        <v>347</v>
      </c>
    </row>
    <row r="24" customFormat="false" ht="72" hidden="false" customHeight="true" outlineLevel="0" collapsed="false">
      <c r="A24" s="13" t="n">
        <v>2</v>
      </c>
      <c r="B24" s="13" t="s">
        <v>348</v>
      </c>
      <c r="C24" s="13" t="s">
        <v>349</v>
      </c>
      <c r="D24" s="13" t="s">
        <v>350</v>
      </c>
    </row>
    <row r="25" customFormat="false" ht="72" hidden="false" customHeight="true" outlineLevel="0" collapsed="false">
      <c r="A25" s="11" t="n">
        <v>3</v>
      </c>
      <c r="B25" s="11" t="s">
        <v>351</v>
      </c>
      <c r="C25" s="11" t="s">
        <v>352</v>
      </c>
      <c r="D25" s="11" t="s">
        <v>353</v>
      </c>
    </row>
    <row r="26" customFormat="false" ht="72" hidden="false" customHeight="true" outlineLevel="0" collapsed="false">
      <c r="A26" s="13" t="n">
        <v>4</v>
      </c>
      <c r="B26" s="13" t="s">
        <v>354</v>
      </c>
      <c r="C26" s="13" t="s">
        <v>355</v>
      </c>
      <c r="D26" s="13" t="s">
        <v>356</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
    <col collapsed="false" customWidth="true" hidden="false" outlineLevel="0" max="3" min="3" style="1" width="22"/>
    <col collapsed="false" customWidth="true" hidden="false" outlineLevel="0" max="4" min="4" style="1" width="52"/>
    <col collapsed="false" customWidth="true" hidden="false" outlineLevel="0" max="5" min="5" style="1" width="46"/>
  </cols>
  <sheetData>
    <row r="1" customFormat="false" ht="21.75" hidden="false" customHeight="true" outlineLevel="0" collapsed="false">
      <c r="A1" s="7" t="s">
        <v>357</v>
      </c>
    </row>
    <row r="2" customFormat="false" ht="74.25" hidden="false" customHeight="true" outlineLevel="0" collapsed="false">
      <c r="A2" s="8" t="s">
        <v>358</v>
      </c>
      <c r="B2" s="8"/>
      <c r="C2" s="8"/>
      <c r="D2" s="8"/>
      <c r="E2" s="8"/>
    </row>
    <row r="3" customFormat="false" ht="6" hidden="false" customHeight="true" outlineLevel="0" collapsed="false"/>
    <row r="4" customFormat="false" ht="31.5" hidden="false" customHeight="true" outlineLevel="0" collapsed="false">
      <c r="A4" s="9" t="s">
        <v>359</v>
      </c>
      <c r="B4" s="9" t="s">
        <v>360</v>
      </c>
      <c r="C4" s="9" t="s">
        <v>361</v>
      </c>
      <c r="D4" s="9" t="s">
        <v>164</v>
      </c>
      <c r="E4" s="9" t="s">
        <v>362</v>
      </c>
    </row>
    <row r="5" customFormat="false" ht="33.75" hidden="false" customHeight="true" outlineLevel="0" collapsed="false">
      <c r="A5" s="10" t="s">
        <v>363</v>
      </c>
      <c r="B5" s="10" t="s">
        <v>364</v>
      </c>
      <c r="C5" s="10" t="s">
        <v>365</v>
      </c>
      <c r="D5" s="11" t="s">
        <v>366</v>
      </c>
      <c r="E5" s="11" t="s">
        <v>367</v>
      </c>
    </row>
    <row r="6" customFormat="false" ht="33.75" hidden="false" customHeight="true" outlineLevel="0" collapsed="false">
      <c r="A6" s="12" t="s">
        <v>368</v>
      </c>
      <c r="B6" s="12" t="s">
        <v>369</v>
      </c>
      <c r="C6" s="12" t="s">
        <v>258</v>
      </c>
      <c r="D6" s="13" t="s">
        <v>370</v>
      </c>
      <c r="E6" s="13" t="s">
        <v>371</v>
      </c>
    </row>
    <row r="7" customFormat="false" ht="33.75" hidden="false" customHeight="true" outlineLevel="0" collapsed="false">
      <c r="A7" s="10" t="s">
        <v>372</v>
      </c>
      <c r="B7" s="10" t="s">
        <v>369</v>
      </c>
      <c r="C7" s="10" t="s">
        <v>262</v>
      </c>
      <c r="D7" s="11" t="s">
        <v>373</v>
      </c>
      <c r="E7" s="11" t="s">
        <v>374</v>
      </c>
    </row>
    <row r="8" customFormat="false" ht="33.75" hidden="false" customHeight="true" outlineLevel="0" collapsed="false">
      <c r="A8" s="12" t="s">
        <v>375</v>
      </c>
      <c r="B8" s="12" t="s">
        <v>376</v>
      </c>
      <c r="C8" s="12" t="s">
        <v>262</v>
      </c>
      <c r="D8" s="13" t="s">
        <v>377</v>
      </c>
      <c r="E8" s="13" t="s">
        <v>378</v>
      </c>
    </row>
    <row r="9" customFormat="false" ht="33.75" hidden="false" customHeight="true" outlineLevel="0" collapsed="false">
      <c r="A9" s="10" t="s">
        <v>282</v>
      </c>
      <c r="B9" s="10" t="s">
        <v>369</v>
      </c>
      <c r="C9" s="10" t="s">
        <v>285</v>
      </c>
      <c r="D9" s="11" t="s">
        <v>379</v>
      </c>
      <c r="E9" s="11" t="s">
        <v>380</v>
      </c>
    </row>
    <row r="10" customFormat="false" ht="33.75" hidden="false" customHeight="true" outlineLevel="0" collapsed="false">
      <c r="A10" s="12" t="s">
        <v>381</v>
      </c>
      <c r="B10" s="12" t="s">
        <v>382</v>
      </c>
      <c r="C10" s="12" t="s">
        <v>285</v>
      </c>
      <c r="D10" s="13" t="s">
        <v>383</v>
      </c>
      <c r="E10" s="13" t="s">
        <v>384</v>
      </c>
    </row>
    <row r="11" customFormat="false" ht="33.75" hidden="false" customHeight="true" outlineLevel="0" collapsed="false">
      <c r="A11" s="10" t="s">
        <v>385</v>
      </c>
      <c r="B11" s="10" t="s">
        <v>369</v>
      </c>
      <c r="C11" s="10" t="s">
        <v>258</v>
      </c>
      <c r="D11" s="11" t="s">
        <v>386</v>
      </c>
      <c r="E11" s="11" t="s">
        <v>387</v>
      </c>
    </row>
    <row r="12" customFormat="false" ht="33.75" hidden="false" customHeight="true" outlineLevel="0" collapsed="false">
      <c r="A12" s="12" t="s">
        <v>267</v>
      </c>
      <c r="B12" s="12" t="s">
        <v>376</v>
      </c>
      <c r="C12" s="12" t="s">
        <v>270</v>
      </c>
      <c r="D12" s="13" t="s">
        <v>388</v>
      </c>
      <c r="E12" s="13" t="s">
        <v>389</v>
      </c>
    </row>
    <row r="13" customFormat="false" ht="33.75" hidden="false" customHeight="true" outlineLevel="0" collapsed="false">
      <c r="A13" s="10" t="s">
        <v>390</v>
      </c>
      <c r="B13" s="10" t="s">
        <v>382</v>
      </c>
      <c r="C13" s="10" t="s">
        <v>270</v>
      </c>
      <c r="D13" s="11" t="s">
        <v>391</v>
      </c>
      <c r="E13" s="11" t="s">
        <v>392</v>
      </c>
    </row>
    <row r="14" customFormat="false" ht="33.75" hidden="false" customHeight="true" outlineLevel="0" collapsed="false">
      <c r="A14" s="12" t="s">
        <v>393</v>
      </c>
      <c r="B14" s="12" t="s">
        <v>364</v>
      </c>
      <c r="C14" s="12" t="s">
        <v>394</v>
      </c>
      <c r="D14" s="13" t="s">
        <v>395</v>
      </c>
      <c r="E14" s="13" t="s">
        <v>396</v>
      </c>
    </row>
    <row r="15" customFormat="false" ht="33.75" hidden="false" customHeight="true" outlineLevel="0" collapsed="false">
      <c r="A15" s="10" t="s">
        <v>397</v>
      </c>
      <c r="B15" s="10" t="s">
        <v>364</v>
      </c>
      <c r="C15" s="10" t="s">
        <v>398</v>
      </c>
      <c r="D15" s="11" t="s">
        <v>399</v>
      </c>
      <c r="E15" s="11" t="s">
        <v>400</v>
      </c>
    </row>
    <row r="16" customFormat="false" ht="33.75" hidden="false" customHeight="true" outlineLevel="0" collapsed="false">
      <c r="A16" s="12" t="s">
        <v>401</v>
      </c>
      <c r="B16" s="12" t="s">
        <v>369</v>
      </c>
      <c r="C16" s="12" t="s">
        <v>281</v>
      </c>
      <c r="D16" s="13" t="s">
        <v>402</v>
      </c>
      <c r="E16" s="13" t="s">
        <v>403</v>
      </c>
    </row>
    <row r="17" customFormat="false" ht="33.75" hidden="false" customHeight="true" outlineLevel="0" collapsed="false">
      <c r="A17" s="10" t="s">
        <v>404</v>
      </c>
      <c r="B17" s="10" t="s">
        <v>364</v>
      </c>
      <c r="C17" s="10" t="s">
        <v>405</v>
      </c>
      <c r="D17" s="11" t="s">
        <v>406</v>
      </c>
      <c r="E17" s="11" t="s">
        <v>407</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26"/>
    <col collapsed="false" customWidth="true" hidden="false" outlineLevel="0" max="4" min="4" style="1" width="52"/>
    <col collapsed="false" customWidth="true" hidden="false" outlineLevel="0" max="5" min="5" style="1" width="40"/>
  </cols>
  <sheetData>
    <row r="1" customFormat="false" ht="21.75" hidden="false" customHeight="true" outlineLevel="0" collapsed="false">
      <c r="A1" s="7" t="s">
        <v>408</v>
      </c>
    </row>
    <row r="2" customFormat="false" ht="74.25" hidden="false" customHeight="true" outlineLevel="0" collapsed="false">
      <c r="A2" s="8" t="s">
        <v>409</v>
      </c>
      <c r="B2" s="8"/>
      <c r="C2" s="8"/>
      <c r="D2" s="8"/>
      <c r="E2" s="8"/>
    </row>
    <row r="3" customFormat="false" ht="6" hidden="false" customHeight="true" outlineLevel="0" collapsed="false"/>
    <row r="4" customFormat="false" ht="31.5" hidden="false" customHeight="true" outlineLevel="0" collapsed="false">
      <c r="A4" s="9" t="s">
        <v>410</v>
      </c>
      <c r="B4" s="9" t="s">
        <v>361</v>
      </c>
      <c r="C4" s="9" t="s">
        <v>411</v>
      </c>
      <c r="D4" s="9" t="s">
        <v>412</v>
      </c>
      <c r="E4" s="9" t="s">
        <v>413</v>
      </c>
    </row>
    <row r="5" customFormat="false" ht="42" hidden="false" customHeight="true" outlineLevel="0" collapsed="false">
      <c r="A5" s="10" t="s">
        <v>414</v>
      </c>
      <c r="B5" s="10" t="s">
        <v>285</v>
      </c>
      <c r="C5" s="10" t="s">
        <v>415</v>
      </c>
      <c r="D5" s="11" t="s">
        <v>416</v>
      </c>
      <c r="E5" s="11" t="s">
        <v>417</v>
      </c>
    </row>
    <row r="6" customFormat="false" ht="42" hidden="false" customHeight="true" outlineLevel="0" collapsed="false">
      <c r="A6" s="12" t="s">
        <v>418</v>
      </c>
      <c r="B6" s="12" t="s">
        <v>419</v>
      </c>
      <c r="C6" s="12" t="s">
        <v>420</v>
      </c>
      <c r="D6" s="13" t="s">
        <v>421</v>
      </c>
      <c r="E6" s="13" t="s">
        <v>422</v>
      </c>
    </row>
    <row r="7" customFormat="false" ht="42" hidden="false" customHeight="true" outlineLevel="0" collapsed="false">
      <c r="A7" s="10" t="s">
        <v>423</v>
      </c>
      <c r="B7" s="10" t="s">
        <v>258</v>
      </c>
      <c r="C7" s="10" t="s">
        <v>420</v>
      </c>
      <c r="D7" s="11" t="s">
        <v>424</v>
      </c>
      <c r="E7" s="11" t="s">
        <v>425</v>
      </c>
    </row>
    <row r="8" customFormat="false" ht="42" hidden="false" customHeight="true" outlineLevel="0" collapsed="false">
      <c r="A8" s="12" t="s">
        <v>426</v>
      </c>
      <c r="B8" s="12" t="s">
        <v>365</v>
      </c>
      <c r="C8" s="12" t="s">
        <v>420</v>
      </c>
      <c r="D8" s="13" t="s">
        <v>427</v>
      </c>
      <c r="E8" s="13" t="s">
        <v>428</v>
      </c>
    </row>
    <row r="9" customFormat="false" ht="42" hidden="false" customHeight="true" outlineLevel="0" collapsed="false">
      <c r="A9" s="10" t="s">
        <v>429</v>
      </c>
      <c r="B9" s="10" t="s">
        <v>258</v>
      </c>
      <c r="C9" s="10" t="s">
        <v>430</v>
      </c>
      <c r="D9" s="11" t="s">
        <v>431</v>
      </c>
      <c r="E9" s="11" t="s">
        <v>432</v>
      </c>
    </row>
    <row r="10" customFormat="false" ht="42" hidden="false" customHeight="true" outlineLevel="0" collapsed="false">
      <c r="A10" s="12" t="s">
        <v>433</v>
      </c>
      <c r="B10" s="12" t="s">
        <v>434</v>
      </c>
      <c r="C10" s="12" t="s">
        <v>435</v>
      </c>
      <c r="D10" s="13" t="s">
        <v>436</v>
      </c>
      <c r="E10" s="13" t="s">
        <v>437</v>
      </c>
    </row>
    <row r="11" customFormat="false" ht="42" hidden="false" customHeight="true" outlineLevel="0" collapsed="false">
      <c r="A11" s="10" t="s">
        <v>438</v>
      </c>
      <c r="B11" s="10" t="s">
        <v>281</v>
      </c>
      <c r="C11" s="10" t="s">
        <v>420</v>
      </c>
      <c r="D11" s="11" t="s">
        <v>439</v>
      </c>
      <c r="E11" s="11" t="s">
        <v>440</v>
      </c>
    </row>
    <row r="12" customFormat="false" ht="42" hidden="false" customHeight="true" outlineLevel="0" collapsed="false">
      <c r="A12" s="12" t="s">
        <v>441</v>
      </c>
      <c r="B12" s="12" t="s">
        <v>442</v>
      </c>
      <c r="C12" s="12" t="s">
        <v>420</v>
      </c>
      <c r="D12" s="13" t="s">
        <v>443</v>
      </c>
      <c r="E12" s="13" t="s">
        <v>444</v>
      </c>
    </row>
    <row r="13" customFormat="false" ht="42" hidden="false" customHeight="true" outlineLevel="0" collapsed="false">
      <c r="A13" s="10" t="s">
        <v>445</v>
      </c>
      <c r="B13" s="10" t="s">
        <v>270</v>
      </c>
      <c r="C13" s="10" t="s">
        <v>420</v>
      </c>
      <c r="D13" s="11" t="s">
        <v>446</v>
      </c>
      <c r="E13" s="11" t="s">
        <v>447</v>
      </c>
    </row>
    <row r="14" customFormat="false" ht="42" hidden="false" customHeight="true" outlineLevel="0" collapsed="false">
      <c r="A14" s="12" t="s">
        <v>448</v>
      </c>
      <c r="B14" s="12" t="s">
        <v>285</v>
      </c>
      <c r="C14" s="12" t="s">
        <v>449</v>
      </c>
      <c r="D14" s="13" t="s">
        <v>450</v>
      </c>
      <c r="E14" s="13" t="s">
        <v>451</v>
      </c>
    </row>
    <row r="15" customFormat="false" ht="42" hidden="false" customHeight="true" outlineLevel="0" collapsed="false">
      <c r="A15" s="10" t="s">
        <v>452</v>
      </c>
      <c r="B15" s="10" t="s">
        <v>258</v>
      </c>
      <c r="C15" s="10" t="s">
        <v>420</v>
      </c>
      <c r="D15" s="11" t="s">
        <v>453</v>
      </c>
      <c r="E15" s="11" t="s">
        <v>454</v>
      </c>
    </row>
    <row r="16" customFormat="false" ht="42" hidden="false" customHeight="true" outlineLevel="0" collapsed="false">
      <c r="A16" s="12" t="s">
        <v>455</v>
      </c>
      <c r="B16" s="12" t="s">
        <v>262</v>
      </c>
      <c r="C16" s="12" t="s">
        <v>456</v>
      </c>
      <c r="D16" s="13" t="s">
        <v>457</v>
      </c>
      <c r="E16" s="13" t="s">
        <v>458</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17"/>
    <col collapsed="false" customWidth="true" hidden="false" outlineLevel="0" max="4" min="4" style="1" width="38"/>
    <col collapsed="false" customWidth="true" hidden="false" outlineLevel="0" max="5" min="5" style="1" width="30"/>
    <col collapsed="false" customWidth="true" hidden="false" outlineLevel="0" max="6" min="6" style="1" width="32"/>
    <col collapsed="false" customWidth="true" hidden="false" outlineLevel="0" max="7" min="7" style="1" width="24"/>
    <col collapsed="false" customWidth="true" hidden="false" outlineLevel="0" max="8" min="8" style="1" width="13"/>
    <col collapsed="false" customWidth="true" hidden="false" outlineLevel="0" max="9" min="9" style="1" width="8"/>
    <col collapsed="false" customWidth="true" hidden="false" outlineLevel="0" max="10" min="10" style="1" width="26"/>
    <col collapsed="false" customWidth="true" hidden="false" outlineLevel="0" max="11" min="11" style="1" width="46"/>
  </cols>
  <sheetData>
    <row r="1" customFormat="false" ht="21.75" hidden="false" customHeight="true" outlineLevel="0" collapsed="false">
      <c r="A1" s="7" t="s">
        <v>459</v>
      </c>
    </row>
    <row r="2" customFormat="false" ht="74.25" hidden="false" customHeight="true" outlineLevel="0" collapsed="false">
      <c r="A2" s="8" t="s">
        <v>460</v>
      </c>
      <c r="B2" s="8"/>
      <c r="C2" s="8"/>
      <c r="D2" s="8"/>
      <c r="E2" s="8"/>
      <c r="F2" s="8"/>
      <c r="G2" s="8"/>
    </row>
    <row r="3" customFormat="false" ht="6" hidden="false" customHeight="true" outlineLevel="0" collapsed="false"/>
    <row r="4" customFormat="false" ht="31.5" hidden="false" customHeight="true" outlineLevel="0" collapsed="false">
      <c r="A4" s="9" t="s">
        <v>83</v>
      </c>
      <c r="B4" s="9" t="s">
        <v>461</v>
      </c>
      <c r="C4" s="9" t="s">
        <v>462</v>
      </c>
      <c r="D4" s="9" t="s">
        <v>463</v>
      </c>
      <c r="E4" s="9" t="s">
        <v>464</v>
      </c>
      <c r="F4" s="9" t="s">
        <v>465</v>
      </c>
      <c r="G4" s="9" t="s">
        <v>466</v>
      </c>
      <c r="H4" s="9" t="s">
        <v>467</v>
      </c>
      <c r="I4" s="9" t="s">
        <v>468</v>
      </c>
      <c r="J4" s="9" t="s">
        <v>469</v>
      </c>
      <c r="K4" s="9" t="s">
        <v>470</v>
      </c>
    </row>
    <row r="5" customFormat="false" ht="67.5" hidden="false" customHeight="true" outlineLevel="0" collapsed="false">
      <c r="A5" s="10" t="n">
        <v>1</v>
      </c>
      <c r="B5" s="10" t="s">
        <v>471</v>
      </c>
      <c r="C5" s="10" t="s">
        <v>472</v>
      </c>
      <c r="D5" s="11" t="s">
        <v>473</v>
      </c>
      <c r="E5" s="11" t="s">
        <v>474</v>
      </c>
      <c r="F5" s="11" t="s">
        <v>475</v>
      </c>
      <c r="G5" s="11" t="s">
        <v>476</v>
      </c>
      <c r="H5" s="10" t="s">
        <v>477</v>
      </c>
      <c r="I5" s="10" t="s">
        <v>478</v>
      </c>
      <c r="J5" s="11" t="s">
        <v>479</v>
      </c>
      <c r="K5" s="11" t="s">
        <v>480</v>
      </c>
    </row>
    <row r="6" customFormat="false" ht="67.5" hidden="false" customHeight="true" outlineLevel="0" collapsed="false">
      <c r="A6" s="12" t="n">
        <v>2</v>
      </c>
      <c r="B6" s="12" t="s">
        <v>481</v>
      </c>
      <c r="C6" s="12" t="s">
        <v>472</v>
      </c>
      <c r="D6" s="13" t="s">
        <v>482</v>
      </c>
      <c r="E6" s="13" t="s">
        <v>483</v>
      </c>
      <c r="F6" s="13" t="s">
        <v>484</v>
      </c>
      <c r="G6" s="13" t="s">
        <v>485</v>
      </c>
      <c r="H6" s="12" t="s">
        <v>477</v>
      </c>
      <c r="I6" s="12" t="s">
        <v>486</v>
      </c>
      <c r="J6" s="13" t="s">
        <v>487</v>
      </c>
      <c r="K6" s="13" t="s">
        <v>488</v>
      </c>
    </row>
    <row r="7" customFormat="false" ht="67.5" hidden="false" customHeight="true" outlineLevel="0" collapsed="false">
      <c r="A7" s="10" t="n">
        <v>3</v>
      </c>
      <c r="B7" s="10" t="s">
        <v>489</v>
      </c>
      <c r="C7" s="10" t="s">
        <v>490</v>
      </c>
      <c r="D7" s="11" t="s">
        <v>491</v>
      </c>
      <c r="E7" s="11" t="s">
        <v>492</v>
      </c>
      <c r="F7" s="11" t="s">
        <v>493</v>
      </c>
      <c r="G7" s="11" t="s">
        <v>494</v>
      </c>
      <c r="H7" s="10" t="s">
        <v>495</v>
      </c>
      <c r="I7" s="10" t="s">
        <v>478</v>
      </c>
      <c r="J7" s="11" t="s">
        <v>496</v>
      </c>
      <c r="K7" s="11" t="s">
        <v>497</v>
      </c>
    </row>
    <row r="8" customFormat="false" ht="67.5" hidden="false" customHeight="true" outlineLevel="0" collapsed="false">
      <c r="A8" s="12" t="n">
        <v>4</v>
      </c>
      <c r="B8" s="12" t="s">
        <v>498</v>
      </c>
      <c r="C8" s="12" t="s">
        <v>490</v>
      </c>
      <c r="D8" s="13" t="s">
        <v>499</v>
      </c>
      <c r="E8" s="13" t="s">
        <v>500</v>
      </c>
      <c r="F8" s="13" t="s">
        <v>501</v>
      </c>
      <c r="G8" s="13" t="s">
        <v>502</v>
      </c>
      <c r="H8" s="12" t="s">
        <v>477</v>
      </c>
      <c r="I8" s="12" t="s">
        <v>478</v>
      </c>
      <c r="J8" s="13" t="s">
        <v>503</v>
      </c>
      <c r="K8" s="13" t="s">
        <v>504</v>
      </c>
    </row>
    <row r="9" customFormat="false" ht="67.5" hidden="false" customHeight="true" outlineLevel="0" collapsed="false">
      <c r="A9" s="10" t="n">
        <v>5</v>
      </c>
      <c r="B9" s="10" t="s">
        <v>505</v>
      </c>
      <c r="C9" s="10" t="s">
        <v>490</v>
      </c>
      <c r="D9" s="11" t="s">
        <v>506</v>
      </c>
      <c r="E9" s="11" t="s">
        <v>507</v>
      </c>
      <c r="F9" s="11" t="s">
        <v>508</v>
      </c>
      <c r="G9" s="11" t="s">
        <v>509</v>
      </c>
      <c r="H9" s="10" t="s">
        <v>477</v>
      </c>
      <c r="I9" s="10" t="s">
        <v>510</v>
      </c>
      <c r="J9" s="11" t="s">
        <v>505</v>
      </c>
      <c r="K9" s="11" t="s">
        <v>511</v>
      </c>
    </row>
    <row r="10" customFormat="false" ht="67.5" hidden="false" customHeight="true" outlineLevel="0" collapsed="false">
      <c r="A10" s="12" t="n">
        <v>6</v>
      </c>
      <c r="B10" s="12" t="s">
        <v>512</v>
      </c>
      <c r="C10" s="12" t="s">
        <v>490</v>
      </c>
      <c r="D10" s="13" t="s">
        <v>513</v>
      </c>
      <c r="E10" s="13" t="s">
        <v>514</v>
      </c>
      <c r="F10" s="13" t="s">
        <v>515</v>
      </c>
      <c r="G10" s="13" t="s">
        <v>516</v>
      </c>
      <c r="H10" s="12" t="s">
        <v>477</v>
      </c>
      <c r="I10" s="12" t="s">
        <v>517</v>
      </c>
      <c r="J10" s="13" t="s">
        <v>518</v>
      </c>
      <c r="K10" s="13" t="s">
        <v>519</v>
      </c>
    </row>
    <row r="11" customFormat="false" ht="67.5" hidden="false" customHeight="true" outlineLevel="0" collapsed="false">
      <c r="A11" s="10" t="n">
        <v>7</v>
      </c>
      <c r="B11" s="10" t="s">
        <v>520</v>
      </c>
      <c r="C11" s="10" t="s">
        <v>490</v>
      </c>
      <c r="D11" s="11" t="s">
        <v>521</v>
      </c>
      <c r="E11" s="11" t="s">
        <v>522</v>
      </c>
      <c r="F11" s="11" t="s">
        <v>523</v>
      </c>
      <c r="G11" s="11" t="s">
        <v>524</v>
      </c>
      <c r="H11" s="10" t="s">
        <v>495</v>
      </c>
      <c r="I11" s="10" t="s">
        <v>478</v>
      </c>
      <c r="J11" s="11" t="s">
        <v>525</v>
      </c>
      <c r="K11" s="11" t="s">
        <v>526</v>
      </c>
    </row>
    <row r="12" customFormat="false" ht="67.5" hidden="false" customHeight="true" outlineLevel="0" collapsed="false">
      <c r="A12" s="12" t="n">
        <v>8</v>
      </c>
      <c r="B12" s="12" t="s">
        <v>527</v>
      </c>
      <c r="C12" s="12" t="s">
        <v>490</v>
      </c>
      <c r="D12" s="13" t="s">
        <v>528</v>
      </c>
      <c r="E12" s="13" t="s">
        <v>529</v>
      </c>
      <c r="F12" s="13" t="s">
        <v>508</v>
      </c>
      <c r="G12" s="13" t="s">
        <v>530</v>
      </c>
      <c r="H12" s="12" t="s">
        <v>495</v>
      </c>
      <c r="I12" s="12" t="s">
        <v>478</v>
      </c>
      <c r="J12" s="13" t="s">
        <v>527</v>
      </c>
      <c r="K12" s="13" t="s">
        <v>531</v>
      </c>
    </row>
    <row r="13" customFormat="false" ht="67.5" hidden="false" customHeight="true" outlineLevel="0" collapsed="false">
      <c r="A13" s="10" t="n">
        <v>9</v>
      </c>
      <c r="B13" s="10" t="s">
        <v>532</v>
      </c>
      <c r="C13" s="10" t="s">
        <v>533</v>
      </c>
      <c r="D13" s="11" t="s">
        <v>534</v>
      </c>
      <c r="E13" s="11" t="s">
        <v>535</v>
      </c>
      <c r="F13" s="11" t="s">
        <v>536</v>
      </c>
      <c r="G13" s="11" t="s">
        <v>537</v>
      </c>
      <c r="H13" s="10" t="s">
        <v>477</v>
      </c>
      <c r="I13" s="10" t="s">
        <v>478</v>
      </c>
      <c r="J13" s="11" t="s">
        <v>532</v>
      </c>
      <c r="K13" s="11" t="s">
        <v>538</v>
      </c>
    </row>
    <row r="14" customFormat="false" ht="67.5" hidden="false" customHeight="true" outlineLevel="0" collapsed="false">
      <c r="A14" s="12" t="n">
        <v>10</v>
      </c>
      <c r="B14" s="12" t="s">
        <v>539</v>
      </c>
      <c r="C14" s="12" t="s">
        <v>540</v>
      </c>
      <c r="D14" s="13" t="s">
        <v>541</v>
      </c>
      <c r="E14" s="13" t="s">
        <v>542</v>
      </c>
      <c r="F14" s="13" t="s">
        <v>543</v>
      </c>
      <c r="G14" s="13" t="s">
        <v>544</v>
      </c>
      <c r="H14" s="12" t="s">
        <v>477</v>
      </c>
      <c r="I14" s="12" t="s">
        <v>545</v>
      </c>
      <c r="J14" s="13" t="s">
        <v>546</v>
      </c>
      <c r="K14" s="13" t="s">
        <v>547</v>
      </c>
    </row>
    <row r="15" customFormat="false" ht="67.5" hidden="false" customHeight="true" outlineLevel="0" collapsed="false">
      <c r="A15" s="10" t="n">
        <v>11</v>
      </c>
      <c r="B15" s="10" t="s">
        <v>548</v>
      </c>
      <c r="C15" s="10" t="s">
        <v>490</v>
      </c>
      <c r="D15" s="11" t="s">
        <v>549</v>
      </c>
      <c r="E15" s="11" t="s">
        <v>550</v>
      </c>
      <c r="F15" s="11" t="s">
        <v>508</v>
      </c>
      <c r="G15" s="11" t="s">
        <v>551</v>
      </c>
      <c r="H15" s="10" t="s">
        <v>477</v>
      </c>
      <c r="I15" s="10" t="s">
        <v>552</v>
      </c>
      <c r="J15" s="11" t="s">
        <v>553</v>
      </c>
      <c r="K15" s="11" t="s">
        <v>554</v>
      </c>
    </row>
    <row r="16" customFormat="false" ht="67.5" hidden="false" customHeight="true" outlineLevel="0" collapsed="false">
      <c r="A16" s="12" t="n">
        <v>12</v>
      </c>
      <c r="B16" s="12" t="s">
        <v>555</v>
      </c>
      <c r="C16" s="12" t="s">
        <v>540</v>
      </c>
      <c r="D16" s="13" t="s">
        <v>556</v>
      </c>
      <c r="E16" s="13" t="s">
        <v>557</v>
      </c>
      <c r="F16" s="13" t="s">
        <v>558</v>
      </c>
      <c r="G16" s="13" t="s">
        <v>559</v>
      </c>
      <c r="H16" s="12" t="s">
        <v>560</v>
      </c>
      <c r="I16" s="12" t="s">
        <v>561</v>
      </c>
      <c r="J16" s="13" t="s">
        <v>562</v>
      </c>
      <c r="K16" s="13" t="s">
        <v>563</v>
      </c>
    </row>
    <row r="17" customFormat="false" ht="67.5" hidden="false" customHeight="true" outlineLevel="0" collapsed="false">
      <c r="A17" s="10" t="s">
        <v>564</v>
      </c>
      <c r="B17" s="10" t="s">
        <v>565</v>
      </c>
      <c r="C17" s="10" t="s">
        <v>566</v>
      </c>
      <c r="D17" s="11" t="s">
        <v>567</v>
      </c>
      <c r="E17" s="11" t="s">
        <v>568</v>
      </c>
      <c r="F17" s="11" t="s">
        <v>561</v>
      </c>
      <c r="G17" s="11" t="s">
        <v>569</v>
      </c>
      <c r="H17" s="10" t="s">
        <v>569</v>
      </c>
      <c r="I17" s="10" t="s">
        <v>38</v>
      </c>
      <c r="J17" s="11" t="s">
        <v>38</v>
      </c>
      <c r="K17" s="11" t="s">
        <v>570</v>
      </c>
    </row>
    <row r="18" customFormat="false" ht="67.5" hidden="false" customHeight="true" outlineLevel="0" collapsed="false">
      <c r="A18" s="12" t="s">
        <v>571</v>
      </c>
      <c r="B18" s="12" t="s">
        <v>572</v>
      </c>
      <c r="C18" s="12" t="s">
        <v>566</v>
      </c>
      <c r="D18" s="13" t="s">
        <v>573</v>
      </c>
      <c r="E18" s="13" t="s">
        <v>574</v>
      </c>
      <c r="F18" s="13" t="s">
        <v>575</v>
      </c>
      <c r="G18" s="13" t="s">
        <v>569</v>
      </c>
      <c r="H18" s="12" t="s">
        <v>495</v>
      </c>
      <c r="I18" s="12" t="s">
        <v>478</v>
      </c>
      <c r="J18" s="13" t="s">
        <v>572</v>
      </c>
      <c r="K18" s="13" t="s">
        <v>576</v>
      </c>
    </row>
    <row r="20" customFormat="false" ht="43.5" hidden="false" customHeight="true" outlineLevel="0" collapsed="false">
      <c r="A20" s="14" t="s">
        <v>577</v>
      </c>
      <c r="B20" s="15" t="s">
        <v>578</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4"/>
    <col collapsed="false" customWidth="true" hidden="false" outlineLevel="0" max="3" min="3" style="1" width="34"/>
    <col collapsed="false" customWidth="true" hidden="false" outlineLevel="0" max="4" min="4" style="1" width="48"/>
    <col collapsed="false" customWidth="true" hidden="false" outlineLevel="0" max="5" min="5" style="1" width="34"/>
    <col collapsed="false" customWidth="true" hidden="false" outlineLevel="0" max="6" min="6" style="1" width="20"/>
    <col collapsed="false" customWidth="true" hidden="false" outlineLevel="0" max="7" min="7" style="1" width="18"/>
    <col collapsed="false" customWidth="true" hidden="false" outlineLevel="0" max="9" min="8" style="1" width="34"/>
    <col collapsed="false" customWidth="true" hidden="false" outlineLevel="0" max="10" min="10" style="1" width="30"/>
  </cols>
  <sheetData>
    <row r="1" customFormat="false" ht="21.75" hidden="false" customHeight="true" outlineLevel="0" collapsed="false">
      <c r="A1" s="7" t="s">
        <v>579</v>
      </c>
    </row>
    <row r="2" customFormat="false" ht="86.25" hidden="false" customHeight="true" outlineLevel="0" collapsed="false">
      <c r="A2" s="8" t="s">
        <v>580</v>
      </c>
      <c r="B2" s="8"/>
      <c r="C2" s="8"/>
      <c r="D2" s="8"/>
      <c r="E2" s="8"/>
      <c r="F2" s="8"/>
      <c r="G2" s="8"/>
    </row>
    <row r="3" customFormat="false" ht="6" hidden="false" customHeight="true" outlineLevel="0" collapsed="false"/>
    <row r="4" customFormat="false" ht="31.5" hidden="false" customHeight="true" outlineLevel="0" collapsed="false">
      <c r="A4" s="9" t="s">
        <v>83</v>
      </c>
      <c r="B4" s="9" t="s">
        <v>581</v>
      </c>
      <c r="C4" s="9" t="s">
        <v>582</v>
      </c>
      <c r="D4" s="9" t="s">
        <v>583</v>
      </c>
      <c r="E4" s="9" t="s">
        <v>584</v>
      </c>
      <c r="F4" s="9" t="s">
        <v>585</v>
      </c>
      <c r="G4" s="9" t="s">
        <v>586</v>
      </c>
      <c r="H4" s="9" t="s">
        <v>587</v>
      </c>
      <c r="I4" s="9" t="s">
        <v>588</v>
      </c>
      <c r="J4" s="9" t="s">
        <v>589</v>
      </c>
    </row>
    <row r="5" customFormat="false" ht="85.5" hidden="false" customHeight="true" outlineLevel="0" collapsed="false">
      <c r="A5" s="10" t="n">
        <v>1</v>
      </c>
      <c r="B5" s="10" t="s">
        <v>590</v>
      </c>
      <c r="C5" s="11" t="s">
        <v>591</v>
      </c>
      <c r="D5" s="11" t="s">
        <v>592</v>
      </c>
      <c r="E5" s="11" t="s">
        <v>593</v>
      </c>
      <c r="F5" s="10" t="s">
        <v>594</v>
      </c>
      <c r="G5" s="11" t="s">
        <v>270</v>
      </c>
      <c r="H5" s="11" t="s">
        <v>595</v>
      </c>
      <c r="I5" s="11" t="s">
        <v>596</v>
      </c>
      <c r="J5" s="11" t="s">
        <v>597</v>
      </c>
    </row>
    <row r="6" customFormat="false" ht="85.5" hidden="false" customHeight="true" outlineLevel="0" collapsed="false">
      <c r="A6" s="12" t="n">
        <v>2</v>
      </c>
      <c r="B6" s="12" t="s">
        <v>590</v>
      </c>
      <c r="C6" s="13" t="s">
        <v>598</v>
      </c>
      <c r="D6" s="13" t="s">
        <v>599</v>
      </c>
      <c r="E6" s="13" t="s">
        <v>600</v>
      </c>
      <c r="F6" s="12" t="s">
        <v>601</v>
      </c>
      <c r="G6" s="13" t="s">
        <v>270</v>
      </c>
      <c r="H6" s="13" t="s">
        <v>602</v>
      </c>
      <c r="I6" s="13" t="s">
        <v>603</v>
      </c>
      <c r="J6" s="13" t="s">
        <v>604</v>
      </c>
    </row>
    <row r="7" customFormat="false" ht="85.5" hidden="false" customHeight="true" outlineLevel="0" collapsed="false">
      <c r="A7" s="10" t="n">
        <v>3</v>
      </c>
      <c r="B7" s="10" t="s">
        <v>590</v>
      </c>
      <c r="C7" s="11" t="s">
        <v>605</v>
      </c>
      <c r="D7" s="11" t="s">
        <v>606</v>
      </c>
      <c r="E7" s="11" t="s">
        <v>607</v>
      </c>
      <c r="F7" s="10" t="s">
        <v>601</v>
      </c>
      <c r="G7" s="11" t="s">
        <v>608</v>
      </c>
      <c r="H7" s="11" t="s">
        <v>609</v>
      </c>
      <c r="I7" s="11" t="s">
        <v>610</v>
      </c>
      <c r="J7" s="11" t="s">
        <v>611</v>
      </c>
    </row>
    <row r="8" customFormat="false" ht="85.5" hidden="false" customHeight="true" outlineLevel="0" collapsed="false">
      <c r="A8" s="12" t="n">
        <v>4</v>
      </c>
      <c r="B8" s="12" t="s">
        <v>612</v>
      </c>
      <c r="C8" s="13" t="s">
        <v>613</v>
      </c>
      <c r="D8" s="13" t="s">
        <v>614</v>
      </c>
      <c r="E8" s="13" t="s">
        <v>615</v>
      </c>
      <c r="F8" s="12" t="s">
        <v>616</v>
      </c>
      <c r="G8" s="13" t="s">
        <v>617</v>
      </c>
      <c r="H8" s="13" t="s">
        <v>618</v>
      </c>
      <c r="I8" s="13" t="s">
        <v>619</v>
      </c>
      <c r="J8" s="13" t="s">
        <v>620</v>
      </c>
    </row>
    <row r="9" customFormat="false" ht="85.5" hidden="false" customHeight="true" outlineLevel="0" collapsed="false">
      <c r="A9" s="10" t="n">
        <v>5</v>
      </c>
      <c r="B9" s="10" t="s">
        <v>612</v>
      </c>
      <c r="C9" s="11" t="s">
        <v>621</v>
      </c>
      <c r="D9" s="11" t="s">
        <v>622</v>
      </c>
      <c r="E9" s="11" t="s">
        <v>623</v>
      </c>
      <c r="F9" s="10" t="s">
        <v>624</v>
      </c>
      <c r="G9" s="11" t="s">
        <v>625</v>
      </c>
      <c r="H9" s="11" t="s">
        <v>626</v>
      </c>
      <c r="I9" s="11" t="s">
        <v>627</v>
      </c>
      <c r="J9" s="11" t="s">
        <v>628</v>
      </c>
    </row>
    <row r="10" customFormat="false" ht="85.5" hidden="false" customHeight="true" outlineLevel="0" collapsed="false">
      <c r="A10" s="12" t="n">
        <v>6</v>
      </c>
      <c r="B10" s="12" t="s">
        <v>612</v>
      </c>
      <c r="C10" s="13" t="s">
        <v>629</v>
      </c>
      <c r="D10" s="13" t="s">
        <v>630</v>
      </c>
      <c r="E10" s="13" t="s">
        <v>631</v>
      </c>
      <c r="F10" s="12" t="s">
        <v>632</v>
      </c>
      <c r="G10" s="13" t="s">
        <v>258</v>
      </c>
      <c r="H10" s="13" t="s">
        <v>633</v>
      </c>
      <c r="I10" s="13" t="s">
        <v>634</v>
      </c>
      <c r="J10" s="13" t="s">
        <v>635</v>
      </c>
    </row>
    <row r="11" customFormat="false" ht="85.5" hidden="false" customHeight="true" outlineLevel="0" collapsed="false">
      <c r="A11" s="10" t="n">
        <v>7</v>
      </c>
      <c r="B11" s="10" t="s">
        <v>636</v>
      </c>
      <c r="C11" s="11" t="s">
        <v>637</v>
      </c>
      <c r="D11" s="11" t="s">
        <v>638</v>
      </c>
      <c r="E11" s="11" t="s">
        <v>639</v>
      </c>
      <c r="F11" s="10" t="s">
        <v>640</v>
      </c>
      <c r="G11" s="11" t="s">
        <v>641</v>
      </c>
      <c r="H11" s="11" t="s">
        <v>642</v>
      </c>
      <c r="I11" s="11" t="s">
        <v>643</v>
      </c>
      <c r="J11" s="11" t="s">
        <v>644</v>
      </c>
    </row>
    <row r="12" customFormat="false" ht="85.5" hidden="false" customHeight="true" outlineLevel="0" collapsed="false">
      <c r="A12" s="12" t="n">
        <v>8</v>
      </c>
      <c r="B12" s="12" t="s">
        <v>636</v>
      </c>
      <c r="C12" s="13" t="s">
        <v>645</v>
      </c>
      <c r="D12" s="13" t="s">
        <v>646</v>
      </c>
      <c r="E12" s="13" t="s">
        <v>647</v>
      </c>
      <c r="F12" s="12" t="s">
        <v>648</v>
      </c>
      <c r="G12" s="13" t="s">
        <v>641</v>
      </c>
      <c r="H12" s="13" t="s">
        <v>649</v>
      </c>
      <c r="I12" s="13" t="s">
        <v>650</v>
      </c>
      <c r="J12" s="13" t="s">
        <v>651</v>
      </c>
    </row>
    <row r="13" customFormat="false" ht="85.5" hidden="false" customHeight="true" outlineLevel="0" collapsed="false">
      <c r="A13" s="10" t="n">
        <v>9</v>
      </c>
      <c r="B13" s="10" t="s">
        <v>636</v>
      </c>
      <c r="C13" s="11" t="s">
        <v>652</v>
      </c>
      <c r="D13" s="11" t="s">
        <v>653</v>
      </c>
      <c r="E13" s="11" t="s">
        <v>654</v>
      </c>
      <c r="F13" s="10" t="s">
        <v>655</v>
      </c>
      <c r="G13" s="11" t="s">
        <v>617</v>
      </c>
      <c r="H13" s="11" t="s">
        <v>656</v>
      </c>
      <c r="I13" s="11" t="s">
        <v>657</v>
      </c>
      <c r="J13" s="11" t="s">
        <v>658</v>
      </c>
    </row>
    <row r="14" customFormat="false" ht="85.5" hidden="false" customHeight="true" outlineLevel="0" collapsed="false">
      <c r="A14" s="12" t="n">
        <v>10</v>
      </c>
      <c r="B14" s="12" t="s">
        <v>659</v>
      </c>
      <c r="C14" s="13" t="s">
        <v>660</v>
      </c>
      <c r="D14" s="13" t="s">
        <v>661</v>
      </c>
      <c r="E14" s="13" t="s">
        <v>662</v>
      </c>
      <c r="F14" s="12" t="s">
        <v>663</v>
      </c>
      <c r="G14" s="13" t="s">
        <v>664</v>
      </c>
      <c r="H14" s="13" t="s">
        <v>665</v>
      </c>
      <c r="I14" s="13" t="s">
        <v>666</v>
      </c>
      <c r="J14" s="13" t="s">
        <v>667</v>
      </c>
    </row>
    <row r="15" customFormat="false" ht="85.5" hidden="false" customHeight="true" outlineLevel="0" collapsed="false">
      <c r="A15" s="10" t="n">
        <v>11</v>
      </c>
      <c r="B15" s="10" t="s">
        <v>659</v>
      </c>
      <c r="C15" s="11" t="s">
        <v>668</v>
      </c>
      <c r="D15" s="11" t="s">
        <v>669</v>
      </c>
      <c r="E15" s="11" t="s">
        <v>670</v>
      </c>
      <c r="F15" s="10" t="s">
        <v>671</v>
      </c>
      <c r="G15" s="11" t="s">
        <v>270</v>
      </c>
      <c r="H15" s="11" t="s">
        <v>672</v>
      </c>
      <c r="I15" s="11" t="s">
        <v>673</v>
      </c>
      <c r="J15" s="11" t="s">
        <v>674</v>
      </c>
    </row>
    <row r="16" customFormat="false" ht="85.5" hidden="false" customHeight="true" outlineLevel="0" collapsed="false">
      <c r="A16" s="12" t="n">
        <v>12</v>
      </c>
      <c r="B16" s="12" t="s">
        <v>675</v>
      </c>
      <c r="C16" s="13" t="s">
        <v>676</v>
      </c>
      <c r="D16" s="13" t="s">
        <v>677</v>
      </c>
      <c r="E16" s="13" t="s">
        <v>678</v>
      </c>
      <c r="F16" s="12" t="s">
        <v>679</v>
      </c>
      <c r="G16" s="13" t="s">
        <v>680</v>
      </c>
      <c r="H16" s="13" t="s">
        <v>681</v>
      </c>
      <c r="I16" s="13" t="s">
        <v>682</v>
      </c>
      <c r="J16" s="13" t="s">
        <v>683</v>
      </c>
    </row>
    <row r="17" customFormat="false" ht="85.5" hidden="false" customHeight="true" outlineLevel="0" collapsed="false">
      <c r="A17" s="10" t="n">
        <v>13</v>
      </c>
      <c r="B17" s="10" t="s">
        <v>675</v>
      </c>
      <c r="C17" s="11" t="s">
        <v>684</v>
      </c>
      <c r="D17" s="11" t="s">
        <v>685</v>
      </c>
      <c r="E17" s="11" t="s">
        <v>686</v>
      </c>
      <c r="F17" s="10" t="s">
        <v>687</v>
      </c>
      <c r="G17" s="11" t="s">
        <v>688</v>
      </c>
      <c r="H17" s="11" t="s">
        <v>689</v>
      </c>
      <c r="I17" s="11" t="s">
        <v>690</v>
      </c>
      <c r="J17" s="11" t="s">
        <v>691</v>
      </c>
    </row>
    <row r="18" customFormat="false" ht="85.5" hidden="false" customHeight="true" outlineLevel="0" collapsed="false">
      <c r="A18" s="12" t="n">
        <v>14</v>
      </c>
      <c r="B18" s="12" t="s">
        <v>692</v>
      </c>
      <c r="C18" s="13" t="s">
        <v>693</v>
      </c>
      <c r="D18" s="13" t="s">
        <v>694</v>
      </c>
      <c r="E18" s="13" t="s">
        <v>695</v>
      </c>
      <c r="F18" s="12" t="s">
        <v>696</v>
      </c>
      <c r="G18" s="13" t="s">
        <v>697</v>
      </c>
      <c r="H18" s="13" t="s">
        <v>698</v>
      </c>
      <c r="I18" s="13" t="s">
        <v>699</v>
      </c>
      <c r="J18" s="13" t="s">
        <v>700</v>
      </c>
    </row>
    <row r="19" customFormat="false" ht="85.5" hidden="false" customHeight="true" outlineLevel="0" collapsed="false">
      <c r="A19" s="10" t="n">
        <v>15</v>
      </c>
      <c r="B19" s="10" t="s">
        <v>692</v>
      </c>
      <c r="C19" s="11" t="s">
        <v>701</v>
      </c>
      <c r="D19" s="11" t="s">
        <v>702</v>
      </c>
      <c r="E19" s="11" t="s">
        <v>703</v>
      </c>
      <c r="F19" s="10" t="s">
        <v>704</v>
      </c>
      <c r="G19" s="11" t="s">
        <v>697</v>
      </c>
      <c r="H19" s="11" t="s">
        <v>705</v>
      </c>
      <c r="I19" s="11" t="s">
        <v>706</v>
      </c>
      <c r="J19" s="11" t="s">
        <v>707</v>
      </c>
    </row>
    <row r="20" customFormat="false" ht="85.5" hidden="false" customHeight="true" outlineLevel="0" collapsed="false">
      <c r="A20" s="12" t="n">
        <v>16</v>
      </c>
      <c r="B20" s="12" t="s">
        <v>708</v>
      </c>
      <c r="C20" s="13" t="s">
        <v>709</v>
      </c>
      <c r="D20" s="13" t="s">
        <v>710</v>
      </c>
      <c r="E20" s="13" t="s">
        <v>711</v>
      </c>
      <c r="F20" s="12" t="s">
        <v>712</v>
      </c>
      <c r="G20" s="13" t="s">
        <v>713</v>
      </c>
      <c r="H20" s="13" t="s">
        <v>714</v>
      </c>
      <c r="I20" s="13" t="s">
        <v>715</v>
      </c>
      <c r="J20" s="13" t="s">
        <v>716</v>
      </c>
    </row>
    <row r="21" customFormat="false" ht="85.5" hidden="false" customHeight="true" outlineLevel="0" collapsed="false">
      <c r="A21" s="10" t="n">
        <v>17</v>
      </c>
      <c r="B21" s="10" t="s">
        <v>708</v>
      </c>
      <c r="C21" s="11" t="s">
        <v>717</v>
      </c>
      <c r="D21" s="11" t="s">
        <v>718</v>
      </c>
      <c r="E21" s="11" t="s">
        <v>719</v>
      </c>
      <c r="F21" s="10" t="s">
        <v>704</v>
      </c>
      <c r="G21" s="11" t="s">
        <v>720</v>
      </c>
      <c r="H21" s="11" t="s">
        <v>721</v>
      </c>
      <c r="I21" s="11" t="s">
        <v>722</v>
      </c>
      <c r="J21" s="11" t="s">
        <v>723</v>
      </c>
    </row>
    <row r="22" customFormat="false" ht="85.5" hidden="false" customHeight="true" outlineLevel="0" collapsed="false">
      <c r="A22" s="12" t="n">
        <v>18</v>
      </c>
      <c r="B22" s="12" t="s">
        <v>708</v>
      </c>
      <c r="C22" s="13" t="s">
        <v>724</v>
      </c>
      <c r="D22" s="13" t="s">
        <v>725</v>
      </c>
      <c r="E22" s="13" t="s">
        <v>726</v>
      </c>
      <c r="F22" s="12" t="s">
        <v>727</v>
      </c>
      <c r="G22" s="13" t="s">
        <v>728</v>
      </c>
      <c r="H22" s="13" t="s">
        <v>729</v>
      </c>
      <c r="I22" s="13" t="s">
        <v>730</v>
      </c>
      <c r="J22" s="13" t="s">
        <v>731</v>
      </c>
    </row>
    <row r="24" customFormat="false" ht="43.5" hidden="false" customHeight="true" outlineLevel="0" collapsed="false">
      <c r="A24" s="14" t="s">
        <v>577</v>
      </c>
      <c r="B24" s="15" t="s">
        <v>732</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3" min="2" style="1" width="44"/>
    <col collapsed="false" customWidth="true" hidden="false" outlineLevel="0" max="4" min="4" style="1" width="13"/>
    <col collapsed="false" customWidth="true" hidden="false" outlineLevel="0" max="5" min="5" style="1" width="42"/>
    <col collapsed="false" customWidth="true" hidden="false" outlineLevel="0" max="6" min="6" style="1" width="46"/>
  </cols>
  <sheetData>
    <row r="1" customFormat="false" ht="21.75" hidden="false" customHeight="true" outlineLevel="0" collapsed="false">
      <c r="A1" s="7" t="s">
        <v>733</v>
      </c>
    </row>
    <row r="2" customFormat="false" ht="74.25" hidden="false" customHeight="true" outlineLevel="0" collapsed="false">
      <c r="A2" s="8" t="s">
        <v>734</v>
      </c>
      <c r="B2" s="8"/>
      <c r="C2" s="8"/>
      <c r="D2" s="8"/>
      <c r="E2" s="8"/>
      <c r="F2" s="8"/>
    </row>
    <row r="3" customFormat="false" ht="6" hidden="false" customHeight="true" outlineLevel="0" collapsed="false"/>
    <row r="4" customFormat="false" ht="31.5" hidden="false" customHeight="true" outlineLevel="0" collapsed="false">
      <c r="A4" s="9" t="s">
        <v>83</v>
      </c>
      <c r="B4" s="9" t="s">
        <v>735</v>
      </c>
      <c r="C4" s="9" t="s">
        <v>736</v>
      </c>
      <c r="D4" s="9" t="s">
        <v>581</v>
      </c>
      <c r="E4" s="9" t="s">
        <v>737</v>
      </c>
      <c r="F4" s="9" t="s">
        <v>738</v>
      </c>
    </row>
    <row r="5" customFormat="false" ht="61.5" hidden="false" customHeight="true" outlineLevel="0" collapsed="false">
      <c r="A5" s="10" t="n">
        <v>1</v>
      </c>
      <c r="B5" s="11" t="s">
        <v>739</v>
      </c>
      <c r="C5" s="11" t="s">
        <v>740</v>
      </c>
      <c r="D5" s="10" t="s">
        <v>612</v>
      </c>
      <c r="E5" s="11" t="s">
        <v>741</v>
      </c>
      <c r="F5" s="11" t="s">
        <v>742</v>
      </c>
    </row>
    <row r="6" customFormat="false" ht="61.5" hidden="false" customHeight="true" outlineLevel="0" collapsed="false">
      <c r="A6" s="12" t="n">
        <v>2</v>
      </c>
      <c r="B6" s="13" t="s">
        <v>743</v>
      </c>
      <c r="C6" s="13" t="s">
        <v>744</v>
      </c>
      <c r="D6" s="12" t="s">
        <v>590</v>
      </c>
      <c r="E6" s="13" t="s">
        <v>745</v>
      </c>
      <c r="F6" s="13" t="s">
        <v>746</v>
      </c>
    </row>
    <row r="7" customFormat="false" ht="61.5" hidden="false" customHeight="true" outlineLevel="0" collapsed="false">
      <c r="A7" s="10" t="n">
        <v>3</v>
      </c>
      <c r="B7" s="11" t="s">
        <v>747</v>
      </c>
      <c r="C7" s="11" t="s">
        <v>748</v>
      </c>
      <c r="D7" s="10" t="s">
        <v>636</v>
      </c>
      <c r="E7" s="11" t="s">
        <v>749</v>
      </c>
      <c r="F7" s="11" t="s">
        <v>750</v>
      </c>
    </row>
    <row r="8" customFormat="false" ht="61.5" hidden="false" customHeight="true" outlineLevel="0" collapsed="false">
      <c r="A8" s="12" t="n">
        <v>4</v>
      </c>
      <c r="B8" s="13" t="s">
        <v>751</v>
      </c>
      <c r="C8" s="13" t="s">
        <v>752</v>
      </c>
      <c r="D8" s="12" t="s">
        <v>590</v>
      </c>
      <c r="E8" s="13" t="s">
        <v>753</v>
      </c>
      <c r="F8" s="13" t="s">
        <v>754</v>
      </c>
    </row>
    <row r="9" customFormat="false" ht="61.5" hidden="false" customHeight="true" outlineLevel="0" collapsed="false">
      <c r="A9" s="10" t="n">
        <v>5</v>
      </c>
      <c r="B9" s="11" t="s">
        <v>755</v>
      </c>
      <c r="C9" s="11" t="s">
        <v>756</v>
      </c>
      <c r="D9" s="10" t="s">
        <v>708</v>
      </c>
      <c r="E9" s="11" t="s">
        <v>757</v>
      </c>
      <c r="F9" s="11" t="s">
        <v>758</v>
      </c>
    </row>
    <row r="10" customFormat="false" ht="61.5" hidden="false" customHeight="true" outlineLevel="0" collapsed="false">
      <c r="A10" s="12" t="n">
        <v>6</v>
      </c>
      <c r="B10" s="13" t="s">
        <v>759</v>
      </c>
      <c r="C10" s="13" t="s">
        <v>760</v>
      </c>
      <c r="D10" s="12" t="s">
        <v>708</v>
      </c>
      <c r="E10" s="13" t="s">
        <v>761</v>
      </c>
      <c r="F10" s="13" t="s">
        <v>762</v>
      </c>
    </row>
    <row r="11" customFormat="false" ht="61.5" hidden="false" customHeight="true" outlineLevel="0" collapsed="false">
      <c r="A11" s="10" t="n">
        <v>7</v>
      </c>
      <c r="B11" s="11" t="s">
        <v>763</v>
      </c>
      <c r="C11" s="11" t="s">
        <v>764</v>
      </c>
      <c r="D11" s="10" t="s">
        <v>612</v>
      </c>
      <c r="E11" s="11" t="s">
        <v>765</v>
      </c>
      <c r="F11" s="11" t="s">
        <v>766</v>
      </c>
    </row>
    <row r="12" customFormat="false" ht="61.5" hidden="false" customHeight="true" outlineLevel="0" collapsed="false">
      <c r="A12" s="12" t="n">
        <v>8</v>
      </c>
      <c r="B12" s="13" t="s">
        <v>767</v>
      </c>
      <c r="C12" s="13" t="s">
        <v>768</v>
      </c>
      <c r="D12" s="12" t="s">
        <v>659</v>
      </c>
      <c r="E12" s="13" t="s">
        <v>769</v>
      </c>
      <c r="F12" s="13" t="s">
        <v>770</v>
      </c>
    </row>
    <row r="13" customFormat="false" ht="61.5" hidden="false" customHeight="true" outlineLevel="0" collapsed="false">
      <c r="A13" s="10" t="n">
        <v>9</v>
      </c>
      <c r="B13" s="11" t="s">
        <v>771</v>
      </c>
      <c r="C13" s="11" t="s">
        <v>772</v>
      </c>
      <c r="D13" s="10" t="s">
        <v>692</v>
      </c>
      <c r="E13" s="11" t="s">
        <v>773</v>
      </c>
      <c r="F13" s="11" t="s">
        <v>774</v>
      </c>
    </row>
    <row r="14" customFormat="false" ht="61.5" hidden="false" customHeight="true" outlineLevel="0" collapsed="false">
      <c r="A14" s="12" t="n">
        <v>10</v>
      </c>
      <c r="B14" s="13" t="s">
        <v>775</v>
      </c>
      <c r="C14" s="13" t="s">
        <v>776</v>
      </c>
      <c r="D14" s="12" t="s">
        <v>590</v>
      </c>
      <c r="E14" s="13" t="s">
        <v>777</v>
      </c>
      <c r="F14" s="13" t="s">
        <v>778</v>
      </c>
    </row>
    <row r="16" customFormat="false" ht="37.5" hidden="false" customHeight="true" outlineLevel="0" collapsed="false">
      <c r="A16" s="14" t="s">
        <v>779</v>
      </c>
      <c r="B16" s="15" t="s">
        <v>780</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62"/>
    <col collapsed="false" customWidth="true" hidden="false" outlineLevel="0" max="4" min="4" style="1" width="40"/>
    <col collapsed="false" customWidth="true" hidden="false" outlineLevel="0" max="5" min="5" style="1" width="30"/>
    <col collapsed="false" customWidth="true" hidden="false" outlineLevel="0" max="6" min="6" style="1" width="20"/>
  </cols>
  <sheetData>
    <row r="1" customFormat="false" ht="21.75" hidden="false" customHeight="true" outlineLevel="0" collapsed="false">
      <c r="A1" s="7" t="s">
        <v>781</v>
      </c>
    </row>
    <row r="2" customFormat="false" ht="74.25" hidden="false" customHeight="true" outlineLevel="0" collapsed="false">
      <c r="A2" s="8" t="s">
        <v>782</v>
      </c>
      <c r="B2" s="8"/>
      <c r="C2" s="8"/>
      <c r="D2" s="8"/>
      <c r="E2" s="8"/>
      <c r="F2" s="8"/>
    </row>
    <row r="3" customFormat="false" ht="6" hidden="false" customHeight="true" outlineLevel="0" collapsed="false"/>
    <row r="4" customFormat="false" ht="31.5" hidden="false" customHeight="true" outlineLevel="0" collapsed="false">
      <c r="A4" s="9" t="s">
        <v>783</v>
      </c>
      <c r="B4" s="9" t="s">
        <v>784</v>
      </c>
      <c r="C4" s="9" t="s">
        <v>785</v>
      </c>
      <c r="D4" s="9" t="s">
        <v>786</v>
      </c>
      <c r="E4" s="9" t="s">
        <v>787</v>
      </c>
      <c r="F4" s="9" t="s">
        <v>788</v>
      </c>
    </row>
    <row r="5" customFormat="false" ht="55.5" hidden="false" customHeight="true" outlineLevel="0" collapsed="false">
      <c r="A5" s="10" t="s">
        <v>789</v>
      </c>
      <c r="B5" s="10" t="s">
        <v>790</v>
      </c>
      <c r="C5" s="11" t="s">
        <v>791</v>
      </c>
      <c r="D5" s="11" t="s">
        <v>792</v>
      </c>
      <c r="E5" s="11" t="s">
        <v>793</v>
      </c>
      <c r="F5" s="10" t="s">
        <v>794</v>
      </c>
    </row>
    <row r="6" customFormat="false" ht="55.5" hidden="false" customHeight="true" outlineLevel="0" collapsed="false">
      <c r="A6" s="12" t="s">
        <v>795</v>
      </c>
      <c r="B6" s="12" t="s">
        <v>790</v>
      </c>
      <c r="C6" s="13" t="s">
        <v>796</v>
      </c>
      <c r="D6" s="13" t="s">
        <v>797</v>
      </c>
      <c r="E6" s="13" t="s">
        <v>798</v>
      </c>
      <c r="F6" s="12" t="s">
        <v>794</v>
      </c>
    </row>
    <row r="7" customFormat="false" ht="55.5" hidden="false" customHeight="true" outlineLevel="0" collapsed="false">
      <c r="A7" s="10" t="s">
        <v>799</v>
      </c>
      <c r="B7" s="10" t="s">
        <v>790</v>
      </c>
      <c r="C7" s="11" t="s">
        <v>800</v>
      </c>
      <c r="D7" s="11" t="s">
        <v>801</v>
      </c>
      <c r="E7" s="11" t="s">
        <v>798</v>
      </c>
      <c r="F7" s="10" t="s">
        <v>794</v>
      </c>
    </row>
    <row r="8" customFormat="false" ht="55.5" hidden="false" customHeight="true" outlineLevel="0" collapsed="false">
      <c r="A8" s="12" t="s">
        <v>802</v>
      </c>
      <c r="B8" s="12" t="s">
        <v>790</v>
      </c>
      <c r="C8" s="13" t="s">
        <v>803</v>
      </c>
      <c r="D8" s="13" t="s">
        <v>804</v>
      </c>
      <c r="E8" s="13" t="s">
        <v>798</v>
      </c>
      <c r="F8" s="12" t="s">
        <v>794</v>
      </c>
    </row>
    <row r="9" customFormat="false" ht="55.5" hidden="false" customHeight="true" outlineLevel="0" collapsed="false">
      <c r="A9" s="10" t="s">
        <v>805</v>
      </c>
      <c r="B9" s="10" t="s">
        <v>790</v>
      </c>
      <c r="C9" s="11" t="s">
        <v>806</v>
      </c>
      <c r="D9" s="11" t="s">
        <v>807</v>
      </c>
      <c r="E9" s="11" t="s">
        <v>808</v>
      </c>
      <c r="F9" s="10" t="s">
        <v>794</v>
      </c>
    </row>
    <row r="10" customFormat="false" ht="55.5" hidden="false" customHeight="true" outlineLevel="0" collapsed="false">
      <c r="A10" s="12" t="s">
        <v>809</v>
      </c>
      <c r="B10" s="12" t="s">
        <v>810</v>
      </c>
      <c r="C10" s="13" t="s">
        <v>811</v>
      </c>
      <c r="D10" s="13" t="s">
        <v>812</v>
      </c>
      <c r="E10" s="13" t="s">
        <v>813</v>
      </c>
      <c r="F10" s="12" t="s">
        <v>794</v>
      </c>
    </row>
    <row r="11" customFormat="false" ht="55.5" hidden="false" customHeight="true" outlineLevel="0" collapsed="false">
      <c r="A11" s="10" t="s">
        <v>814</v>
      </c>
      <c r="B11" s="10" t="s">
        <v>810</v>
      </c>
      <c r="C11" s="11" t="s">
        <v>815</v>
      </c>
      <c r="D11" s="11" t="s">
        <v>816</v>
      </c>
      <c r="E11" s="11" t="s">
        <v>808</v>
      </c>
      <c r="F11" s="10" t="s">
        <v>794</v>
      </c>
    </row>
    <row r="12" customFormat="false" ht="55.5" hidden="false" customHeight="true" outlineLevel="0" collapsed="false">
      <c r="A12" s="12" t="s">
        <v>817</v>
      </c>
      <c r="B12" s="12" t="s">
        <v>810</v>
      </c>
      <c r="C12" s="13" t="s">
        <v>818</v>
      </c>
      <c r="D12" s="13" t="s">
        <v>819</v>
      </c>
      <c r="E12" s="13" t="s">
        <v>820</v>
      </c>
      <c r="F12" s="12" t="s">
        <v>794</v>
      </c>
    </row>
    <row r="13" customFormat="false" ht="55.5" hidden="false" customHeight="true" outlineLevel="0" collapsed="false">
      <c r="A13" s="10" t="s">
        <v>821</v>
      </c>
      <c r="B13" s="10" t="s">
        <v>822</v>
      </c>
      <c r="C13" s="11" t="s">
        <v>823</v>
      </c>
      <c r="D13" s="11" t="s">
        <v>824</v>
      </c>
      <c r="E13" s="11" t="s">
        <v>825</v>
      </c>
      <c r="F13" s="10" t="s">
        <v>794</v>
      </c>
    </row>
    <row r="14" customFormat="false" ht="55.5" hidden="false" customHeight="true" outlineLevel="0" collapsed="false">
      <c r="A14" s="12" t="s">
        <v>826</v>
      </c>
      <c r="B14" s="12" t="s">
        <v>822</v>
      </c>
      <c r="C14" s="13" t="s">
        <v>827</v>
      </c>
      <c r="D14" s="13" t="s">
        <v>828</v>
      </c>
      <c r="E14" s="13" t="s">
        <v>829</v>
      </c>
      <c r="F14" s="12" t="s">
        <v>794</v>
      </c>
    </row>
    <row r="15" customFormat="false" ht="55.5" hidden="false" customHeight="true" outlineLevel="0" collapsed="false">
      <c r="A15" s="10" t="s">
        <v>830</v>
      </c>
      <c r="B15" s="10" t="s">
        <v>831</v>
      </c>
      <c r="C15" s="11" t="s">
        <v>832</v>
      </c>
      <c r="D15" s="11" t="s">
        <v>833</v>
      </c>
      <c r="E15" s="11" t="s">
        <v>798</v>
      </c>
      <c r="F15" s="10" t="s">
        <v>794</v>
      </c>
    </row>
    <row r="16" customFormat="false" ht="55.5" hidden="false" customHeight="true" outlineLevel="0" collapsed="false">
      <c r="A16" s="12" t="s">
        <v>834</v>
      </c>
      <c r="B16" s="12" t="s">
        <v>831</v>
      </c>
      <c r="C16" s="13" t="s">
        <v>835</v>
      </c>
      <c r="D16" s="13" t="s">
        <v>836</v>
      </c>
      <c r="E16" s="13" t="s">
        <v>808</v>
      </c>
      <c r="F16" s="12" t="s">
        <v>794</v>
      </c>
    </row>
    <row r="17" customFormat="false" ht="55.5" hidden="false" customHeight="true" outlineLevel="0" collapsed="false">
      <c r="A17" s="10" t="s">
        <v>837</v>
      </c>
      <c r="B17" s="10" t="s">
        <v>838</v>
      </c>
      <c r="C17" s="11" t="s">
        <v>839</v>
      </c>
      <c r="D17" s="11" t="s">
        <v>840</v>
      </c>
      <c r="E17" s="11" t="s">
        <v>793</v>
      </c>
      <c r="F17" s="10" t="s">
        <v>794</v>
      </c>
    </row>
    <row r="18" customFormat="false" ht="55.5" hidden="false" customHeight="true" outlineLevel="0" collapsed="false">
      <c r="A18" s="12" t="s">
        <v>841</v>
      </c>
      <c r="B18" s="12" t="s">
        <v>842</v>
      </c>
      <c r="C18" s="13" t="s">
        <v>843</v>
      </c>
      <c r="D18" s="13" t="s">
        <v>844</v>
      </c>
      <c r="E18" s="13" t="s">
        <v>845</v>
      </c>
      <c r="F18" s="12" t="s">
        <v>794</v>
      </c>
    </row>
    <row r="19" customFormat="false" ht="55.5" hidden="false" customHeight="true" outlineLevel="0" collapsed="false">
      <c r="A19" s="10" t="s">
        <v>846</v>
      </c>
      <c r="B19" s="10" t="s">
        <v>847</v>
      </c>
      <c r="C19" s="11" t="s">
        <v>848</v>
      </c>
      <c r="D19" s="11" t="s">
        <v>849</v>
      </c>
      <c r="E19" s="11" t="s">
        <v>845</v>
      </c>
      <c r="F19" s="10" t="s">
        <v>794</v>
      </c>
    </row>
    <row r="20" customFormat="false" ht="55.5" hidden="false" customHeight="true" outlineLevel="0" collapsed="false">
      <c r="A20" s="12" t="s">
        <v>850</v>
      </c>
      <c r="B20" s="12" t="s">
        <v>847</v>
      </c>
      <c r="C20" s="13" t="s">
        <v>851</v>
      </c>
      <c r="D20" s="13" t="s">
        <v>852</v>
      </c>
      <c r="E20" s="13" t="s">
        <v>793</v>
      </c>
      <c r="F20" s="12" t="s">
        <v>794</v>
      </c>
    </row>
    <row r="21" customFormat="false" ht="55.5" hidden="false" customHeight="true" outlineLevel="0" collapsed="false">
      <c r="A21" s="10" t="s">
        <v>853</v>
      </c>
      <c r="B21" s="10" t="s">
        <v>847</v>
      </c>
      <c r="C21" s="11" t="s">
        <v>854</v>
      </c>
      <c r="D21" s="11" t="s">
        <v>855</v>
      </c>
      <c r="E21" s="11" t="s">
        <v>793</v>
      </c>
      <c r="F21" s="10" t="s">
        <v>794</v>
      </c>
    </row>
    <row r="22" customFormat="false" ht="55.5" hidden="false" customHeight="true" outlineLevel="0" collapsed="false">
      <c r="A22" s="12" t="s">
        <v>856</v>
      </c>
      <c r="B22" s="12" t="s">
        <v>857</v>
      </c>
      <c r="C22" s="13" t="s">
        <v>858</v>
      </c>
      <c r="D22" s="13" t="s">
        <v>859</v>
      </c>
      <c r="E22" s="13" t="s">
        <v>793</v>
      </c>
      <c r="F22" s="12" t="s">
        <v>794</v>
      </c>
    </row>
    <row r="23" customFormat="false" ht="55.5" hidden="false" customHeight="true" outlineLevel="0" collapsed="false">
      <c r="A23" s="10" t="s">
        <v>860</v>
      </c>
      <c r="B23" s="10" t="s">
        <v>857</v>
      </c>
      <c r="C23" s="11" t="s">
        <v>861</v>
      </c>
      <c r="D23" s="11" t="s">
        <v>862</v>
      </c>
      <c r="E23" s="11" t="s">
        <v>793</v>
      </c>
      <c r="F23" s="10" t="s">
        <v>794</v>
      </c>
    </row>
    <row r="24" customFormat="false" ht="55.5" hidden="false" customHeight="true" outlineLevel="0" collapsed="false">
      <c r="A24" s="12" t="s">
        <v>863</v>
      </c>
      <c r="B24" s="12" t="s">
        <v>857</v>
      </c>
      <c r="C24" s="13" t="s">
        <v>864</v>
      </c>
      <c r="D24" s="13" t="s">
        <v>865</v>
      </c>
      <c r="E24" s="13" t="s">
        <v>793</v>
      </c>
      <c r="F24" s="12" t="s">
        <v>794</v>
      </c>
    </row>
    <row r="25" customFormat="false" ht="55.5" hidden="false" customHeight="true" outlineLevel="0" collapsed="false">
      <c r="A25" s="10" t="s">
        <v>866</v>
      </c>
      <c r="B25" s="10" t="s">
        <v>857</v>
      </c>
      <c r="C25" s="11" t="s">
        <v>867</v>
      </c>
      <c r="D25" s="11" t="s">
        <v>868</v>
      </c>
      <c r="E25" s="11" t="s">
        <v>869</v>
      </c>
      <c r="F25" s="10" t="s">
        <v>794</v>
      </c>
    </row>
    <row r="26" customFormat="false" ht="55.5" hidden="false" customHeight="true" outlineLevel="0" collapsed="false">
      <c r="A26" s="12" t="s">
        <v>870</v>
      </c>
      <c r="B26" s="12" t="s">
        <v>857</v>
      </c>
      <c r="C26" s="13" t="s">
        <v>871</v>
      </c>
      <c r="D26" s="13" t="s">
        <v>872</v>
      </c>
      <c r="E26" s="13" t="s">
        <v>873</v>
      </c>
      <c r="F26" s="12" t="s">
        <v>794</v>
      </c>
    </row>
    <row r="27" customFormat="false" ht="55.5" hidden="false" customHeight="true" outlineLevel="0" collapsed="false">
      <c r="A27" s="10" t="s">
        <v>874</v>
      </c>
      <c r="B27" s="10" t="s">
        <v>857</v>
      </c>
      <c r="C27" s="11" t="s">
        <v>875</v>
      </c>
      <c r="D27" s="11" t="s">
        <v>865</v>
      </c>
      <c r="E27" s="11" t="s">
        <v>793</v>
      </c>
      <c r="F27" s="10" t="s">
        <v>794</v>
      </c>
    </row>
    <row r="28" customFormat="false" ht="55.5" hidden="false" customHeight="true" outlineLevel="0" collapsed="false">
      <c r="A28" s="12" t="s">
        <v>876</v>
      </c>
      <c r="B28" s="12" t="s">
        <v>857</v>
      </c>
      <c r="C28" s="13" t="s">
        <v>877</v>
      </c>
      <c r="D28" s="13" t="s">
        <v>878</v>
      </c>
      <c r="E28" s="13" t="s">
        <v>798</v>
      </c>
      <c r="F28" s="12" t="s">
        <v>794</v>
      </c>
    </row>
    <row r="29" customFormat="false" ht="55.5" hidden="false" customHeight="true" outlineLevel="0" collapsed="false">
      <c r="A29" s="10" t="s">
        <v>879</v>
      </c>
      <c r="B29" s="10" t="s">
        <v>857</v>
      </c>
      <c r="C29" s="11" t="s">
        <v>880</v>
      </c>
      <c r="D29" s="11" t="s">
        <v>881</v>
      </c>
      <c r="E29" s="11" t="s">
        <v>882</v>
      </c>
      <c r="F29" s="10" t="s">
        <v>794</v>
      </c>
    </row>
    <row r="30" customFormat="false" ht="55.5" hidden="false" customHeight="true" outlineLevel="0" collapsed="false">
      <c r="A30" s="12" t="s">
        <v>883</v>
      </c>
      <c r="B30" s="12" t="s">
        <v>857</v>
      </c>
      <c r="C30" s="13" t="s">
        <v>884</v>
      </c>
      <c r="D30" s="13" t="s">
        <v>885</v>
      </c>
      <c r="E30" s="13" t="s">
        <v>886</v>
      </c>
      <c r="F30" s="12" t="s">
        <v>794</v>
      </c>
    </row>
    <row r="31" customFormat="false" ht="55.5" hidden="false" customHeight="true" outlineLevel="0" collapsed="false">
      <c r="A31" s="10" t="s">
        <v>887</v>
      </c>
      <c r="B31" s="10" t="s">
        <v>857</v>
      </c>
      <c r="C31" s="11" t="s">
        <v>888</v>
      </c>
      <c r="D31" s="11" t="s">
        <v>889</v>
      </c>
      <c r="E31" s="11" t="s">
        <v>890</v>
      </c>
      <c r="F31" s="10" t="s">
        <v>891</v>
      </c>
    </row>
    <row r="32" customFormat="false" ht="55.5" hidden="false" customHeight="true" outlineLevel="0" collapsed="false">
      <c r="A32" s="12" t="s">
        <v>892</v>
      </c>
      <c r="B32" s="12" t="s">
        <v>893</v>
      </c>
      <c r="C32" s="13" t="s">
        <v>894</v>
      </c>
      <c r="D32" s="13" t="s">
        <v>895</v>
      </c>
      <c r="E32" s="13" t="s">
        <v>793</v>
      </c>
      <c r="F32" s="12" t="s">
        <v>794</v>
      </c>
    </row>
    <row r="33" customFormat="false" ht="55.5" hidden="false" customHeight="true" outlineLevel="0" collapsed="false">
      <c r="A33" s="10" t="s">
        <v>896</v>
      </c>
      <c r="B33" s="10" t="s">
        <v>897</v>
      </c>
      <c r="C33" s="11" t="s">
        <v>898</v>
      </c>
      <c r="D33" s="11" t="s">
        <v>899</v>
      </c>
      <c r="E33" s="11" t="s">
        <v>900</v>
      </c>
      <c r="F33" s="10" t="s">
        <v>794</v>
      </c>
    </row>
    <row r="34" customFormat="false" ht="55.5" hidden="false" customHeight="true" outlineLevel="0" collapsed="false">
      <c r="A34" s="12" t="s">
        <v>901</v>
      </c>
      <c r="B34" s="12" t="s">
        <v>902</v>
      </c>
      <c r="C34" s="13" t="s">
        <v>903</v>
      </c>
      <c r="D34" s="13" t="s">
        <v>904</v>
      </c>
      <c r="E34" s="13" t="s">
        <v>873</v>
      </c>
      <c r="F34" s="12" t="s">
        <v>794</v>
      </c>
    </row>
    <row r="35" customFormat="false" ht="55.5" hidden="false" customHeight="true" outlineLevel="0" collapsed="false">
      <c r="A35" s="10" t="s">
        <v>432</v>
      </c>
      <c r="B35" s="10" t="s">
        <v>902</v>
      </c>
      <c r="C35" s="11" t="s">
        <v>905</v>
      </c>
      <c r="D35" s="11" t="s">
        <v>906</v>
      </c>
      <c r="E35" s="11" t="s">
        <v>907</v>
      </c>
      <c r="F35" s="10" t="s">
        <v>794</v>
      </c>
    </row>
    <row r="36" customFormat="false" ht="55.5" hidden="false" customHeight="true" outlineLevel="0" collapsed="false">
      <c r="A36" s="12" t="s">
        <v>908</v>
      </c>
      <c r="B36" s="12" t="s">
        <v>902</v>
      </c>
      <c r="C36" s="13" t="s">
        <v>909</v>
      </c>
      <c r="D36" s="13" t="s">
        <v>910</v>
      </c>
      <c r="E36" s="13" t="s">
        <v>808</v>
      </c>
      <c r="F36" s="12" t="s">
        <v>794</v>
      </c>
    </row>
    <row r="37" customFormat="false" ht="55.5" hidden="false" customHeight="true" outlineLevel="0" collapsed="false">
      <c r="A37" s="10" t="s">
        <v>911</v>
      </c>
      <c r="B37" s="10" t="s">
        <v>912</v>
      </c>
      <c r="C37" s="11" t="s">
        <v>913</v>
      </c>
      <c r="D37" s="11" t="s">
        <v>914</v>
      </c>
      <c r="E37" s="11" t="s">
        <v>845</v>
      </c>
      <c r="F37" s="10" t="s">
        <v>794</v>
      </c>
    </row>
    <row r="38" customFormat="false" ht="55.5" hidden="false" customHeight="true" outlineLevel="0" collapsed="false">
      <c r="A38" s="12" t="s">
        <v>915</v>
      </c>
      <c r="B38" s="12" t="s">
        <v>916</v>
      </c>
      <c r="C38" s="13" t="s">
        <v>917</v>
      </c>
      <c r="D38" s="13" t="s">
        <v>918</v>
      </c>
      <c r="E38" s="13" t="s">
        <v>919</v>
      </c>
      <c r="F38" s="12" t="s">
        <v>794</v>
      </c>
    </row>
    <row r="39" customFormat="false" ht="55.5" hidden="false" customHeight="true" outlineLevel="0" collapsed="false">
      <c r="A39" s="10" t="s">
        <v>920</v>
      </c>
      <c r="B39" s="10" t="s">
        <v>916</v>
      </c>
      <c r="C39" s="11" t="s">
        <v>921</v>
      </c>
      <c r="D39" s="11" t="s">
        <v>922</v>
      </c>
      <c r="E39" s="11" t="s">
        <v>923</v>
      </c>
      <c r="F39" s="10" t="s">
        <v>794</v>
      </c>
    </row>
    <row r="40" customFormat="false" ht="55.5" hidden="false" customHeight="true" outlineLevel="0" collapsed="false">
      <c r="A40" s="12" t="s">
        <v>924</v>
      </c>
      <c r="B40" s="12" t="s">
        <v>925</v>
      </c>
      <c r="C40" s="13" t="s">
        <v>926</v>
      </c>
      <c r="D40" s="13" t="s">
        <v>927</v>
      </c>
      <c r="E40" s="13" t="s">
        <v>907</v>
      </c>
      <c r="F40" s="12" t="s">
        <v>794</v>
      </c>
    </row>
    <row r="41" customFormat="false" ht="55.5" hidden="false" customHeight="true" outlineLevel="0" collapsed="false">
      <c r="A41" s="10" t="s">
        <v>928</v>
      </c>
      <c r="B41" s="10" t="s">
        <v>929</v>
      </c>
      <c r="C41" s="11" t="s">
        <v>930</v>
      </c>
      <c r="D41" s="11" t="s">
        <v>931</v>
      </c>
      <c r="E41" s="11" t="s">
        <v>932</v>
      </c>
      <c r="F41" s="10" t="s">
        <v>794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58"/>
    <col collapsed="false" customWidth="true" hidden="false" outlineLevel="0" max="4" min="4" style="1" width="36"/>
    <col collapsed="false" customWidth="true" hidden="false" outlineLevel="0" max="5" min="5" style="1" width="38"/>
    <col collapsed="false" customWidth="true" hidden="false" outlineLevel="0" max="6" min="6" style="1" width="26"/>
    <col collapsed="false" customWidth="true" hidden="false" outlineLevel="0" max="7" min="7" style="1" width="18"/>
  </cols>
  <sheetData>
    <row r="1" customFormat="false" ht="21.75" hidden="false" customHeight="true" outlineLevel="0" collapsed="false">
      <c r="A1" s="7" t="s">
        <v>933</v>
      </c>
    </row>
    <row r="2" customFormat="false" ht="74.25" hidden="false" customHeight="true" outlineLevel="0" collapsed="false">
      <c r="A2" s="8" t="s">
        <v>934</v>
      </c>
      <c r="B2" s="8"/>
      <c r="C2" s="8"/>
      <c r="D2" s="8"/>
      <c r="E2" s="8"/>
      <c r="F2" s="8"/>
      <c r="G2" s="8"/>
    </row>
    <row r="3" customFormat="false" ht="6" hidden="false" customHeight="true" outlineLevel="0" collapsed="false"/>
    <row r="4" customFormat="false" ht="31.5" hidden="false" customHeight="true" outlineLevel="0" collapsed="false">
      <c r="A4" s="9" t="s">
        <v>783</v>
      </c>
      <c r="B4" s="9" t="s">
        <v>784</v>
      </c>
      <c r="C4" s="9" t="s">
        <v>785</v>
      </c>
      <c r="D4" s="9" t="s">
        <v>786</v>
      </c>
      <c r="E4" s="9" t="s">
        <v>935</v>
      </c>
      <c r="F4" s="9" t="s">
        <v>787</v>
      </c>
      <c r="G4" s="9" t="s">
        <v>788</v>
      </c>
    </row>
    <row r="5" customFormat="false" ht="61.5" hidden="false" customHeight="true" outlineLevel="0" collapsed="false">
      <c r="A5" s="10" t="s">
        <v>936</v>
      </c>
      <c r="B5" s="10" t="s">
        <v>937</v>
      </c>
      <c r="C5" s="11" t="s">
        <v>938</v>
      </c>
      <c r="D5" s="11" t="s">
        <v>939</v>
      </c>
      <c r="E5" s="11" t="s">
        <v>940</v>
      </c>
      <c r="F5" s="11" t="s">
        <v>941</v>
      </c>
      <c r="G5" s="10" t="s">
        <v>794</v>
      </c>
    </row>
    <row r="6" customFormat="false" ht="61.5" hidden="false" customHeight="true" outlineLevel="0" collapsed="false">
      <c r="A6" s="12" t="s">
        <v>942</v>
      </c>
      <c r="B6" s="12" t="s">
        <v>937</v>
      </c>
      <c r="C6" s="13" t="s">
        <v>943</v>
      </c>
      <c r="D6" s="13" t="s">
        <v>944</v>
      </c>
      <c r="E6" s="13" t="s">
        <v>945</v>
      </c>
      <c r="F6" s="13" t="s">
        <v>941</v>
      </c>
      <c r="G6" s="12" t="s">
        <v>794</v>
      </c>
    </row>
    <row r="7" customFormat="false" ht="61.5" hidden="false" customHeight="true" outlineLevel="0" collapsed="false">
      <c r="A7" s="10" t="s">
        <v>946</v>
      </c>
      <c r="B7" s="10" t="s">
        <v>947</v>
      </c>
      <c r="C7" s="11" t="s">
        <v>948</v>
      </c>
      <c r="D7" s="11" t="s">
        <v>949</v>
      </c>
      <c r="E7" s="11" t="s">
        <v>950</v>
      </c>
      <c r="F7" s="11" t="s">
        <v>941</v>
      </c>
      <c r="G7" s="10" t="s">
        <v>794</v>
      </c>
    </row>
    <row r="8" customFormat="false" ht="61.5" hidden="false" customHeight="true" outlineLevel="0" collapsed="false">
      <c r="A8" s="12" t="s">
        <v>951</v>
      </c>
      <c r="B8" s="12" t="s">
        <v>952</v>
      </c>
      <c r="C8" s="13" t="s">
        <v>953</v>
      </c>
      <c r="D8" s="13" t="s">
        <v>954</v>
      </c>
      <c r="E8" s="13" t="s">
        <v>955</v>
      </c>
      <c r="F8" s="13" t="s">
        <v>941</v>
      </c>
      <c r="G8" s="12" t="s">
        <v>794</v>
      </c>
    </row>
    <row r="9" customFormat="false" ht="61.5" hidden="false" customHeight="true" outlineLevel="0" collapsed="false">
      <c r="A9" s="10" t="s">
        <v>956</v>
      </c>
      <c r="B9" s="10" t="s">
        <v>957</v>
      </c>
      <c r="C9" s="11" t="s">
        <v>958</v>
      </c>
      <c r="D9" s="11" t="s">
        <v>959</v>
      </c>
      <c r="E9" s="11" t="s">
        <v>960</v>
      </c>
      <c r="F9" s="11" t="s">
        <v>941</v>
      </c>
      <c r="G9" s="10" t="s">
        <v>794</v>
      </c>
    </row>
    <row r="10" customFormat="false" ht="61.5" hidden="false" customHeight="true" outlineLevel="0" collapsed="false">
      <c r="A10" s="12" t="s">
        <v>961</v>
      </c>
      <c r="B10" s="12" t="s">
        <v>962</v>
      </c>
      <c r="C10" s="13" t="s">
        <v>963</v>
      </c>
      <c r="D10" s="13" t="s">
        <v>964</v>
      </c>
      <c r="E10" s="13" t="s">
        <v>965</v>
      </c>
      <c r="F10" s="13" t="s">
        <v>941</v>
      </c>
      <c r="G10" s="12" t="s">
        <v>794</v>
      </c>
    </row>
    <row r="11" customFormat="false" ht="61.5" hidden="false" customHeight="true" outlineLevel="0" collapsed="false">
      <c r="A11" s="10" t="s">
        <v>966</v>
      </c>
      <c r="B11" s="10" t="s">
        <v>967</v>
      </c>
      <c r="C11" s="11" t="s">
        <v>968</v>
      </c>
      <c r="D11" s="11" t="s">
        <v>969</v>
      </c>
      <c r="E11" s="11" t="s">
        <v>970</v>
      </c>
      <c r="F11" s="11" t="s">
        <v>941</v>
      </c>
      <c r="G11" s="10" t="s">
        <v>794</v>
      </c>
    </row>
    <row r="12" customFormat="false" ht="61.5" hidden="false" customHeight="true" outlineLevel="0" collapsed="false">
      <c r="A12" s="12" t="s">
        <v>971</v>
      </c>
      <c r="B12" s="12" t="s">
        <v>967</v>
      </c>
      <c r="C12" s="13" t="s">
        <v>972</v>
      </c>
      <c r="D12" s="13" t="s">
        <v>973</v>
      </c>
      <c r="E12" s="13" t="s">
        <v>974</v>
      </c>
      <c r="F12" s="13" t="s">
        <v>941</v>
      </c>
      <c r="G12" s="12" t="s">
        <v>794</v>
      </c>
    </row>
    <row r="13" customFormat="false" ht="61.5" hidden="false" customHeight="true" outlineLevel="0" collapsed="false">
      <c r="A13" s="10" t="s">
        <v>975</v>
      </c>
      <c r="B13" s="10" t="s">
        <v>976</v>
      </c>
      <c r="C13" s="11" t="s">
        <v>977</v>
      </c>
      <c r="D13" s="11" t="s">
        <v>978</v>
      </c>
      <c r="E13" s="11" t="s">
        <v>979</v>
      </c>
      <c r="F13" s="11" t="s">
        <v>941</v>
      </c>
      <c r="G13" s="10" t="s">
        <v>794</v>
      </c>
    </row>
    <row r="14" customFormat="false" ht="61.5" hidden="false" customHeight="true" outlineLevel="0" collapsed="false">
      <c r="A14" s="12" t="s">
        <v>980</v>
      </c>
      <c r="B14" s="12" t="s">
        <v>981</v>
      </c>
      <c r="C14" s="13" t="s">
        <v>982</v>
      </c>
      <c r="D14" s="13" t="s">
        <v>983</v>
      </c>
      <c r="E14" s="13" t="s">
        <v>984</v>
      </c>
      <c r="F14" s="13" t="s">
        <v>941</v>
      </c>
      <c r="G14" s="12" t="s">
        <v>794</v>
      </c>
    </row>
    <row r="15" customFormat="false" ht="61.5" hidden="false" customHeight="true" outlineLevel="0" collapsed="false">
      <c r="A15" s="10" t="s">
        <v>985</v>
      </c>
      <c r="B15" s="10" t="s">
        <v>986</v>
      </c>
      <c r="C15" s="11" t="s">
        <v>987</v>
      </c>
      <c r="D15" s="11" t="s">
        <v>988</v>
      </c>
      <c r="E15" s="11" t="s">
        <v>989</v>
      </c>
      <c r="F15" s="11" t="s">
        <v>941</v>
      </c>
      <c r="G15" s="10" t="s">
        <v>794</v>
      </c>
    </row>
    <row r="16" customFormat="false" ht="61.5" hidden="false" customHeight="true" outlineLevel="0" collapsed="false">
      <c r="A16" s="12" t="s">
        <v>990</v>
      </c>
      <c r="B16" s="12" t="s">
        <v>991</v>
      </c>
      <c r="C16" s="13" t="s">
        <v>992</v>
      </c>
      <c r="D16" s="13" t="s">
        <v>993</v>
      </c>
      <c r="E16" s="13" t="s">
        <v>994</v>
      </c>
      <c r="F16" s="13" t="s">
        <v>941</v>
      </c>
      <c r="G16" s="12" t="s">
        <v>794</v>
      </c>
    </row>
    <row r="17" customFormat="false" ht="61.5" hidden="false" customHeight="true" outlineLevel="0" collapsed="false">
      <c r="A17" s="10" t="s">
        <v>995</v>
      </c>
      <c r="B17" s="10" t="s">
        <v>991</v>
      </c>
      <c r="C17" s="11" t="s">
        <v>996</v>
      </c>
      <c r="D17" s="11" t="s">
        <v>997</v>
      </c>
      <c r="E17" s="11" t="s">
        <v>998</v>
      </c>
      <c r="F17" s="11" t="s">
        <v>941</v>
      </c>
      <c r="G17" s="10" t="s">
        <v>794</v>
      </c>
    </row>
    <row r="18" customFormat="false" ht="61.5" hidden="false" customHeight="true" outlineLevel="0" collapsed="false">
      <c r="A18" s="12" t="s">
        <v>999</v>
      </c>
      <c r="B18" s="12" t="s">
        <v>991</v>
      </c>
      <c r="C18" s="13" t="s">
        <v>1000</v>
      </c>
      <c r="D18" s="13" t="s">
        <v>1001</v>
      </c>
      <c r="E18" s="13" t="s">
        <v>1002</v>
      </c>
      <c r="F18" s="13" t="s">
        <v>941</v>
      </c>
      <c r="G18" s="12" t="s">
        <v>794</v>
      </c>
    </row>
    <row r="19" customFormat="false" ht="61.5" hidden="false" customHeight="true" outlineLevel="0" collapsed="false">
      <c r="A19" s="10" t="s">
        <v>1003</v>
      </c>
      <c r="B19" s="10" t="s">
        <v>1004</v>
      </c>
      <c r="C19" s="11" t="s">
        <v>1005</v>
      </c>
      <c r="D19" s="11" t="s">
        <v>1006</v>
      </c>
      <c r="E19" s="11" t="s">
        <v>1007</v>
      </c>
      <c r="F19" s="11" t="s">
        <v>1008</v>
      </c>
      <c r="G19" s="10" t="s">
        <v>794</v>
      </c>
    </row>
    <row r="20" customFormat="false" ht="61.5" hidden="false" customHeight="true" outlineLevel="0" collapsed="false">
      <c r="A20" s="12" t="s">
        <v>1009</v>
      </c>
      <c r="B20" s="12" t="s">
        <v>1004</v>
      </c>
      <c r="C20" s="13" t="s">
        <v>1010</v>
      </c>
      <c r="D20" s="13" t="s">
        <v>1011</v>
      </c>
      <c r="E20" s="13" t="s">
        <v>1012</v>
      </c>
      <c r="F20" s="13" t="s">
        <v>941</v>
      </c>
      <c r="G20" s="12" t="s">
        <v>794</v>
      </c>
    </row>
    <row r="21" customFormat="false" ht="61.5" hidden="false" customHeight="true" outlineLevel="0" collapsed="false">
      <c r="A21" s="10" t="s">
        <v>1013</v>
      </c>
      <c r="B21" s="10" t="s">
        <v>1004</v>
      </c>
      <c r="C21" s="11" t="s">
        <v>1014</v>
      </c>
      <c r="D21" s="11" t="s">
        <v>1015</v>
      </c>
      <c r="E21" s="11" t="s">
        <v>1016</v>
      </c>
      <c r="F21" s="11" t="s">
        <v>941</v>
      </c>
      <c r="G21" s="10" t="s">
        <v>794</v>
      </c>
    </row>
    <row r="22" customFormat="false" ht="61.5" hidden="false" customHeight="true" outlineLevel="0" collapsed="false">
      <c r="A22" s="12" t="s">
        <v>1017</v>
      </c>
      <c r="B22" s="12" t="s">
        <v>1004</v>
      </c>
      <c r="C22" s="13" t="s">
        <v>1018</v>
      </c>
      <c r="D22" s="13" t="s">
        <v>1019</v>
      </c>
      <c r="E22" s="13" t="s">
        <v>1020</v>
      </c>
      <c r="F22" s="13" t="s">
        <v>941</v>
      </c>
      <c r="G22" s="12" t="s">
        <v>794</v>
      </c>
    </row>
    <row r="23" customFormat="false" ht="61.5" hidden="false" customHeight="true" outlineLevel="0" collapsed="false">
      <c r="A23" s="10" t="s">
        <v>1021</v>
      </c>
      <c r="B23" s="10" t="s">
        <v>1022</v>
      </c>
      <c r="C23" s="11" t="s">
        <v>1023</v>
      </c>
      <c r="D23" s="11" t="s">
        <v>1024</v>
      </c>
      <c r="E23" s="11" t="s">
        <v>1025</v>
      </c>
      <c r="F23" s="11" t="s">
        <v>941</v>
      </c>
      <c r="G23" s="10" t="s">
        <v>794</v>
      </c>
    </row>
    <row r="24" customFormat="false" ht="61.5" hidden="false" customHeight="true" outlineLevel="0" collapsed="false">
      <c r="A24" s="12" t="s">
        <v>1026</v>
      </c>
      <c r="B24" s="12" t="s">
        <v>1027</v>
      </c>
      <c r="C24" s="13" t="s">
        <v>1028</v>
      </c>
      <c r="D24" s="13" t="s">
        <v>1029</v>
      </c>
      <c r="E24" s="13" t="s">
        <v>1030</v>
      </c>
      <c r="F24" s="13" t="s">
        <v>941</v>
      </c>
      <c r="G24" s="12" t="s">
        <v>794</v>
      </c>
    </row>
    <row r="25" customFormat="false" ht="61.5" hidden="false" customHeight="true" outlineLevel="0" collapsed="false">
      <c r="A25" s="10" t="s">
        <v>1031</v>
      </c>
      <c r="B25" s="10" t="s">
        <v>1032</v>
      </c>
      <c r="C25" s="11" t="s">
        <v>1033</v>
      </c>
      <c r="D25" s="11" t="s">
        <v>1034</v>
      </c>
      <c r="E25" s="11" t="s">
        <v>1035</v>
      </c>
      <c r="F25" s="11" t="s">
        <v>1036</v>
      </c>
      <c r="G25" s="10" t="s">
        <v>794</v>
      </c>
    </row>
    <row r="26" customFormat="false" ht="61.5" hidden="false" customHeight="true" outlineLevel="0" collapsed="false">
      <c r="A26" s="12" t="s">
        <v>1037</v>
      </c>
      <c r="B26" s="12" t="s">
        <v>1038</v>
      </c>
      <c r="C26" s="13" t="s">
        <v>1039</v>
      </c>
      <c r="D26" s="13" t="s">
        <v>1040</v>
      </c>
      <c r="E26" s="13" t="s">
        <v>1041</v>
      </c>
      <c r="F26" s="13" t="s">
        <v>820</v>
      </c>
      <c r="G26" s="12" t="s">
        <v>794</v>
      </c>
    </row>
    <row r="27" customFormat="false" ht="61.5" hidden="false" customHeight="true" outlineLevel="0" collapsed="false">
      <c r="A27" s="10" t="s">
        <v>1042</v>
      </c>
      <c r="B27" s="10" t="s">
        <v>1043</v>
      </c>
      <c r="C27" s="11" t="s">
        <v>1044</v>
      </c>
      <c r="D27" s="11" t="s">
        <v>1045</v>
      </c>
      <c r="E27" s="11" t="s">
        <v>1046</v>
      </c>
      <c r="F27" s="11" t="s">
        <v>941</v>
      </c>
      <c r="G27" s="10" t="s">
        <v>794</v>
      </c>
    </row>
    <row r="28" customFormat="false" ht="61.5" hidden="false" customHeight="true" outlineLevel="0" collapsed="false">
      <c r="A28" s="12" t="s">
        <v>1047</v>
      </c>
      <c r="B28" s="12" t="s">
        <v>1048</v>
      </c>
      <c r="C28" s="13" t="s">
        <v>1049</v>
      </c>
      <c r="D28" s="13" t="s">
        <v>1050</v>
      </c>
      <c r="E28" s="13" t="s">
        <v>1051</v>
      </c>
      <c r="F28" s="13" t="s">
        <v>941</v>
      </c>
      <c r="G28" s="12" t="s">
        <v>794</v>
      </c>
    </row>
    <row r="29" customFormat="false" ht="61.5" hidden="false" customHeight="true" outlineLevel="0" collapsed="false">
      <c r="A29" s="10" t="s">
        <v>1052</v>
      </c>
      <c r="B29" s="10" t="s">
        <v>1053</v>
      </c>
      <c r="C29" s="11" t="s">
        <v>1054</v>
      </c>
      <c r="D29" s="11" t="s">
        <v>1055</v>
      </c>
      <c r="E29" s="11" t="s">
        <v>1056</v>
      </c>
      <c r="F29" s="11" t="s">
        <v>941</v>
      </c>
      <c r="G29" s="10" t="s">
        <v>794</v>
      </c>
    </row>
    <row r="30" customFormat="false" ht="61.5" hidden="false" customHeight="true" outlineLevel="0" collapsed="false">
      <c r="A30" s="12" t="s">
        <v>1057</v>
      </c>
      <c r="B30" s="12" t="s">
        <v>1058</v>
      </c>
      <c r="C30" s="13" t="s">
        <v>1059</v>
      </c>
      <c r="D30" s="13" t="s">
        <v>1060</v>
      </c>
      <c r="E30" s="13" t="s">
        <v>1061</v>
      </c>
      <c r="F30" s="13" t="s">
        <v>941</v>
      </c>
      <c r="G30" s="12" t="s">
        <v>794</v>
      </c>
    </row>
    <row r="31" customFormat="false" ht="61.5" hidden="false" customHeight="true" outlineLevel="0" collapsed="false">
      <c r="A31" s="10" t="s">
        <v>1062</v>
      </c>
      <c r="B31" s="10" t="s">
        <v>1063</v>
      </c>
      <c r="C31" s="11" t="s">
        <v>1064</v>
      </c>
      <c r="D31" s="11" t="s">
        <v>1065</v>
      </c>
      <c r="E31" s="11" t="s">
        <v>1066</v>
      </c>
      <c r="F31" s="11" t="s">
        <v>1067</v>
      </c>
      <c r="G31" s="10" t="s">
        <v>794</v>
      </c>
    </row>
    <row r="32" customFormat="false" ht="61.5" hidden="false" customHeight="true" outlineLevel="0" collapsed="false">
      <c r="A32" s="12" t="s">
        <v>1068</v>
      </c>
      <c r="B32" s="12" t="s">
        <v>1069</v>
      </c>
      <c r="C32" s="13" t="s">
        <v>1070</v>
      </c>
      <c r="D32" s="13" t="s">
        <v>1071</v>
      </c>
      <c r="E32" s="13" t="s">
        <v>1072</v>
      </c>
      <c r="F32" s="13" t="s">
        <v>941</v>
      </c>
      <c r="G32" s="12" t="s">
        <v>794</v>
      </c>
    </row>
    <row r="33" customFormat="false" ht="61.5" hidden="false" customHeight="true" outlineLevel="0" collapsed="false">
      <c r="A33" s="10" t="s">
        <v>1073</v>
      </c>
      <c r="B33" s="10" t="s">
        <v>1074</v>
      </c>
      <c r="C33" s="11" t="s">
        <v>1075</v>
      </c>
      <c r="D33" s="11" t="s">
        <v>1076</v>
      </c>
      <c r="E33" s="11" t="s">
        <v>1077</v>
      </c>
      <c r="F33" s="11" t="s">
        <v>1036</v>
      </c>
      <c r="G33" s="10" t="s">
        <v>794</v>
      </c>
    </row>
    <row r="34" customFormat="false" ht="61.5" hidden="false" customHeight="true" outlineLevel="0" collapsed="false">
      <c r="A34" s="12" t="s">
        <v>1078</v>
      </c>
      <c r="B34" s="12" t="s">
        <v>1079</v>
      </c>
      <c r="C34" s="13" t="s">
        <v>1080</v>
      </c>
      <c r="D34" s="13" t="s">
        <v>1081</v>
      </c>
      <c r="E34" s="13" t="s">
        <v>1082</v>
      </c>
      <c r="F34" s="13" t="s">
        <v>941</v>
      </c>
      <c r="G34" s="12" t="s">
        <v>794</v>
      </c>
    </row>
    <row r="35" customFormat="false" ht="61.5" hidden="false" customHeight="true" outlineLevel="0" collapsed="false">
      <c r="A35" s="10" t="s">
        <v>1083</v>
      </c>
      <c r="B35" s="10" t="s">
        <v>1084</v>
      </c>
      <c r="C35" s="11" t="s">
        <v>1085</v>
      </c>
      <c r="D35" s="11" t="s">
        <v>1086</v>
      </c>
      <c r="E35" s="11" t="s">
        <v>1087</v>
      </c>
      <c r="F35" s="11" t="s">
        <v>941</v>
      </c>
      <c r="G35" s="10" t="s">
        <v>794</v>
      </c>
    </row>
    <row r="36" customFormat="false" ht="61.5" hidden="false" customHeight="true" outlineLevel="0" collapsed="false">
      <c r="A36" s="12" t="s">
        <v>1088</v>
      </c>
      <c r="B36" s="12" t="s">
        <v>1089</v>
      </c>
      <c r="C36" s="13" t="s">
        <v>1090</v>
      </c>
      <c r="D36" s="13" t="s">
        <v>1091</v>
      </c>
      <c r="E36" s="13" t="s">
        <v>1092</v>
      </c>
      <c r="F36" s="13" t="s">
        <v>1093</v>
      </c>
      <c r="G36" s="12" t="s">
        <v>794</v>
      </c>
    </row>
    <row r="37" customFormat="false" ht="61.5" hidden="false" customHeight="true" outlineLevel="0" collapsed="false">
      <c r="A37" s="10" t="s">
        <v>1094</v>
      </c>
      <c r="B37" s="10" t="s">
        <v>1095</v>
      </c>
      <c r="C37" s="11" t="s">
        <v>1096</v>
      </c>
      <c r="D37" s="11" t="s">
        <v>1097</v>
      </c>
      <c r="E37" s="11" t="s">
        <v>1098</v>
      </c>
      <c r="F37" s="11" t="s">
        <v>1099</v>
      </c>
      <c r="G37" s="10" t="s">
        <v>794</v>
      </c>
    </row>
    <row r="38" customFormat="false" ht="61.5" hidden="false" customHeight="true" outlineLevel="0" collapsed="false">
      <c r="A38" s="12" t="s">
        <v>1100</v>
      </c>
      <c r="B38" s="12" t="s">
        <v>1095</v>
      </c>
      <c r="C38" s="13" t="s">
        <v>1101</v>
      </c>
      <c r="D38" s="13" t="s">
        <v>1102</v>
      </c>
      <c r="E38" s="13" t="s">
        <v>1103</v>
      </c>
      <c r="F38" s="13" t="s">
        <v>941</v>
      </c>
      <c r="G38" s="12" t="s">
        <v>794</v>
      </c>
    </row>
    <row r="39" customFormat="false" ht="61.5" hidden="false" customHeight="true" outlineLevel="0" collapsed="false">
      <c r="A39" s="10" t="s">
        <v>1104</v>
      </c>
      <c r="B39" s="10" t="s">
        <v>1095</v>
      </c>
      <c r="C39" s="11" t="s">
        <v>1105</v>
      </c>
      <c r="D39" s="11" t="s">
        <v>1106</v>
      </c>
      <c r="E39" s="11" t="s">
        <v>1107</v>
      </c>
      <c r="F39" s="11" t="s">
        <v>941</v>
      </c>
      <c r="G39" s="10" t="s">
        <v>794</v>
      </c>
    </row>
    <row r="40" customFormat="false" ht="61.5" hidden="false" customHeight="true" outlineLevel="0" collapsed="false">
      <c r="A40" s="12" t="s">
        <v>1108</v>
      </c>
      <c r="B40" s="12" t="s">
        <v>1109</v>
      </c>
      <c r="C40" s="13" t="s">
        <v>1110</v>
      </c>
      <c r="D40" s="13" t="s">
        <v>1111</v>
      </c>
      <c r="E40" s="13" t="s">
        <v>1112</v>
      </c>
      <c r="F40" s="13" t="s">
        <v>941</v>
      </c>
      <c r="G40" s="12" t="s">
        <v>794</v>
      </c>
    </row>
    <row r="41" customFormat="false" ht="61.5" hidden="false" customHeight="true" outlineLevel="0" collapsed="false">
      <c r="A41" s="10" t="s">
        <v>1113</v>
      </c>
      <c r="B41" s="10" t="s">
        <v>1114</v>
      </c>
      <c r="C41" s="11" t="s">
        <v>1115</v>
      </c>
      <c r="D41" s="11" t="s">
        <v>1116</v>
      </c>
      <c r="E41" s="11" t="s">
        <v>1117</v>
      </c>
      <c r="F41" s="11" t="s">
        <v>1118</v>
      </c>
      <c r="G41" s="10" t="s">
        <v>794</v>
      </c>
    </row>
    <row r="42" customFormat="false" ht="61.5" hidden="false" customHeight="true" outlineLevel="0" collapsed="false">
      <c r="A42" s="12" t="s">
        <v>1119</v>
      </c>
      <c r="B42" s="12" t="s">
        <v>1114</v>
      </c>
      <c r="C42" s="13" t="s">
        <v>1120</v>
      </c>
      <c r="D42" s="13" t="s">
        <v>1121</v>
      </c>
      <c r="E42" s="13" t="s">
        <v>1122</v>
      </c>
      <c r="F42" s="13" t="s">
        <v>941</v>
      </c>
      <c r="G42" s="12" t="s">
        <v>794</v>
      </c>
    </row>
    <row r="43" customFormat="false" ht="61.5" hidden="false" customHeight="true" outlineLevel="0" collapsed="false">
      <c r="A43" s="10" t="s">
        <v>1123</v>
      </c>
      <c r="B43" s="10" t="s">
        <v>1114</v>
      </c>
      <c r="C43" s="11" t="s">
        <v>1124</v>
      </c>
      <c r="D43" s="11" t="s">
        <v>1125</v>
      </c>
      <c r="E43" s="11" t="s">
        <v>1126</v>
      </c>
      <c r="F43" s="11" t="s">
        <v>941</v>
      </c>
      <c r="G43" s="10" t="s">
        <v>794</v>
      </c>
    </row>
    <row r="44" customFormat="false" ht="61.5" hidden="false" customHeight="true" outlineLevel="0" collapsed="false">
      <c r="A44" s="12" t="s">
        <v>1127</v>
      </c>
      <c r="B44" s="12" t="s">
        <v>1128</v>
      </c>
      <c r="C44" s="13" t="s">
        <v>1129</v>
      </c>
      <c r="D44" s="13" t="s">
        <v>1130</v>
      </c>
      <c r="E44" s="13" t="s">
        <v>1131</v>
      </c>
      <c r="F44" s="13" t="s">
        <v>1132</v>
      </c>
      <c r="G44" s="12" t="s">
        <v>794</v>
      </c>
    </row>
    <row r="45" customFormat="false" ht="61.5" hidden="false" customHeight="true" outlineLevel="0" collapsed="false">
      <c r="A45" s="10" t="s">
        <v>1133</v>
      </c>
      <c r="B45" s="10" t="s">
        <v>1134</v>
      </c>
      <c r="C45" s="11" t="s">
        <v>1135</v>
      </c>
      <c r="D45" s="11" t="s">
        <v>1136</v>
      </c>
      <c r="E45" s="11" t="s">
        <v>1137</v>
      </c>
      <c r="F45" s="11" t="s">
        <v>941</v>
      </c>
      <c r="G45" s="10" t="s">
        <v>794</v>
      </c>
    </row>
    <row r="46" customFormat="false" ht="61.5" hidden="false" customHeight="true" outlineLevel="0" collapsed="false">
      <c r="A46" s="12" t="s">
        <v>1138</v>
      </c>
      <c r="B46" s="12" t="s">
        <v>1139</v>
      </c>
      <c r="C46" s="13" t="s">
        <v>1140</v>
      </c>
      <c r="D46" s="13" t="s">
        <v>1141</v>
      </c>
      <c r="E46" s="13" t="s">
        <v>1142</v>
      </c>
      <c r="F46" s="13" t="s">
        <v>941</v>
      </c>
      <c r="G46" s="12" t="s">
        <v>794</v>
      </c>
    </row>
    <row r="47" customFormat="false" ht="61.5" hidden="false" customHeight="true" outlineLevel="0" collapsed="false">
      <c r="A47" s="10" t="s">
        <v>1143</v>
      </c>
      <c r="B47" s="10" t="s">
        <v>1144</v>
      </c>
      <c r="C47" s="11" t="s">
        <v>1145</v>
      </c>
      <c r="D47" s="11" t="s">
        <v>1146</v>
      </c>
      <c r="E47" s="11" t="s">
        <v>1147</v>
      </c>
      <c r="F47" s="11" t="s">
        <v>1132</v>
      </c>
      <c r="G47" s="10" t="s">
        <v>794</v>
      </c>
    </row>
    <row r="48" customFormat="false" ht="61.5" hidden="false" customHeight="true" outlineLevel="0" collapsed="false">
      <c r="A48" s="12" t="s">
        <v>1148</v>
      </c>
      <c r="B48" s="12" t="s">
        <v>1149</v>
      </c>
      <c r="C48" s="13" t="s">
        <v>1150</v>
      </c>
      <c r="D48" s="13" t="s">
        <v>1151</v>
      </c>
      <c r="E48" s="13" t="s">
        <v>1152</v>
      </c>
      <c r="F48" s="13" t="s">
        <v>1132</v>
      </c>
      <c r="G48" s="12" t="s">
        <v>794</v>
      </c>
    </row>
    <row r="49" customFormat="false" ht="61.5" hidden="false" customHeight="true" outlineLevel="0" collapsed="false">
      <c r="A49" s="10" t="s">
        <v>1153</v>
      </c>
      <c r="B49" s="10" t="s">
        <v>1154</v>
      </c>
      <c r="C49" s="11" t="s">
        <v>1155</v>
      </c>
      <c r="D49" s="11" t="s">
        <v>1156</v>
      </c>
      <c r="E49" s="11" t="s">
        <v>1157</v>
      </c>
      <c r="F49" s="11" t="s">
        <v>1158</v>
      </c>
      <c r="G49" s="10" t="s">
        <v>794</v>
      </c>
    </row>
    <row r="50" customFormat="false" ht="61.5" hidden="false" customHeight="true" outlineLevel="0" collapsed="false">
      <c r="A50" s="17" t="s">
        <v>1159</v>
      </c>
      <c r="B50" s="17" t="s">
        <v>1160</v>
      </c>
      <c r="C50" s="18" t="s">
        <v>1161</v>
      </c>
      <c r="D50" s="18" t="s">
        <v>38</v>
      </c>
      <c r="E50" s="18" t="s">
        <v>1162</v>
      </c>
      <c r="F50" s="18" t="s">
        <v>1163</v>
      </c>
      <c r="G50" s="17" t="s">
        <v>1164</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60"/>
    <col collapsed="false" customWidth="true" hidden="false" outlineLevel="0" max="4" min="4" style="1" width="38"/>
    <col collapsed="false" customWidth="true" hidden="false" outlineLevel="0" max="5" min="5" style="1" width="28"/>
    <col collapsed="false" customWidth="true" hidden="false" outlineLevel="0" max="6" min="6" style="1" width="18"/>
  </cols>
  <sheetData>
    <row r="1" customFormat="false" ht="21.75" hidden="false" customHeight="true" outlineLevel="0" collapsed="false">
      <c r="A1" s="7" t="s">
        <v>1165</v>
      </c>
    </row>
    <row r="2" customFormat="false" ht="86.25" hidden="false" customHeight="true" outlineLevel="0" collapsed="false">
      <c r="A2" s="8" t="s">
        <v>1166</v>
      </c>
      <c r="B2" s="8"/>
      <c r="C2" s="8"/>
      <c r="D2" s="8"/>
      <c r="E2" s="8"/>
      <c r="F2" s="8"/>
    </row>
    <row r="3" customFormat="false" ht="6" hidden="false" customHeight="true" outlineLevel="0" collapsed="false"/>
    <row r="4" customFormat="false" ht="31.5" hidden="false" customHeight="true" outlineLevel="0" collapsed="false">
      <c r="A4" s="9" t="s">
        <v>783</v>
      </c>
      <c r="B4" s="9" t="s">
        <v>1167</v>
      </c>
      <c r="C4" s="9" t="s">
        <v>785</v>
      </c>
      <c r="D4" s="9" t="s">
        <v>786</v>
      </c>
      <c r="E4" s="9" t="s">
        <v>787</v>
      </c>
      <c r="F4" s="9" t="s">
        <v>788</v>
      </c>
    </row>
    <row r="5" customFormat="false" ht="54" hidden="false" customHeight="true" outlineLevel="0" collapsed="false">
      <c r="A5" s="10" t="s">
        <v>1168</v>
      </c>
      <c r="B5" s="10" t="s">
        <v>1169</v>
      </c>
      <c r="C5" s="11" t="s">
        <v>1170</v>
      </c>
      <c r="D5" s="11" t="s">
        <v>1171</v>
      </c>
      <c r="E5" s="11" t="s">
        <v>1172</v>
      </c>
      <c r="F5" s="10" t="s">
        <v>794</v>
      </c>
    </row>
    <row r="6" customFormat="false" ht="54" hidden="false" customHeight="true" outlineLevel="0" collapsed="false">
      <c r="A6" s="12" t="s">
        <v>1173</v>
      </c>
      <c r="B6" s="12" t="s">
        <v>1169</v>
      </c>
      <c r="C6" s="13" t="s">
        <v>1174</v>
      </c>
      <c r="D6" s="13" t="s">
        <v>1175</v>
      </c>
      <c r="E6" s="13" t="s">
        <v>1172</v>
      </c>
      <c r="F6" s="12" t="s">
        <v>794</v>
      </c>
    </row>
    <row r="7" customFormat="false" ht="54" hidden="false" customHeight="true" outlineLevel="0" collapsed="false">
      <c r="A7" s="10" t="s">
        <v>1176</v>
      </c>
      <c r="B7" s="10" t="s">
        <v>1169</v>
      </c>
      <c r="C7" s="11" t="s">
        <v>1177</v>
      </c>
      <c r="D7" s="11" t="s">
        <v>1178</v>
      </c>
      <c r="E7" s="11" t="s">
        <v>1179</v>
      </c>
      <c r="F7" s="10" t="s">
        <v>794</v>
      </c>
    </row>
    <row r="8" customFormat="false" ht="54" hidden="false" customHeight="true" outlineLevel="0" collapsed="false">
      <c r="A8" s="12" t="s">
        <v>1180</v>
      </c>
      <c r="B8" s="12" t="s">
        <v>1169</v>
      </c>
      <c r="C8" s="13" t="s">
        <v>1181</v>
      </c>
      <c r="D8" s="13" t="s">
        <v>1182</v>
      </c>
      <c r="E8" s="13" t="s">
        <v>1172</v>
      </c>
      <c r="F8" s="12" t="s">
        <v>794</v>
      </c>
    </row>
    <row r="9" customFormat="false" ht="54" hidden="false" customHeight="true" outlineLevel="0" collapsed="false">
      <c r="A9" s="10" t="s">
        <v>1183</v>
      </c>
      <c r="B9" s="10" t="s">
        <v>1169</v>
      </c>
      <c r="C9" s="11" t="s">
        <v>1184</v>
      </c>
      <c r="D9" s="11" t="s">
        <v>1185</v>
      </c>
      <c r="E9" s="11" t="s">
        <v>1186</v>
      </c>
      <c r="F9" s="10" t="s">
        <v>794</v>
      </c>
    </row>
    <row r="10" customFormat="false" ht="54" hidden="false" customHeight="true" outlineLevel="0" collapsed="false">
      <c r="A10" s="12" t="s">
        <v>1187</v>
      </c>
      <c r="B10" s="12" t="s">
        <v>1169</v>
      </c>
      <c r="C10" s="13" t="s">
        <v>1188</v>
      </c>
      <c r="D10" s="13" t="s">
        <v>1189</v>
      </c>
      <c r="E10" s="13" t="s">
        <v>1036</v>
      </c>
      <c r="F10" s="12" t="s">
        <v>794</v>
      </c>
    </row>
    <row r="11" customFormat="false" ht="54" hidden="false" customHeight="true" outlineLevel="0" collapsed="false">
      <c r="A11" s="10" t="s">
        <v>1190</v>
      </c>
      <c r="B11" s="10" t="s">
        <v>1169</v>
      </c>
      <c r="C11" s="11" t="s">
        <v>1191</v>
      </c>
      <c r="D11" s="11" t="s">
        <v>1192</v>
      </c>
      <c r="E11" s="11" t="s">
        <v>1036</v>
      </c>
      <c r="F11" s="10" t="s">
        <v>794</v>
      </c>
    </row>
    <row r="12" customFormat="false" ht="54" hidden="false" customHeight="true" outlineLevel="0" collapsed="false">
      <c r="A12" s="12" t="s">
        <v>1193</v>
      </c>
      <c r="B12" s="12" t="s">
        <v>1169</v>
      </c>
      <c r="C12" s="13" t="s">
        <v>1194</v>
      </c>
      <c r="D12" s="13" t="s">
        <v>1195</v>
      </c>
      <c r="E12" s="13" t="s">
        <v>1196</v>
      </c>
      <c r="F12" s="12" t="s">
        <v>794</v>
      </c>
    </row>
    <row r="13" customFormat="false" ht="54" hidden="false" customHeight="true" outlineLevel="0" collapsed="false">
      <c r="A13" s="10" t="s">
        <v>1197</v>
      </c>
      <c r="B13" s="10" t="s">
        <v>1169</v>
      </c>
      <c r="C13" s="11" t="s">
        <v>1198</v>
      </c>
      <c r="D13" s="11" t="s">
        <v>1199</v>
      </c>
      <c r="E13" s="11" t="s">
        <v>1200</v>
      </c>
      <c r="F13" s="10" t="s">
        <v>794</v>
      </c>
    </row>
    <row r="14" customFormat="false" ht="54" hidden="false" customHeight="true" outlineLevel="0" collapsed="false">
      <c r="A14" s="12" t="s">
        <v>1201</v>
      </c>
      <c r="B14" s="12" t="s">
        <v>1169</v>
      </c>
      <c r="C14" s="13" t="s">
        <v>1202</v>
      </c>
      <c r="D14" s="13" t="s">
        <v>1203</v>
      </c>
      <c r="E14" s="13" t="s">
        <v>1172</v>
      </c>
      <c r="F14" s="12" t="s">
        <v>794</v>
      </c>
    </row>
    <row r="15" customFormat="false" ht="54" hidden="false" customHeight="true" outlineLevel="0" collapsed="false">
      <c r="A15" s="10" t="s">
        <v>1204</v>
      </c>
      <c r="B15" s="10" t="s">
        <v>1169</v>
      </c>
      <c r="C15" s="11" t="s">
        <v>1205</v>
      </c>
      <c r="D15" s="11" t="s">
        <v>1206</v>
      </c>
      <c r="E15" s="11" t="s">
        <v>1172</v>
      </c>
      <c r="F15" s="10" t="s">
        <v>794</v>
      </c>
    </row>
    <row r="16" customFormat="false" ht="54" hidden="false" customHeight="true" outlineLevel="0" collapsed="false">
      <c r="A16" s="12" t="s">
        <v>1207</v>
      </c>
      <c r="B16" s="12" t="s">
        <v>1208</v>
      </c>
      <c r="C16" s="13" t="s">
        <v>1209</v>
      </c>
      <c r="D16" s="13" t="s">
        <v>1210</v>
      </c>
      <c r="E16" s="13" t="s">
        <v>1211</v>
      </c>
      <c r="F16" s="12" t="s">
        <v>794</v>
      </c>
    </row>
    <row r="17" customFormat="false" ht="54" hidden="false" customHeight="true" outlineLevel="0" collapsed="false">
      <c r="A17" s="10" t="s">
        <v>1212</v>
      </c>
      <c r="B17" s="10" t="s">
        <v>1208</v>
      </c>
      <c r="C17" s="11" t="s">
        <v>1213</v>
      </c>
      <c r="D17" s="11" t="s">
        <v>1214</v>
      </c>
      <c r="E17" s="11" t="s">
        <v>1215</v>
      </c>
      <c r="F17" s="10" t="s">
        <v>794</v>
      </c>
    </row>
    <row r="18" customFormat="false" ht="54" hidden="false" customHeight="true" outlineLevel="0" collapsed="false">
      <c r="A18" s="12" t="s">
        <v>1216</v>
      </c>
      <c r="B18" s="12" t="s">
        <v>1208</v>
      </c>
      <c r="C18" s="13" t="s">
        <v>1217</v>
      </c>
      <c r="D18" s="13" t="s">
        <v>1218</v>
      </c>
      <c r="E18" s="13" t="s">
        <v>1211</v>
      </c>
      <c r="F18" s="12" t="s">
        <v>794</v>
      </c>
    </row>
    <row r="19" customFormat="false" ht="54" hidden="false" customHeight="true" outlineLevel="0" collapsed="false">
      <c r="A19" s="10" t="s">
        <v>1219</v>
      </c>
      <c r="B19" s="10" t="s">
        <v>1208</v>
      </c>
      <c r="C19" s="11" t="s">
        <v>1220</v>
      </c>
      <c r="D19" s="11" t="s">
        <v>1221</v>
      </c>
      <c r="E19" s="11" t="s">
        <v>1215</v>
      </c>
      <c r="F19" s="10" t="s">
        <v>794</v>
      </c>
    </row>
    <row r="20" customFormat="false" ht="54" hidden="false" customHeight="true" outlineLevel="0" collapsed="false">
      <c r="A20" s="12" t="s">
        <v>1222</v>
      </c>
      <c r="B20" s="12" t="s">
        <v>1208</v>
      </c>
      <c r="C20" s="13" t="s">
        <v>1223</v>
      </c>
      <c r="D20" s="13" t="s">
        <v>1224</v>
      </c>
      <c r="E20" s="13" t="s">
        <v>1225</v>
      </c>
      <c r="F20" s="12" t="s">
        <v>794</v>
      </c>
    </row>
    <row r="21" customFormat="false" ht="54" hidden="false" customHeight="true" outlineLevel="0" collapsed="false">
      <c r="A21" s="10" t="s">
        <v>1226</v>
      </c>
      <c r="B21" s="10" t="s">
        <v>1227</v>
      </c>
      <c r="C21" s="11" t="s">
        <v>1228</v>
      </c>
      <c r="D21" s="11" t="s">
        <v>1229</v>
      </c>
      <c r="E21" s="11" t="s">
        <v>1230</v>
      </c>
      <c r="F21" s="10" t="s">
        <v>794</v>
      </c>
    </row>
    <row r="22" customFormat="false" ht="54" hidden="false" customHeight="true" outlineLevel="0" collapsed="false">
      <c r="A22" s="12" t="s">
        <v>1231</v>
      </c>
      <c r="B22" s="12" t="s">
        <v>1227</v>
      </c>
      <c r="C22" s="13" t="s">
        <v>1232</v>
      </c>
      <c r="D22" s="13" t="s">
        <v>1214</v>
      </c>
      <c r="E22" s="13" t="s">
        <v>1230</v>
      </c>
      <c r="F22" s="12" t="s">
        <v>794</v>
      </c>
    </row>
    <row r="23" customFormat="false" ht="54" hidden="false" customHeight="true" outlineLevel="0" collapsed="false">
      <c r="A23" s="10" t="s">
        <v>1233</v>
      </c>
      <c r="B23" s="10" t="s">
        <v>1227</v>
      </c>
      <c r="C23" s="11" t="s">
        <v>1234</v>
      </c>
      <c r="D23" s="11" t="s">
        <v>1235</v>
      </c>
      <c r="E23" s="11" t="s">
        <v>907</v>
      </c>
      <c r="F23" s="10" t="s">
        <v>794</v>
      </c>
    </row>
    <row r="24" customFormat="false" ht="54" hidden="false" customHeight="true" outlineLevel="0" collapsed="false">
      <c r="A24" s="12" t="s">
        <v>1236</v>
      </c>
      <c r="B24" s="12" t="s">
        <v>1237</v>
      </c>
      <c r="C24" s="13" t="s">
        <v>1238</v>
      </c>
      <c r="D24" s="13" t="s">
        <v>1239</v>
      </c>
      <c r="E24" s="13" t="s">
        <v>1036</v>
      </c>
      <c r="F24" s="12" t="s">
        <v>794</v>
      </c>
    </row>
    <row r="25" customFormat="false" ht="54" hidden="false" customHeight="true" outlineLevel="0" collapsed="false">
      <c r="A25" s="10" t="s">
        <v>1240</v>
      </c>
      <c r="B25" s="10" t="s">
        <v>1241</v>
      </c>
      <c r="C25" s="11" t="s">
        <v>1242</v>
      </c>
      <c r="D25" s="11" t="s">
        <v>1243</v>
      </c>
      <c r="E25" s="11" t="s">
        <v>1036</v>
      </c>
      <c r="F25" s="10" t="s">
        <v>794</v>
      </c>
    </row>
    <row r="26" customFormat="false" ht="54" hidden="false" customHeight="true" outlineLevel="0" collapsed="false">
      <c r="A26" s="12" t="s">
        <v>1244</v>
      </c>
      <c r="B26" s="12" t="s">
        <v>1245</v>
      </c>
      <c r="C26" s="13" t="s">
        <v>1246</v>
      </c>
      <c r="D26" s="13" t="s">
        <v>1247</v>
      </c>
      <c r="E26" s="13" t="s">
        <v>1248</v>
      </c>
      <c r="F26" s="12" t="s">
        <v>891</v>
      </c>
    </row>
    <row r="27" customFormat="false" ht="54" hidden="false" customHeight="true" outlineLevel="0" collapsed="false">
      <c r="A27" s="10" t="s">
        <v>1249</v>
      </c>
      <c r="B27" s="10" t="s">
        <v>1245</v>
      </c>
      <c r="C27" s="11" t="s">
        <v>1250</v>
      </c>
      <c r="D27" s="11" t="s">
        <v>1251</v>
      </c>
      <c r="E27" s="11" t="s">
        <v>1252</v>
      </c>
      <c r="F27" s="10" t="s">
        <v>891</v>
      </c>
    </row>
    <row r="28" customFormat="false" ht="54" hidden="false" customHeight="true" outlineLevel="0" collapsed="false">
      <c r="A28" s="12" t="s">
        <v>1253</v>
      </c>
      <c r="B28" s="12" t="s">
        <v>1245</v>
      </c>
      <c r="C28" s="13" t="s">
        <v>1254</v>
      </c>
      <c r="D28" s="13" t="s">
        <v>1255</v>
      </c>
      <c r="E28" s="13" t="s">
        <v>1252</v>
      </c>
      <c r="F28" s="12" t="s">
        <v>891</v>
      </c>
    </row>
    <row r="29" customFormat="false" ht="54" hidden="false" customHeight="true" outlineLevel="0" collapsed="false">
      <c r="A29" s="10" t="s">
        <v>1256</v>
      </c>
      <c r="B29" s="10" t="s">
        <v>1245</v>
      </c>
      <c r="C29" s="11" t="s">
        <v>1257</v>
      </c>
      <c r="D29" s="11" t="s">
        <v>1258</v>
      </c>
      <c r="E29" s="11" t="s">
        <v>1248</v>
      </c>
      <c r="F29" s="10" t="s">
        <v>891</v>
      </c>
    </row>
    <row r="30" customFormat="false" ht="54" hidden="false" customHeight="true" outlineLevel="0" collapsed="false">
      <c r="A30" s="12" t="s">
        <v>1259</v>
      </c>
      <c r="B30" s="12" t="s">
        <v>1245</v>
      </c>
      <c r="C30" s="13" t="s">
        <v>1260</v>
      </c>
      <c r="D30" s="13" t="s">
        <v>1261</v>
      </c>
      <c r="E30" s="13" t="s">
        <v>1230</v>
      </c>
      <c r="F30" s="12" t="s">
        <v>794</v>
      </c>
    </row>
    <row r="31" customFormat="false" ht="54" hidden="false" customHeight="true" outlineLevel="0" collapsed="false">
      <c r="A31" s="10" t="s">
        <v>1262</v>
      </c>
      <c r="B31" s="10" t="s">
        <v>1263</v>
      </c>
      <c r="C31" s="11" t="s">
        <v>1264</v>
      </c>
      <c r="D31" s="11" t="s">
        <v>1265</v>
      </c>
      <c r="E31" s="11" t="s">
        <v>1266</v>
      </c>
      <c r="F31" s="10" t="s">
        <v>794</v>
      </c>
    </row>
    <row r="32" customFormat="false" ht="54" hidden="false" customHeight="true" outlineLevel="0" collapsed="false">
      <c r="A32" s="12" t="s">
        <v>1267</v>
      </c>
      <c r="B32" s="12" t="s">
        <v>1268</v>
      </c>
      <c r="C32" s="13" t="s">
        <v>1269</v>
      </c>
      <c r="D32" s="13" t="s">
        <v>1270</v>
      </c>
      <c r="E32" s="13" t="s">
        <v>1271</v>
      </c>
      <c r="F32" s="12" t="s">
        <v>794</v>
      </c>
    </row>
    <row r="33" customFormat="false" ht="54" hidden="false" customHeight="true" outlineLevel="0" collapsed="false">
      <c r="A33" s="10" t="s">
        <v>1272</v>
      </c>
      <c r="B33" s="10" t="s">
        <v>1268</v>
      </c>
      <c r="C33" s="11" t="s">
        <v>1273</v>
      </c>
      <c r="D33" s="11" t="s">
        <v>1274</v>
      </c>
      <c r="E33" s="11" t="s">
        <v>1275</v>
      </c>
      <c r="F33" s="10" t="s">
        <v>794</v>
      </c>
    </row>
    <row r="34" customFormat="false" ht="54" hidden="false" customHeight="true" outlineLevel="0" collapsed="false">
      <c r="A34" s="12" t="s">
        <v>1276</v>
      </c>
      <c r="B34" s="12" t="s">
        <v>1268</v>
      </c>
      <c r="C34" s="13" t="s">
        <v>1277</v>
      </c>
      <c r="D34" s="13" t="s">
        <v>1278</v>
      </c>
      <c r="E34" s="13" t="s">
        <v>1279</v>
      </c>
      <c r="F34" s="12" t="s">
        <v>794</v>
      </c>
    </row>
    <row r="35" customFormat="false" ht="54" hidden="false" customHeight="true" outlineLevel="0" collapsed="false">
      <c r="A35" s="10" t="s">
        <v>1280</v>
      </c>
      <c r="B35" s="10" t="s">
        <v>1268</v>
      </c>
      <c r="C35" s="11" t="s">
        <v>1281</v>
      </c>
      <c r="D35" s="11" t="s">
        <v>1282</v>
      </c>
      <c r="E35" s="11" t="s">
        <v>1279</v>
      </c>
      <c r="F35" s="10" t="s">
        <v>794</v>
      </c>
    </row>
    <row r="36" customFormat="false" ht="54" hidden="false" customHeight="true" outlineLevel="0" collapsed="false">
      <c r="A36" s="12" t="s">
        <v>1283</v>
      </c>
      <c r="B36" s="12" t="s">
        <v>1268</v>
      </c>
      <c r="C36" s="13" t="s">
        <v>1284</v>
      </c>
      <c r="D36" s="13" t="s">
        <v>1285</v>
      </c>
      <c r="E36" s="13" t="s">
        <v>1286</v>
      </c>
      <c r="F36" s="12" t="s">
        <v>891</v>
      </c>
    </row>
    <row r="37" customFormat="false" ht="54" hidden="false" customHeight="true" outlineLevel="0" collapsed="false">
      <c r="A37" s="10" t="s">
        <v>1287</v>
      </c>
      <c r="B37" s="10" t="s">
        <v>1268</v>
      </c>
      <c r="C37" s="11" t="s">
        <v>1288</v>
      </c>
      <c r="D37" s="11" t="s">
        <v>1289</v>
      </c>
      <c r="E37" s="11" t="s">
        <v>1290</v>
      </c>
      <c r="F37" s="10" t="s">
        <v>794</v>
      </c>
    </row>
    <row r="38" customFormat="false" ht="54" hidden="false" customHeight="true" outlineLevel="0" collapsed="false">
      <c r="A38" s="12" t="s">
        <v>1291</v>
      </c>
      <c r="B38" s="12" t="s">
        <v>1292</v>
      </c>
      <c r="C38" s="13" t="s">
        <v>1293</v>
      </c>
      <c r="D38" s="13" t="s">
        <v>1294</v>
      </c>
      <c r="E38" s="13" t="s">
        <v>1295</v>
      </c>
      <c r="F38" s="12" t="s">
        <v>891</v>
      </c>
    </row>
    <row r="39" customFormat="false" ht="54" hidden="false" customHeight="true" outlineLevel="0" collapsed="false">
      <c r="A39" s="10" t="s">
        <v>1296</v>
      </c>
      <c r="B39" s="10" t="s">
        <v>1292</v>
      </c>
      <c r="C39" s="11" t="s">
        <v>1297</v>
      </c>
      <c r="D39" s="11" t="s">
        <v>1298</v>
      </c>
      <c r="E39" s="11" t="s">
        <v>1295</v>
      </c>
      <c r="F39" s="10" t="s">
        <v>891</v>
      </c>
    </row>
    <row r="40" customFormat="false" ht="54" hidden="false" customHeight="true" outlineLevel="0" collapsed="false">
      <c r="A40" s="12" t="s">
        <v>1299</v>
      </c>
      <c r="B40" s="12" t="s">
        <v>1292</v>
      </c>
      <c r="C40" s="13" t="s">
        <v>1300</v>
      </c>
      <c r="D40" s="13" t="s">
        <v>1301</v>
      </c>
      <c r="E40" s="13" t="s">
        <v>1302</v>
      </c>
      <c r="F40" s="12" t="s">
        <v>891</v>
      </c>
    </row>
    <row r="41" customFormat="false" ht="54" hidden="false" customHeight="true" outlineLevel="0" collapsed="false">
      <c r="A41" s="10" t="s">
        <v>1303</v>
      </c>
      <c r="B41" s="10" t="s">
        <v>1292</v>
      </c>
      <c r="C41" s="11" t="s">
        <v>1304</v>
      </c>
      <c r="D41" s="11" t="s">
        <v>1305</v>
      </c>
      <c r="E41" s="11" t="s">
        <v>1306</v>
      </c>
      <c r="F41" s="10" t="s">
        <v>891</v>
      </c>
    </row>
    <row r="42" customFormat="false" ht="54" hidden="false" customHeight="true" outlineLevel="0" collapsed="false">
      <c r="A42" s="12" t="s">
        <v>1307</v>
      </c>
      <c r="B42" s="12" t="s">
        <v>1308</v>
      </c>
      <c r="C42" s="13" t="s">
        <v>1309</v>
      </c>
      <c r="D42" s="13" t="s">
        <v>1310</v>
      </c>
      <c r="E42" s="13" t="s">
        <v>1311</v>
      </c>
      <c r="F42" s="12" t="s">
        <v>794</v>
      </c>
    </row>
    <row r="43" customFormat="false" ht="54" hidden="false" customHeight="true" outlineLevel="0" collapsed="false">
      <c r="A43" s="17" t="s">
        <v>1312</v>
      </c>
      <c r="B43" s="17" t="s">
        <v>1313</v>
      </c>
      <c r="C43" s="18" t="s">
        <v>1314</v>
      </c>
      <c r="D43" s="18" t="s">
        <v>1315</v>
      </c>
      <c r="E43" s="18" t="s">
        <v>1316</v>
      </c>
      <c r="F43" s="17" t="s">
        <v>1164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8"/>
    <col collapsed="false" customWidth="true" hidden="false" outlineLevel="0" max="3" min="3" style="1" width="54"/>
    <col collapsed="false" customWidth="true" hidden="false" outlineLevel="0" max="4" min="4" style="1" width="24"/>
    <col collapsed="false" customWidth="true" hidden="false" outlineLevel="0" max="5" min="5" style="1" width="44"/>
    <col collapsed="false" customWidth="true" hidden="false" outlineLevel="0" max="6" min="6" style="1" width="11"/>
  </cols>
  <sheetData>
    <row r="1" customFormat="false" ht="21.75" hidden="false" customHeight="true" outlineLevel="0" collapsed="false">
      <c r="A1" s="7" t="s">
        <v>1317</v>
      </c>
    </row>
    <row r="2" customFormat="false" ht="61.5" hidden="false" customHeight="true" outlineLevel="0" collapsed="false">
      <c r="A2" s="8" t="s">
        <v>1318</v>
      </c>
      <c r="B2" s="8"/>
      <c r="C2" s="8"/>
      <c r="D2" s="8"/>
      <c r="E2" s="8"/>
      <c r="F2" s="8"/>
    </row>
    <row r="3" customFormat="false" ht="6" hidden="false" customHeight="true" outlineLevel="0" collapsed="false"/>
    <row r="4" customFormat="false" ht="31.5" hidden="false" customHeight="true" outlineLevel="0" collapsed="false">
      <c r="A4" s="9" t="s">
        <v>83</v>
      </c>
      <c r="B4" s="9" t="s">
        <v>1319</v>
      </c>
      <c r="C4" s="9" t="s">
        <v>1320</v>
      </c>
      <c r="D4" s="9" t="s">
        <v>787</v>
      </c>
      <c r="E4" s="9" t="s">
        <v>1321</v>
      </c>
      <c r="F4" s="9" t="s">
        <v>360</v>
      </c>
    </row>
    <row r="5" customFormat="false" ht="79.5" hidden="false" customHeight="true" outlineLevel="0" collapsed="false">
      <c r="A5" s="10" t="n">
        <v>1</v>
      </c>
      <c r="B5" s="11" t="s">
        <v>1322</v>
      </c>
      <c r="C5" s="11" t="s">
        <v>1323</v>
      </c>
      <c r="D5" s="11" t="s">
        <v>1324</v>
      </c>
      <c r="E5" s="11" t="s">
        <v>1325</v>
      </c>
      <c r="F5" s="10" t="s">
        <v>376</v>
      </c>
    </row>
    <row r="6" customFormat="false" ht="79.5" hidden="false" customHeight="true" outlineLevel="0" collapsed="false">
      <c r="A6" s="12" t="n">
        <v>2</v>
      </c>
      <c r="B6" s="13" t="s">
        <v>1326</v>
      </c>
      <c r="C6" s="13" t="s">
        <v>1327</v>
      </c>
      <c r="D6" s="13" t="s">
        <v>1328</v>
      </c>
      <c r="E6" s="13" t="s">
        <v>1329</v>
      </c>
      <c r="F6" s="12" t="s">
        <v>376</v>
      </c>
    </row>
    <row r="7" customFormat="false" ht="79.5" hidden="false" customHeight="true" outlineLevel="0" collapsed="false">
      <c r="A7" s="10" t="n">
        <v>3</v>
      </c>
      <c r="B7" s="11" t="s">
        <v>1330</v>
      </c>
      <c r="C7" s="11" t="s">
        <v>1331</v>
      </c>
      <c r="D7" s="11" t="s">
        <v>1332</v>
      </c>
      <c r="E7" s="11" t="s">
        <v>1333</v>
      </c>
      <c r="F7" s="10" t="s">
        <v>376</v>
      </c>
    </row>
    <row r="8" customFormat="false" ht="79.5" hidden="false" customHeight="true" outlineLevel="0" collapsed="false">
      <c r="A8" s="12" t="n">
        <v>4</v>
      </c>
      <c r="B8" s="13" t="s">
        <v>1334</v>
      </c>
      <c r="C8" s="13" t="s">
        <v>1335</v>
      </c>
      <c r="D8" s="13" t="s">
        <v>1336</v>
      </c>
      <c r="E8" s="13" t="s">
        <v>1337</v>
      </c>
      <c r="F8" s="12" t="s">
        <v>369</v>
      </c>
    </row>
    <row r="9" customFormat="false" ht="79.5" hidden="false" customHeight="true" outlineLevel="0" collapsed="false">
      <c r="A9" s="10" t="n">
        <v>5</v>
      </c>
      <c r="B9" s="11" t="s">
        <v>1338</v>
      </c>
      <c r="C9" s="11" t="s">
        <v>1339</v>
      </c>
      <c r="D9" s="11" t="s">
        <v>1340</v>
      </c>
      <c r="E9" s="11" t="s">
        <v>1341</v>
      </c>
      <c r="F9" s="10" t="s">
        <v>364</v>
      </c>
    </row>
    <row r="10" customFormat="false" ht="79.5" hidden="false" customHeight="true" outlineLevel="0" collapsed="false">
      <c r="A10" s="12" t="n">
        <v>6</v>
      </c>
      <c r="B10" s="13" t="s">
        <v>1342</v>
      </c>
      <c r="C10" s="13" t="s">
        <v>1343</v>
      </c>
      <c r="D10" s="13" t="s">
        <v>1344</v>
      </c>
      <c r="E10" s="13" t="s">
        <v>1345</v>
      </c>
      <c r="F10" s="12" t="s">
        <v>364</v>
      </c>
    </row>
    <row r="11" customFormat="false" ht="79.5" hidden="false" customHeight="true" outlineLevel="0" collapsed="false">
      <c r="A11" s="10" t="n">
        <v>7</v>
      </c>
      <c r="B11" s="11" t="s">
        <v>1346</v>
      </c>
      <c r="C11" s="11" t="s">
        <v>1347</v>
      </c>
      <c r="D11" s="11" t="s">
        <v>1348</v>
      </c>
      <c r="E11" s="11" t="s">
        <v>1349</v>
      </c>
      <c r="F11" s="10" t="s">
        <v>369</v>
      </c>
    </row>
    <row r="12" customFormat="false" ht="79.5" hidden="false" customHeight="true" outlineLevel="0" collapsed="false">
      <c r="A12" s="12" t="n">
        <v>8</v>
      </c>
      <c r="B12" s="13" t="s">
        <v>1350</v>
      </c>
      <c r="C12" s="13" t="s">
        <v>1351</v>
      </c>
      <c r="D12" s="13" t="s">
        <v>1352</v>
      </c>
      <c r="E12" s="13" t="s">
        <v>1353</v>
      </c>
      <c r="F12" s="12" t="s">
        <v>369</v>
      </c>
    </row>
    <row r="15" customFormat="false" ht="15" hidden="false" customHeight="true" outlineLevel="0" collapsed="false">
      <c r="A15" s="16" t="s">
        <v>1354</v>
      </c>
    </row>
    <row r="16" customFormat="false" ht="15" hidden="false" customHeight="true" outlineLevel="0" collapsed="false">
      <c r="A16" s="9" t="s">
        <v>83</v>
      </c>
      <c r="B16" s="9" t="s">
        <v>1355</v>
      </c>
      <c r="C16" s="9" t="s">
        <v>343</v>
      </c>
      <c r="D16" s="9" t="s">
        <v>1356</v>
      </c>
    </row>
    <row r="17" customFormat="false" ht="51.75" hidden="false" customHeight="true" outlineLevel="0" collapsed="false">
      <c r="A17" s="11" t="n">
        <v>1</v>
      </c>
      <c r="B17" s="11" t="s">
        <v>1357</v>
      </c>
      <c r="C17" s="11" t="s">
        <v>1358</v>
      </c>
      <c r="D17" s="11" t="s">
        <v>1359</v>
      </c>
    </row>
    <row r="18" customFormat="false" ht="51.75" hidden="false" customHeight="true" outlineLevel="0" collapsed="false">
      <c r="A18" s="11" t="n">
        <v>2</v>
      </c>
      <c r="B18" s="11" t="s">
        <v>1360</v>
      </c>
      <c r="C18" s="11" t="s">
        <v>1361</v>
      </c>
      <c r="D18" s="11" t="s">
        <v>1359</v>
      </c>
    </row>
    <row r="19" customFormat="false" ht="51.75" hidden="false" customHeight="true" outlineLevel="0" collapsed="false">
      <c r="A19" s="11" t="n">
        <v>3</v>
      </c>
      <c r="B19" s="11" t="s">
        <v>1362</v>
      </c>
      <c r="C19" s="11" t="s">
        <v>1363</v>
      </c>
      <c r="D19" s="11" t="s">
        <v>1359</v>
      </c>
    </row>
    <row r="22" customFormat="false" ht="15" hidden="false" customHeight="true" outlineLevel="0" collapsed="false">
      <c r="A22" s="16" t="s">
        <v>1364</v>
      </c>
    </row>
    <row r="23" customFormat="false" ht="15" hidden="false" customHeight="true" outlineLevel="0" collapsed="false">
      <c r="A23" s="9" t="s">
        <v>1365</v>
      </c>
      <c r="B23" s="9" t="s">
        <v>1366</v>
      </c>
      <c r="C23" s="9" t="s">
        <v>1367</v>
      </c>
      <c r="D23" s="9" t="s">
        <v>1368</v>
      </c>
      <c r="E23" s="9" t="s">
        <v>1369</v>
      </c>
      <c r="F23" s="9" t="s">
        <v>1370</v>
      </c>
    </row>
    <row r="24" customFormat="false" ht="57.75" hidden="false" customHeight="true" outlineLevel="0" collapsed="false">
      <c r="A24" s="11" t="s">
        <v>1371</v>
      </c>
      <c r="B24" s="11" t="s">
        <v>1372</v>
      </c>
      <c r="C24" s="11" t="s">
        <v>1373</v>
      </c>
      <c r="D24" s="11" t="s">
        <v>1374</v>
      </c>
      <c r="E24" s="11" t="s">
        <v>1375</v>
      </c>
      <c r="F24" s="11" t="s">
        <v>1376</v>
      </c>
    </row>
    <row r="25" customFormat="false" ht="57.75" hidden="false" customHeight="true" outlineLevel="0" collapsed="false">
      <c r="A25" s="13" t="s">
        <v>1377</v>
      </c>
      <c r="B25" s="13" t="s">
        <v>1378</v>
      </c>
      <c r="C25" s="13" t="s">
        <v>1379</v>
      </c>
      <c r="D25" s="13" t="s">
        <v>1380</v>
      </c>
      <c r="E25" s="13" t="s">
        <v>1381</v>
      </c>
      <c r="F25" s="13" t="s">
        <v>1382</v>
      </c>
    </row>
    <row r="26" customFormat="false" ht="57.75" hidden="false" customHeight="true" outlineLevel="0" collapsed="false">
      <c r="A26" s="11" t="s">
        <v>1383</v>
      </c>
      <c r="B26" s="11" t="s">
        <v>1384</v>
      </c>
      <c r="C26" s="11" t="s">
        <v>1373</v>
      </c>
      <c r="D26" s="11" t="s">
        <v>1385</v>
      </c>
      <c r="E26" s="11" t="s">
        <v>1386</v>
      </c>
      <c r="F26" s="11" t="s">
        <v>1387</v>
      </c>
    </row>
    <row r="27" customFormat="false" ht="57.75" hidden="false" customHeight="true" outlineLevel="0" collapsed="false">
      <c r="A27" s="13" t="s">
        <v>1388</v>
      </c>
      <c r="B27" s="13" t="s">
        <v>1389</v>
      </c>
      <c r="C27" s="13" t="s">
        <v>1373</v>
      </c>
      <c r="D27" s="13" t="s">
        <v>1390</v>
      </c>
      <c r="E27" s="13" t="s">
        <v>1391</v>
      </c>
      <c r="F27" s="13" t="s">
        <v>1392</v>
      </c>
    </row>
    <row r="28" customFormat="false" ht="57.75" hidden="false" customHeight="true" outlineLevel="0" collapsed="false">
      <c r="A28" s="11" t="s">
        <v>1393</v>
      </c>
      <c r="B28" s="11" t="s">
        <v>1394</v>
      </c>
      <c r="C28" s="11" t="s">
        <v>1373</v>
      </c>
      <c r="D28" s="11" t="s">
        <v>1395</v>
      </c>
      <c r="E28" s="11" t="s">
        <v>1396</v>
      </c>
      <c r="F28" s="11" t="s">
        <v>1392</v>
      </c>
    </row>
    <row r="29" customFormat="false" ht="57.75" hidden="false" customHeight="true" outlineLevel="0" collapsed="false">
      <c r="A29" s="13" t="s">
        <v>1397</v>
      </c>
      <c r="B29" s="13" t="s">
        <v>1398</v>
      </c>
      <c r="C29" s="13" t="s">
        <v>1373</v>
      </c>
      <c r="D29" s="13" t="s">
        <v>1399</v>
      </c>
      <c r="E29" s="13" t="s">
        <v>1400</v>
      </c>
      <c r="F29" s="13" t="s">
        <v>1382</v>
      </c>
    </row>
    <row r="30" customFormat="false" ht="57.75" hidden="false" customHeight="true" outlineLevel="0" collapsed="false">
      <c r="A30" s="11" t="s">
        <v>1401</v>
      </c>
      <c r="B30" s="11" t="s">
        <v>1402</v>
      </c>
      <c r="C30" s="11" t="s">
        <v>1373</v>
      </c>
      <c r="D30" s="11" t="s">
        <v>1403</v>
      </c>
      <c r="E30" s="11" t="s">
        <v>1404</v>
      </c>
      <c r="F30" s="11" t="s">
        <v>1405</v>
      </c>
    </row>
    <row r="31" customFormat="false" ht="57.75" hidden="false" customHeight="true" outlineLevel="0" collapsed="false">
      <c r="A31" s="13" t="s">
        <v>1406</v>
      </c>
      <c r="B31" s="13" t="s">
        <v>1407</v>
      </c>
      <c r="C31" s="13" t="s">
        <v>1408</v>
      </c>
      <c r="D31" s="13" t="s">
        <v>1409</v>
      </c>
      <c r="E31" s="13" t="s">
        <v>1410</v>
      </c>
      <c r="F31" s="13" t="s">
        <v>1411</v>
      </c>
    </row>
    <row r="32" customFormat="false" ht="57.75" hidden="false" customHeight="true" outlineLevel="0" collapsed="false">
      <c r="A32" s="11" t="s">
        <v>1412</v>
      </c>
      <c r="B32" s="11" t="s">
        <v>1413</v>
      </c>
      <c r="C32" s="11" t="s">
        <v>1414</v>
      </c>
      <c r="D32" s="11" t="s">
        <v>1415</v>
      </c>
      <c r="E32" s="11" t="s">
        <v>1416</v>
      </c>
      <c r="F32" s="11" t="s">
        <v>1417</v>
      </c>
    </row>
    <row r="33" customFormat="false" ht="57.75" hidden="false" customHeight="true" outlineLevel="0" collapsed="false">
      <c r="A33" s="13" t="s">
        <v>1418</v>
      </c>
      <c r="B33" s="13" t="s">
        <v>1419</v>
      </c>
      <c r="C33" s="13" t="s">
        <v>1420</v>
      </c>
      <c r="D33" s="13" t="s">
        <v>1421</v>
      </c>
      <c r="E33" s="13" t="s">
        <v>1422</v>
      </c>
      <c r="F33" s="13" t="s">
        <v>1423</v>
      </c>
    </row>
    <row r="34" customFormat="false" ht="57.75" hidden="false" customHeight="true" outlineLevel="0" collapsed="false">
      <c r="A34" s="11" t="s">
        <v>1424</v>
      </c>
      <c r="B34" s="11" t="s">
        <v>1425</v>
      </c>
      <c r="C34" s="11" t="s">
        <v>1426</v>
      </c>
      <c r="D34" s="11" t="s">
        <v>1403</v>
      </c>
      <c r="E34" s="11" t="s">
        <v>1427</v>
      </c>
      <c r="F34" s="11" t="s">
        <v>1428</v>
      </c>
    </row>
    <row r="35" customFormat="false" ht="57.75" hidden="false" customHeight="true" outlineLevel="0" collapsed="false">
      <c r="A35" s="13" t="s">
        <v>1429</v>
      </c>
      <c r="B35" s="13" t="s">
        <v>1430</v>
      </c>
      <c r="C35" s="13" t="s">
        <v>1431</v>
      </c>
      <c r="D35" s="13" t="s">
        <v>1403</v>
      </c>
      <c r="E35" s="13" t="s">
        <v>1432</v>
      </c>
      <c r="F35" s="13" t="s">
        <v>1433</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6"/>
    <col collapsed="false" customWidth="true" hidden="false" outlineLevel="0" max="4" min="3" style="1" width="13"/>
    <col collapsed="false" customWidth="true" hidden="false" outlineLevel="0" max="5" min="5" style="1" width="11"/>
    <col collapsed="false" customWidth="true" hidden="false" outlineLevel="0" max="7" min="6" style="1" width="10"/>
    <col collapsed="false" customWidth="true" hidden="false" outlineLevel="0" max="8" min="8" style="1" width="46"/>
  </cols>
  <sheetData>
    <row r="1" customFormat="false" ht="21.75" hidden="false" customHeight="true" outlineLevel="0" collapsed="false">
      <c r="A1" s="7" t="s">
        <v>1434</v>
      </c>
    </row>
    <row r="2" customFormat="false" ht="74.25" hidden="false" customHeight="true" outlineLevel="0" collapsed="false">
      <c r="A2" s="8" t="s">
        <v>1435</v>
      </c>
      <c r="B2" s="8"/>
      <c r="C2" s="8"/>
      <c r="D2" s="8"/>
      <c r="E2" s="8"/>
      <c r="F2" s="8"/>
      <c r="G2" s="8"/>
    </row>
    <row r="3" customFormat="false" ht="6" hidden="false" customHeight="true" outlineLevel="0" collapsed="false"/>
    <row r="4" customFormat="false" ht="31.5" hidden="false" customHeight="true" outlineLevel="0" collapsed="false">
      <c r="A4" s="9" t="s">
        <v>1436</v>
      </c>
      <c r="B4" s="9" t="s">
        <v>1437</v>
      </c>
      <c r="C4" s="9" t="s">
        <v>1438</v>
      </c>
      <c r="D4" s="9" t="s">
        <v>1439</v>
      </c>
      <c r="E4" s="9" t="s">
        <v>1440</v>
      </c>
      <c r="F4" s="9" t="s">
        <v>48</v>
      </c>
      <c r="G4" s="9" t="s">
        <v>42</v>
      </c>
      <c r="H4" s="9" t="s">
        <v>230</v>
      </c>
    </row>
    <row r="5" customFormat="false" ht="15" hidden="false" customHeight="true" outlineLevel="0" collapsed="false">
      <c r="A5" s="10" t="s">
        <v>1441</v>
      </c>
      <c r="B5" s="10" t="s">
        <v>1442</v>
      </c>
      <c r="C5" s="10" t="n">
        <v>5</v>
      </c>
      <c r="D5" s="10" t="n">
        <v>44</v>
      </c>
      <c r="E5" s="19" t="n">
        <f aca="false">IFERROR(D5/C5,0)</f>
        <v>8.8</v>
      </c>
      <c r="F5" s="10" t="n">
        <f aca="false">ROUND(D5*'Distribution Targets'!$C$5,0)</f>
        <v>29</v>
      </c>
      <c r="G5" s="10" t="n">
        <f aca="false">D5-F5</f>
        <v>15</v>
      </c>
      <c r="H5" s="11" t="s">
        <v>1443</v>
      </c>
    </row>
    <row r="6" customFormat="false" ht="15" hidden="false" customHeight="true" outlineLevel="0" collapsed="false">
      <c r="A6" s="12" t="s">
        <v>1444</v>
      </c>
      <c r="B6" s="12" t="s">
        <v>1445</v>
      </c>
      <c r="C6" s="12" t="n">
        <v>5</v>
      </c>
      <c r="D6" s="12" t="n">
        <v>47</v>
      </c>
      <c r="E6" s="20" t="n">
        <f aca="false">IFERROR(D6/C6,0)</f>
        <v>9.4</v>
      </c>
      <c r="F6" s="12" t="n">
        <f aca="false">ROUND(D6*'Distribution Targets'!$C$5,0)</f>
        <v>31</v>
      </c>
      <c r="G6" s="12" t="n">
        <f aca="false">D6-F6</f>
        <v>16</v>
      </c>
      <c r="H6" s="13"/>
    </row>
    <row r="7" customFormat="false" ht="15" hidden="false" customHeight="true" outlineLevel="0" collapsed="false">
      <c r="A7" s="10" t="s">
        <v>1446</v>
      </c>
      <c r="B7" s="10" t="s">
        <v>1447</v>
      </c>
      <c r="C7" s="10" t="n">
        <v>5</v>
      </c>
      <c r="D7" s="10" t="n">
        <v>46</v>
      </c>
      <c r="E7" s="19" t="n">
        <f aca="false">IFERROR(D7/C7,0)</f>
        <v>9.2</v>
      </c>
      <c r="F7" s="10" t="n">
        <f aca="false">ROUND(D7*'Distribution Targets'!$C$5,0)</f>
        <v>30</v>
      </c>
      <c r="G7" s="10" t="n">
        <f aca="false">D7-F7</f>
        <v>16</v>
      </c>
      <c r="H7" s="11"/>
    </row>
    <row r="8" customFormat="false" ht="15" hidden="false" customHeight="true" outlineLevel="0" collapsed="false">
      <c r="A8" s="12" t="s">
        <v>1448</v>
      </c>
      <c r="B8" s="12" t="s">
        <v>1449</v>
      </c>
      <c r="C8" s="12" t="n">
        <v>5</v>
      </c>
      <c r="D8" s="12" t="n">
        <v>49</v>
      </c>
      <c r="E8" s="20" t="n">
        <f aca="false">IFERROR(D8/C8,0)</f>
        <v>9.8</v>
      </c>
      <c r="F8" s="12" t="n">
        <f aca="false">ROUND(D8*'Distribution Targets'!$C$5,0)</f>
        <v>32</v>
      </c>
      <c r="G8" s="12" t="n">
        <f aca="false">D8-F8</f>
        <v>17</v>
      </c>
      <c r="H8" s="13"/>
    </row>
    <row r="9" customFormat="false" ht="15" hidden="false" customHeight="true" outlineLevel="0" collapsed="false">
      <c r="A9" s="10" t="s">
        <v>1450</v>
      </c>
      <c r="B9" s="10" t="s">
        <v>1451</v>
      </c>
      <c r="C9" s="10" t="n">
        <v>5</v>
      </c>
      <c r="D9" s="10" t="n">
        <v>48</v>
      </c>
      <c r="E9" s="19" t="n">
        <f aca="false">IFERROR(D9/C9,0)</f>
        <v>9.6</v>
      </c>
      <c r="F9" s="10" t="n">
        <f aca="false">ROUND(D9*'Distribution Targets'!$C$5,0)</f>
        <v>31</v>
      </c>
      <c r="G9" s="10" t="n">
        <f aca="false">D9-F9</f>
        <v>17</v>
      </c>
      <c r="H9" s="11" t="s">
        <v>1452</v>
      </c>
    </row>
    <row r="10" customFormat="false" ht="15" hidden="false" customHeight="true" outlineLevel="0" collapsed="false">
      <c r="A10" s="12" t="s">
        <v>1453</v>
      </c>
      <c r="B10" s="12" t="s">
        <v>1454</v>
      </c>
      <c r="C10" s="12" t="n">
        <v>5</v>
      </c>
      <c r="D10" s="12" t="n">
        <v>50</v>
      </c>
      <c r="E10" s="20" t="n">
        <f aca="false">IFERROR(D10/C10,0)</f>
        <v>10</v>
      </c>
      <c r="F10" s="12" t="n">
        <f aca="false">ROUND(D10*'Distribution Targets'!$C$5,0)</f>
        <v>33</v>
      </c>
      <c r="G10" s="12" t="n">
        <f aca="false">D10-F10</f>
        <v>17</v>
      </c>
      <c r="H10" s="13"/>
    </row>
    <row r="11" customFormat="false" ht="15" hidden="false" customHeight="true" outlineLevel="0" collapsed="false">
      <c r="A11" s="10" t="s">
        <v>1455</v>
      </c>
      <c r="B11" s="10" t="s">
        <v>1456</v>
      </c>
      <c r="C11" s="10" t="n">
        <v>5</v>
      </c>
      <c r="D11" s="10" t="n">
        <v>52</v>
      </c>
      <c r="E11" s="19" t="n">
        <f aca="false">IFERROR(D11/C11,0)</f>
        <v>10.4</v>
      </c>
      <c r="F11" s="10" t="n">
        <f aca="false">ROUND(D11*'Distribution Targets'!$C$5,0)</f>
        <v>34</v>
      </c>
      <c r="G11" s="10" t="n">
        <f aca="false">D11-F11</f>
        <v>18</v>
      </c>
      <c r="H11" s="11"/>
    </row>
    <row r="12" customFormat="false" ht="15" hidden="false" customHeight="true" outlineLevel="0" collapsed="false">
      <c r="A12" s="12" t="s">
        <v>1457</v>
      </c>
      <c r="B12" s="12" t="s">
        <v>1458</v>
      </c>
      <c r="C12" s="12" t="n">
        <v>5</v>
      </c>
      <c r="D12" s="12" t="n">
        <v>53</v>
      </c>
      <c r="E12" s="20" t="n">
        <f aca="false">IFERROR(D12/C12,0)</f>
        <v>10.6</v>
      </c>
      <c r="F12" s="12" t="n">
        <f aca="false">ROUND(D12*'Distribution Targets'!$C$5,0)</f>
        <v>34</v>
      </c>
      <c r="G12" s="12" t="n">
        <f aca="false">D12-F12</f>
        <v>19</v>
      </c>
      <c r="H12" s="13"/>
    </row>
    <row r="13" customFormat="false" ht="15" hidden="false" customHeight="true" outlineLevel="0" collapsed="false">
      <c r="A13" s="10" t="s">
        <v>1459</v>
      </c>
      <c r="B13" s="10" t="s">
        <v>1460</v>
      </c>
      <c r="C13" s="10" t="n">
        <v>5</v>
      </c>
      <c r="D13" s="10" t="n">
        <v>50</v>
      </c>
      <c r="E13" s="19" t="n">
        <f aca="false">IFERROR(D13/C13,0)</f>
        <v>10</v>
      </c>
      <c r="F13" s="10" t="n">
        <f aca="false">ROUND(D13*'Distribution Targets'!$C$5,0)</f>
        <v>33</v>
      </c>
      <c r="G13" s="10" t="n">
        <f aca="false">D13-F13</f>
        <v>17</v>
      </c>
      <c r="H13" s="11"/>
    </row>
    <row r="14" customFormat="false" ht="15" hidden="false" customHeight="true" outlineLevel="0" collapsed="false">
      <c r="A14" s="12" t="s">
        <v>1461</v>
      </c>
      <c r="B14" s="12" t="s">
        <v>1462</v>
      </c>
      <c r="C14" s="12" t="n">
        <v>4</v>
      </c>
      <c r="D14" s="12" t="n">
        <v>40</v>
      </c>
      <c r="E14" s="20" t="n">
        <f aca="false">IFERROR(D14/C14,0)</f>
        <v>10</v>
      </c>
      <c r="F14" s="12" t="n">
        <f aca="false">ROUND(D14*'Distribution Targets'!$C$5,0)</f>
        <v>26</v>
      </c>
      <c r="G14" s="12" t="n">
        <f aca="false">D14-F14</f>
        <v>14</v>
      </c>
      <c r="H14" s="13" t="s">
        <v>1463</v>
      </c>
    </row>
    <row r="15" customFormat="false" ht="23.25" hidden="false" customHeight="true" outlineLevel="0" collapsed="false">
      <c r="A15" s="10" t="s">
        <v>1464</v>
      </c>
      <c r="B15" s="10" t="s">
        <v>1465</v>
      </c>
      <c r="C15" s="10" t="n">
        <v>5</v>
      </c>
      <c r="D15" s="10" t="n">
        <v>60</v>
      </c>
      <c r="E15" s="19" t="n">
        <f aca="false">IFERROR(D15/C15,0)</f>
        <v>12</v>
      </c>
      <c r="F15" s="10" t="n">
        <f aca="false">ROUND(D15*'Distribution Targets'!$C$5,0)</f>
        <v>39</v>
      </c>
      <c r="G15" s="10" t="n">
        <f aca="false">D15-F15</f>
        <v>21</v>
      </c>
      <c r="H15" s="11" t="s">
        <v>1466</v>
      </c>
    </row>
    <row r="16" customFormat="false" ht="23.25" hidden="false" customHeight="true" outlineLevel="0" collapsed="false">
      <c r="A16" s="12" t="s">
        <v>1467</v>
      </c>
      <c r="B16" s="12" t="s">
        <v>1468</v>
      </c>
      <c r="C16" s="12" t="n">
        <v>5</v>
      </c>
      <c r="D16" s="12" t="n">
        <v>61</v>
      </c>
      <c r="E16" s="20" t="n">
        <f aca="false">IFERROR(D16/C16,0)</f>
        <v>12.2</v>
      </c>
      <c r="F16" s="12" t="n">
        <f aca="false">ROUND(D16*'Distribution Targets'!$C$5,0)</f>
        <v>40</v>
      </c>
      <c r="G16" s="12" t="n">
        <f aca="false">D16-F16</f>
        <v>21</v>
      </c>
      <c r="H16" s="13" t="s">
        <v>1469</v>
      </c>
    </row>
    <row r="17" customFormat="false" ht="15" hidden="false" customHeight="true" outlineLevel="0" collapsed="false">
      <c r="A17" s="14" t="s">
        <v>1470</v>
      </c>
      <c r="C17" s="16" t="n">
        <f aca="false">SUM(C5:C16)</f>
        <v>59</v>
      </c>
      <c r="D17" s="16" t="n">
        <f aca="false">SUM(D5:D16)</f>
        <v>600</v>
      </c>
      <c r="F17" s="16" t="n">
        <f aca="false">SUM(F5:F16)</f>
        <v>392</v>
      </c>
      <c r="G17" s="16" t="n">
        <f aca="false">SUM(G5:G16)</f>
        <v>208</v>
      </c>
    </row>
    <row r="19" customFormat="false" ht="15" hidden="false" customHeight="true" outlineLevel="0" collapsed="false">
      <c r="A19" s="14" t="s">
        <v>1471</v>
      </c>
      <c r="B19" s="21" t="str">
        <f aca="false">IF(D17=600,"OK — 600 calls","VARIANCE: "&amp;TEXT(D17-600,"+0;-0"))</f>
        <v>OK — 600 calls</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8"/>
    <col collapsed="false" customWidth="true" hidden="false" outlineLevel="0" max="3" min="3" style="1" width="21"/>
    <col collapsed="false" customWidth="true" hidden="false" outlineLevel="0" max="7" min="4" style="1" width="11"/>
    <col collapsed="false" customWidth="true" hidden="false" outlineLevel="0" max="8" min="8" style="1" width="9"/>
    <col collapsed="false" customWidth="true" hidden="false" outlineLevel="0" max="9" min="9" style="1" width="13"/>
    <col collapsed="false" customWidth="true" hidden="false" outlineLevel="0" max="10" min="10" style="1" width="15"/>
    <col collapsed="false" customWidth="true" hidden="false" outlineLevel="0" max="11" min="11" style="1" width="11"/>
    <col collapsed="false" customWidth="true" hidden="false" outlineLevel="0" max="12" min="12" style="1" width="12"/>
    <col collapsed="false" customWidth="true" hidden="false" outlineLevel="0" max="13" min="13" style="1" width="13"/>
    <col collapsed="false" customWidth="true" hidden="false" outlineLevel="0" max="14" min="14" style="1" width="24"/>
    <col collapsed="false" customWidth="true" hidden="false" outlineLevel="0" max="17" min="15" style="1" width="11"/>
    <col collapsed="false" customWidth="true" hidden="false" outlineLevel="0" max="18" min="18" style="1" width="12"/>
    <col collapsed="false" customWidth="true" hidden="false" outlineLevel="0" max="19" min="19" style="1" width="15"/>
    <col collapsed="false" customWidth="true" hidden="false" outlineLevel="0" max="20" min="20" style="1" width="20"/>
    <col collapsed="false" customWidth="true" hidden="false" outlineLevel="0" max="21" min="21" style="1" width="12"/>
    <col collapsed="false" customWidth="true" hidden="false" outlineLevel="0" max="22" min="22" style="1" width="26"/>
    <col collapsed="false" customWidth="true" hidden="false" outlineLevel="0" max="23" min="23" style="1" width="22"/>
    <col collapsed="false" customWidth="true" hidden="false" outlineLevel="0" max="24" min="24" style="1" width="14"/>
    <col collapsed="false" customWidth="true" hidden="false" outlineLevel="0" max="25" min="25" style="1" width="20"/>
    <col collapsed="false" customWidth="true" hidden="false" outlineLevel="0" max="26" min="26" style="1" width="13"/>
  </cols>
  <sheetData>
    <row r="1" customFormat="false" ht="21.75" hidden="false" customHeight="true" outlineLevel="0" collapsed="false">
      <c r="A1" s="7" t="s">
        <v>1472</v>
      </c>
    </row>
    <row r="2" customFormat="false" ht="99.75" hidden="false" customHeight="true" outlineLevel="0" collapsed="false">
      <c r="A2" s="8" t="s">
        <v>1473</v>
      </c>
      <c r="B2" s="8"/>
      <c r="C2" s="8"/>
      <c r="D2" s="8"/>
      <c r="E2" s="8"/>
      <c r="F2" s="8"/>
      <c r="G2" s="8"/>
    </row>
    <row r="3" customFormat="false" ht="6" hidden="false" customHeight="true" outlineLevel="0" collapsed="false"/>
    <row r="4" customFormat="false" ht="31.5" hidden="false" customHeight="true" outlineLevel="0" collapsed="false">
      <c r="A4" s="9" t="s">
        <v>1474</v>
      </c>
      <c r="B4" s="9" t="s">
        <v>1475</v>
      </c>
      <c r="C4" s="9" t="s">
        <v>1476</v>
      </c>
      <c r="D4" s="9" t="s">
        <v>1477</v>
      </c>
      <c r="E4" s="9" t="s">
        <v>1478</v>
      </c>
      <c r="F4" s="9" t="s">
        <v>1479</v>
      </c>
      <c r="G4" s="9" t="s">
        <v>857</v>
      </c>
      <c r="H4" s="9" t="s">
        <v>1480</v>
      </c>
      <c r="I4" s="9" t="s">
        <v>1481</v>
      </c>
      <c r="J4" s="9" t="s">
        <v>1482</v>
      </c>
      <c r="K4" s="9" t="s">
        <v>1483</v>
      </c>
      <c r="L4" s="9" t="s">
        <v>1484</v>
      </c>
      <c r="M4" s="9" t="s">
        <v>1485</v>
      </c>
      <c r="N4" s="9" t="s">
        <v>1486</v>
      </c>
      <c r="O4" s="9" t="s">
        <v>1439</v>
      </c>
      <c r="P4" s="9" t="s">
        <v>1487</v>
      </c>
      <c r="Q4" s="9" t="s">
        <v>1488</v>
      </c>
      <c r="R4" s="9" t="s">
        <v>1489</v>
      </c>
      <c r="S4" s="9" t="s">
        <v>1490</v>
      </c>
      <c r="T4" s="9" t="s">
        <v>1491</v>
      </c>
      <c r="U4" s="9" t="s">
        <v>1492</v>
      </c>
      <c r="V4" s="9" t="s">
        <v>1493</v>
      </c>
      <c r="W4" s="9" t="s">
        <v>1494</v>
      </c>
      <c r="X4" s="9" t="s">
        <v>1495</v>
      </c>
      <c r="Y4" s="9" t="s">
        <v>1496</v>
      </c>
      <c r="Z4" s="9" t="s">
        <v>1497</v>
      </c>
    </row>
    <row r="5" customFormat="false" ht="15" hidden="false" customHeight="true" outlineLevel="0" collapsed="false">
      <c r="A5" s="10" t="s">
        <v>1498</v>
      </c>
      <c r="B5" s="10" t="s">
        <v>1499</v>
      </c>
      <c r="C5" s="10" t="s">
        <v>1500</v>
      </c>
      <c r="D5" s="10" t="s">
        <v>1501</v>
      </c>
      <c r="E5" s="22" t="n">
        <v>420</v>
      </c>
      <c r="F5" s="22" t="n">
        <v>315</v>
      </c>
      <c r="G5" s="23" t="n">
        <f aca="false">IFERROR(F5/E5,0)</f>
        <v>0.75</v>
      </c>
      <c r="H5" s="10" t="str">
        <f aca="false">IF(E5&lt;=8,"$25",IF(E5&lt;=20,"$30",IF(E5&lt;=199,"$35","$50")))</f>
        <v>$50</v>
      </c>
      <c r="I5" s="10" t="str">
        <f aca="false">IF(E5&lt;=19,"Cal-COBRA","Federal COBRA")</f>
        <v>Federal COBRA</v>
      </c>
      <c r="J5" s="10" t="s">
        <v>1502</v>
      </c>
      <c r="K5" s="10" t="s">
        <v>1503</v>
      </c>
      <c r="L5" s="10" t="s">
        <v>1504</v>
      </c>
      <c r="M5" s="10" t="s">
        <v>1505</v>
      </c>
      <c r="N5" s="10" t="s">
        <v>1506</v>
      </c>
      <c r="O5" s="10" t="n">
        <v>36</v>
      </c>
      <c r="P5" s="10" t="n">
        <v>24</v>
      </c>
      <c r="Q5" s="10" t="n">
        <v>12</v>
      </c>
      <c r="R5" s="19" t="n">
        <f aca="false">IFERROR(O5/F5*100,0)</f>
        <v>11.4285714285714</v>
      </c>
      <c r="S5" s="24" t="n">
        <f aca="false">F5*'Distribution Targets'!$C$34</f>
        <v>153090</v>
      </c>
      <c r="T5" s="25" t="str">
        <f aca="false">IF(M5="ER",IF(G5&lt;0.7,"BELOW 70% (P-18)",IF(G5&lt;0.75,"Near 70% threshold","OK")),IF(E5&lt;=9,IF(F5&lt;2,"BELOW 2–9 minimum (P-24)",IF(F5=2,"At 2–9 minimum","OK")),IF(F5&lt;5,"BELOW 10–500 minimum (P-23)",IF(F5&lt;7,"Near 10–500 minimum","OK"))))</f>
        <v>OK</v>
      </c>
      <c r="U5" s="25" t="str">
        <f aca="false">IF(O5&gt;=28,"A — anchor",IF(O5&gt;=10,"B — heavy",IF(O5&gt;=4,"C — moderate","D — tail")))</f>
        <v>A — anchor</v>
      </c>
      <c r="V5" s="11" t="s">
        <v>1507</v>
      </c>
      <c r="W5" s="11" t="s">
        <v>1508</v>
      </c>
      <c r="X5" s="11" t="s">
        <v>38</v>
      </c>
      <c r="Y5" s="11" t="s">
        <v>1271</v>
      </c>
      <c r="Z5" s="11" t="s">
        <v>1509</v>
      </c>
    </row>
    <row r="6" customFormat="false" ht="15" hidden="false" customHeight="true" outlineLevel="0" collapsed="false">
      <c r="A6" s="12" t="s">
        <v>1510</v>
      </c>
      <c r="B6" s="12" t="s">
        <v>1511</v>
      </c>
      <c r="C6" s="12" t="s">
        <v>1512</v>
      </c>
      <c r="D6" s="12" t="s">
        <v>1501</v>
      </c>
      <c r="E6" s="26" t="n">
        <v>310</v>
      </c>
      <c r="F6" s="26" t="n">
        <v>108</v>
      </c>
      <c r="G6" s="27" t="n">
        <f aca="false">IFERROR(F6/E6,0)</f>
        <v>0.348387096774194</v>
      </c>
      <c r="H6" s="12" t="str">
        <f aca="false">IF(E6&lt;=8,"$25",IF(E6&lt;=20,"$30",IF(E6&lt;=199,"$35","$50")))</f>
        <v>$50</v>
      </c>
      <c r="I6" s="12" t="str">
        <f aca="false">IF(E6&lt;=19,"Cal-COBRA","Federal COBRA")</f>
        <v>Federal COBRA</v>
      </c>
      <c r="J6" s="12" t="s">
        <v>1513</v>
      </c>
      <c r="K6" s="12" t="s">
        <v>1503</v>
      </c>
      <c r="L6" s="12" t="s">
        <v>1504</v>
      </c>
      <c r="M6" s="12" t="s">
        <v>1514</v>
      </c>
      <c r="N6" s="12" t="s">
        <v>1506</v>
      </c>
      <c r="O6" s="12" t="n">
        <v>34</v>
      </c>
      <c r="P6" s="12" t="n">
        <v>23</v>
      </c>
      <c r="Q6" s="12" t="n">
        <v>11</v>
      </c>
      <c r="R6" s="20" t="n">
        <f aca="false">IFERROR(O6/F6*100,0)</f>
        <v>31.4814814814815</v>
      </c>
      <c r="S6" s="24" t="n">
        <f aca="false">F6*'Distribution Targets'!$C$34</f>
        <v>52488</v>
      </c>
      <c r="T6" s="25" t="str">
        <f aca="false">IF(M6="ER",IF(G6&lt;0.7,"BELOW 70% (P-18)",IF(G6&lt;0.75,"Near 70% threshold","OK")),IF(E6&lt;=9,IF(F6&lt;2,"BELOW 2–9 minimum (P-24)",IF(F6=2,"At 2–9 minimum","OK")),IF(F6&lt;5,"BELOW 10–500 minimum (P-23)",IF(F6&lt;7,"Near 10–500 minimum","OK"))))</f>
        <v>OK</v>
      </c>
      <c r="U6" s="25" t="str">
        <f aca="false">IF(O6&gt;=28,"A — anchor",IF(O6&gt;=10,"B — heavy",IF(O6&gt;=4,"C — moderate","D — tail")))</f>
        <v>A — anchor</v>
      </c>
      <c r="V6" s="13" t="s">
        <v>1515</v>
      </c>
      <c r="W6" s="13" t="s">
        <v>1516</v>
      </c>
      <c r="X6" s="13" t="s">
        <v>38</v>
      </c>
      <c r="Y6" s="13" t="s">
        <v>1271</v>
      </c>
      <c r="Z6" s="13" t="s">
        <v>1509</v>
      </c>
    </row>
    <row r="7" customFormat="false" ht="15" hidden="false" customHeight="true" outlineLevel="0" collapsed="false">
      <c r="A7" s="10" t="s">
        <v>1517</v>
      </c>
      <c r="B7" s="10" t="s">
        <v>1518</v>
      </c>
      <c r="C7" s="10" t="s">
        <v>1519</v>
      </c>
      <c r="D7" s="10" t="s">
        <v>1520</v>
      </c>
      <c r="E7" s="22" t="n">
        <v>240</v>
      </c>
      <c r="F7" s="22" t="n">
        <v>163</v>
      </c>
      <c r="G7" s="23" t="n">
        <f aca="false">IFERROR(F7/E7,0)</f>
        <v>0.679166666666667</v>
      </c>
      <c r="H7" s="10" t="str">
        <f aca="false">IF(E7&lt;=8,"$25",IF(E7&lt;=20,"$30",IF(E7&lt;=199,"$35","$50")))</f>
        <v>$50</v>
      </c>
      <c r="I7" s="10" t="str">
        <f aca="false">IF(E7&lt;=19,"Cal-COBRA","Federal COBRA")</f>
        <v>Federal COBRA</v>
      </c>
      <c r="J7" s="10" t="s">
        <v>1521</v>
      </c>
      <c r="K7" s="10" t="s">
        <v>1522</v>
      </c>
      <c r="L7" s="10" t="s">
        <v>1523</v>
      </c>
      <c r="M7" s="10" t="s">
        <v>1505</v>
      </c>
      <c r="N7" s="10" t="s">
        <v>1524</v>
      </c>
      <c r="O7" s="10" t="n">
        <v>31</v>
      </c>
      <c r="P7" s="10" t="n">
        <v>21</v>
      </c>
      <c r="Q7" s="10" t="n">
        <v>10</v>
      </c>
      <c r="R7" s="19" t="n">
        <f aca="false">IFERROR(O7/F7*100,0)</f>
        <v>19.0184049079755</v>
      </c>
      <c r="S7" s="24" t="n">
        <f aca="false">F7*'Distribution Targets'!$C$34</f>
        <v>79218</v>
      </c>
      <c r="T7" s="25" t="str">
        <f aca="false">IF(M7="ER",IF(G7&lt;0.7,"BELOW 70% (P-18)",IF(G7&lt;0.75,"Near 70% threshold","OK")),IF(E7&lt;=9,IF(F7&lt;2,"BELOW 2–9 minimum (P-24)",IF(F7=2,"At 2–9 minimum","OK")),IF(F7&lt;5,"BELOW 10–500 minimum (P-23)",IF(F7&lt;7,"Near 10–500 minimum","OK"))))</f>
        <v>BELOW 70% (P-18)</v>
      </c>
      <c r="U7" s="25" t="str">
        <f aca="false">IF(O7&gt;=28,"A — anchor",IF(O7&gt;=10,"B — heavy",IF(O7&gt;=4,"C — moderate","D — tail")))</f>
        <v>A — anchor</v>
      </c>
      <c r="V7" s="11" t="s">
        <v>1525</v>
      </c>
      <c r="W7" s="11" t="s">
        <v>1516</v>
      </c>
      <c r="X7" s="11" t="s">
        <v>38</v>
      </c>
      <c r="Y7" s="11" t="s">
        <v>38</v>
      </c>
      <c r="Z7" s="11" t="s">
        <v>1509</v>
      </c>
    </row>
    <row r="8" customFormat="false" ht="15" hidden="false" customHeight="true" outlineLevel="0" collapsed="false">
      <c r="A8" s="12" t="s">
        <v>1526</v>
      </c>
      <c r="B8" s="12" t="s">
        <v>1527</v>
      </c>
      <c r="C8" s="12" t="s">
        <v>1528</v>
      </c>
      <c r="D8" s="12" t="s">
        <v>1529</v>
      </c>
      <c r="E8" s="26" t="n">
        <v>180</v>
      </c>
      <c r="F8" s="26" t="n">
        <v>86</v>
      </c>
      <c r="G8" s="27" t="n">
        <f aca="false">IFERROR(F8/E8,0)</f>
        <v>0.477777777777778</v>
      </c>
      <c r="H8" s="12" t="str">
        <f aca="false">IF(E8&lt;=8,"$25",IF(E8&lt;=20,"$30",IF(E8&lt;=199,"$35","$50")))</f>
        <v>$35</v>
      </c>
      <c r="I8" s="12" t="str">
        <f aca="false">IF(E8&lt;=19,"Cal-COBRA","Federal COBRA")</f>
        <v>Federal COBRA</v>
      </c>
      <c r="J8" s="12" t="s">
        <v>1530</v>
      </c>
      <c r="K8" s="12" t="s">
        <v>1503</v>
      </c>
      <c r="L8" s="12" t="s">
        <v>1531</v>
      </c>
      <c r="M8" s="12" t="s">
        <v>1514</v>
      </c>
      <c r="N8" s="12" t="s">
        <v>1524</v>
      </c>
      <c r="O8" s="12" t="n">
        <v>30</v>
      </c>
      <c r="P8" s="12" t="n">
        <v>20</v>
      </c>
      <c r="Q8" s="12" t="n">
        <v>10</v>
      </c>
      <c r="R8" s="20" t="n">
        <f aca="false">IFERROR(O8/F8*100,0)</f>
        <v>34.8837209302326</v>
      </c>
      <c r="S8" s="24" t="n">
        <f aca="false">F8*'Distribution Targets'!$C$34</f>
        <v>41796</v>
      </c>
      <c r="T8" s="25" t="str">
        <f aca="false">IF(M8="ER",IF(G8&lt;0.7,"BELOW 70% (P-18)",IF(G8&lt;0.75,"Near 70% threshold","OK")),IF(E8&lt;=9,IF(F8&lt;2,"BELOW 2–9 minimum (P-24)",IF(F8=2,"At 2–9 minimum","OK")),IF(F8&lt;5,"BELOW 10–500 minimum (P-23)",IF(F8&lt;7,"Near 10–500 minimum","OK"))))</f>
        <v>OK</v>
      </c>
      <c r="U8" s="25" t="str">
        <f aca="false">IF(O8&gt;=28,"A — anchor",IF(O8&gt;=10,"B — heavy",IF(O8&gt;=4,"C — moderate","D — tail")))</f>
        <v>A — anchor</v>
      </c>
      <c r="V8" s="13" t="s">
        <v>1532</v>
      </c>
      <c r="W8" s="13" t="s">
        <v>1516</v>
      </c>
      <c r="X8" s="13" t="s">
        <v>38</v>
      </c>
      <c r="Y8" s="13" t="s">
        <v>38</v>
      </c>
      <c r="Z8" s="13" t="s">
        <v>1509</v>
      </c>
    </row>
    <row r="9" customFormat="false" ht="15" hidden="false" customHeight="true" outlineLevel="0" collapsed="false">
      <c r="A9" s="10" t="s">
        <v>1533</v>
      </c>
      <c r="B9" s="10" t="s">
        <v>1534</v>
      </c>
      <c r="C9" s="10" t="s">
        <v>1535</v>
      </c>
      <c r="D9" s="10" t="s">
        <v>1520</v>
      </c>
      <c r="E9" s="22" t="n">
        <v>95</v>
      </c>
      <c r="F9" s="22" t="n">
        <v>89</v>
      </c>
      <c r="G9" s="23" t="n">
        <f aca="false">IFERROR(F9/E9,0)</f>
        <v>0.936842105263158</v>
      </c>
      <c r="H9" s="10" t="str">
        <f aca="false">IF(E9&lt;=8,"$25",IF(E9&lt;=20,"$30",IF(E9&lt;=199,"$35","$50")))</f>
        <v>$35</v>
      </c>
      <c r="I9" s="10" t="str">
        <f aca="false">IF(E9&lt;=19,"Cal-COBRA","Federal COBRA")</f>
        <v>Federal COBRA</v>
      </c>
      <c r="J9" s="10" t="s">
        <v>1536</v>
      </c>
      <c r="K9" s="10" t="s">
        <v>1537</v>
      </c>
      <c r="L9" s="10" t="s">
        <v>1538</v>
      </c>
      <c r="M9" s="10" t="s">
        <v>1505</v>
      </c>
      <c r="N9" s="10" t="s">
        <v>1506</v>
      </c>
      <c r="O9" s="10" t="n">
        <v>29</v>
      </c>
      <c r="P9" s="10" t="n">
        <v>19</v>
      </c>
      <c r="Q9" s="10" t="n">
        <v>10</v>
      </c>
      <c r="R9" s="19" t="n">
        <f aca="false">IFERROR(O9/F9*100,0)</f>
        <v>32.5842696629214</v>
      </c>
      <c r="S9" s="24" t="n">
        <f aca="false">F9*'Distribution Targets'!$C$34</f>
        <v>43254</v>
      </c>
      <c r="T9" s="25" t="str">
        <f aca="false">IF(M9="ER",IF(G9&lt;0.7,"BELOW 70% (P-18)",IF(G9&lt;0.75,"Near 70% threshold","OK")),IF(E9&lt;=9,IF(F9&lt;2,"BELOW 2–9 minimum (P-24)",IF(F9=2,"At 2–9 minimum","OK")),IF(F9&lt;5,"BELOW 10–500 minimum (P-23)",IF(F9&lt;7,"Near 10–500 minimum","OK"))))</f>
        <v>OK</v>
      </c>
      <c r="U9" s="25" t="str">
        <f aca="false">IF(O9&gt;=28,"A — anchor",IF(O9&gt;=10,"B — heavy",IF(O9&gt;=4,"C — moderate","D — tail")))</f>
        <v>A — anchor</v>
      </c>
      <c r="V9" s="11" t="s">
        <v>1532</v>
      </c>
      <c r="W9" s="11" t="s">
        <v>1508</v>
      </c>
      <c r="X9" s="11" t="s">
        <v>38</v>
      </c>
      <c r="Y9" s="11" t="s">
        <v>1271</v>
      </c>
      <c r="Z9" s="11" t="s">
        <v>1509</v>
      </c>
    </row>
    <row r="10" customFormat="false" ht="15" hidden="false" customHeight="true" outlineLevel="0" collapsed="false">
      <c r="A10" s="12" t="s">
        <v>1539</v>
      </c>
      <c r="B10" s="12" t="s">
        <v>1540</v>
      </c>
      <c r="C10" s="12" t="s">
        <v>1541</v>
      </c>
      <c r="D10" s="12" t="s">
        <v>1501</v>
      </c>
      <c r="E10" s="26" t="n">
        <v>120</v>
      </c>
      <c r="F10" s="26" t="n">
        <v>42</v>
      </c>
      <c r="G10" s="27" t="n">
        <f aca="false">IFERROR(F10/E10,0)</f>
        <v>0.35</v>
      </c>
      <c r="H10" s="12" t="str">
        <f aca="false">IF(E10&lt;=8,"$25",IF(E10&lt;=20,"$30",IF(E10&lt;=199,"$35","$50")))</f>
        <v>$35</v>
      </c>
      <c r="I10" s="12" t="str">
        <f aca="false">IF(E10&lt;=19,"Cal-COBRA","Federal COBRA")</f>
        <v>Federal COBRA</v>
      </c>
      <c r="J10" s="12" t="s">
        <v>1542</v>
      </c>
      <c r="K10" s="12" t="s">
        <v>1503</v>
      </c>
      <c r="L10" s="12" t="s">
        <v>1543</v>
      </c>
      <c r="M10" s="12" t="s">
        <v>1514</v>
      </c>
      <c r="N10" s="12" t="s">
        <v>1544</v>
      </c>
      <c r="O10" s="12" t="n">
        <v>28</v>
      </c>
      <c r="P10" s="12" t="n">
        <v>19</v>
      </c>
      <c r="Q10" s="12" t="n">
        <v>9</v>
      </c>
      <c r="R10" s="20" t="n">
        <f aca="false">IFERROR(O10/F10*100,0)</f>
        <v>66.6666666666667</v>
      </c>
      <c r="S10" s="24" t="n">
        <f aca="false">F10*'Distribution Targets'!$C$34</f>
        <v>20412</v>
      </c>
      <c r="T10" s="25" t="str">
        <f aca="false">IF(M10="ER",IF(G10&lt;0.7,"BELOW 70% (P-18)",IF(G10&lt;0.75,"Near 70% threshold","OK")),IF(E10&lt;=9,IF(F10&lt;2,"BELOW 2–9 minimum (P-24)",IF(F10=2,"At 2–9 minimum","OK")),IF(F10&lt;5,"BELOW 10–500 minimum (P-23)",IF(F10&lt;7,"Near 10–500 minimum","OK"))))</f>
        <v>OK</v>
      </c>
      <c r="U10" s="25" t="str">
        <f aca="false">IF(O10&gt;=28,"A — anchor",IF(O10&gt;=10,"B — heavy",IF(O10&gt;=4,"C — moderate","D — tail")))</f>
        <v>A — anchor</v>
      </c>
      <c r="V10" s="13" t="s">
        <v>1525</v>
      </c>
      <c r="W10" s="13" t="s">
        <v>38</v>
      </c>
      <c r="X10" s="13" t="s">
        <v>38</v>
      </c>
      <c r="Y10" s="13" t="s">
        <v>38</v>
      </c>
      <c r="Z10" s="13" t="s">
        <v>1509</v>
      </c>
    </row>
    <row r="11" customFormat="false" ht="15" hidden="false" customHeight="true" outlineLevel="0" collapsed="false">
      <c r="A11" s="10" t="s">
        <v>1545</v>
      </c>
      <c r="B11" s="10" t="s">
        <v>1546</v>
      </c>
      <c r="C11" s="10" t="s">
        <v>1547</v>
      </c>
      <c r="D11" s="10" t="s">
        <v>1520</v>
      </c>
      <c r="E11" s="22" t="n">
        <v>280</v>
      </c>
      <c r="F11" s="22" t="n">
        <v>263</v>
      </c>
      <c r="G11" s="23" t="n">
        <f aca="false">IFERROR(F11/E11,0)</f>
        <v>0.939285714285714</v>
      </c>
      <c r="H11" s="10" t="str">
        <f aca="false">IF(E11&lt;=8,"$25",IF(E11&lt;=20,"$30",IF(E11&lt;=199,"$35","$50")))</f>
        <v>$50</v>
      </c>
      <c r="I11" s="10" t="str">
        <f aca="false">IF(E11&lt;=19,"Cal-COBRA","Federal COBRA")</f>
        <v>Federal COBRA</v>
      </c>
      <c r="J11" s="10" t="s">
        <v>1502</v>
      </c>
      <c r="K11" s="10" t="s">
        <v>1503</v>
      </c>
      <c r="L11" s="10" t="s">
        <v>1504</v>
      </c>
      <c r="M11" s="10" t="s">
        <v>1505</v>
      </c>
      <c r="N11" s="10" t="s">
        <v>1548</v>
      </c>
      <c r="O11" s="10" t="n">
        <v>16</v>
      </c>
      <c r="P11" s="10" t="n">
        <v>10</v>
      </c>
      <c r="Q11" s="10" t="n">
        <v>6</v>
      </c>
      <c r="R11" s="19" t="n">
        <f aca="false">IFERROR(O11/F11*100,0)</f>
        <v>6.08365019011407</v>
      </c>
      <c r="S11" s="24" t="n">
        <f aca="false">F11*'Distribution Targets'!$C$34</f>
        <v>127818</v>
      </c>
      <c r="T11" s="25" t="str">
        <f aca="false">IF(M11="ER",IF(G11&lt;0.7,"BELOW 70% (P-18)",IF(G11&lt;0.75,"Near 70% threshold","OK")),IF(E11&lt;=9,IF(F11&lt;2,"BELOW 2–9 minimum (P-24)",IF(F11=2,"At 2–9 minimum","OK")),IF(F11&lt;5,"BELOW 10–500 minimum (P-23)",IF(F11&lt;7,"Near 10–500 minimum","OK"))))</f>
        <v>OK</v>
      </c>
      <c r="U11" s="25" t="str">
        <f aca="false">IF(O11&gt;=28,"A — anchor",IF(O11&gt;=10,"B — heavy",IF(O11&gt;=4,"C — moderate","D — tail")))</f>
        <v>B — heavy</v>
      </c>
      <c r="V11" s="11" t="s">
        <v>1549</v>
      </c>
      <c r="W11" s="11" t="s">
        <v>38</v>
      </c>
      <c r="X11" s="11" t="s">
        <v>1550</v>
      </c>
      <c r="Y11" s="11" t="s">
        <v>38</v>
      </c>
      <c r="Z11" s="11" t="s">
        <v>1509</v>
      </c>
    </row>
    <row r="12" customFormat="false" ht="15" hidden="false" customHeight="true" outlineLevel="0" collapsed="false">
      <c r="A12" s="12" t="s">
        <v>1551</v>
      </c>
      <c r="B12" s="12" t="s">
        <v>1552</v>
      </c>
      <c r="C12" s="12" t="s">
        <v>1528</v>
      </c>
      <c r="D12" s="12" t="s">
        <v>1529</v>
      </c>
      <c r="E12" s="26" t="n">
        <v>210</v>
      </c>
      <c r="F12" s="26" t="n">
        <v>126</v>
      </c>
      <c r="G12" s="27" t="n">
        <f aca="false">IFERROR(F12/E12,0)</f>
        <v>0.6</v>
      </c>
      <c r="H12" s="12" t="str">
        <f aca="false">IF(E12&lt;=8,"$25",IF(E12&lt;=20,"$30",IF(E12&lt;=199,"$35","$50")))</f>
        <v>$50</v>
      </c>
      <c r="I12" s="12" t="str">
        <f aca="false">IF(E12&lt;=19,"Cal-COBRA","Federal COBRA")</f>
        <v>Federal COBRA</v>
      </c>
      <c r="J12" s="12" t="s">
        <v>1513</v>
      </c>
      <c r="K12" s="12" t="s">
        <v>1553</v>
      </c>
      <c r="L12" s="12" t="s">
        <v>1543</v>
      </c>
      <c r="M12" s="12" t="s">
        <v>1514</v>
      </c>
      <c r="N12" s="12" t="s">
        <v>1524</v>
      </c>
      <c r="O12" s="12" t="n">
        <v>15</v>
      </c>
      <c r="P12" s="12" t="n">
        <v>9</v>
      </c>
      <c r="Q12" s="12" t="n">
        <v>6</v>
      </c>
      <c r="R12" s="20" t="n">
        <f aca="false">IFERROR(O12/F12*100,0)</f>
        <v>11.9047619047619</v>
      </c>
      <c r="S12" s="24" t="n">
        <f aca="false">F12*'Distribution Targets'!$C$34</f>
        <v>61236</v>
      </c>
      <c r="T12" s="25" t="str">
        <f aca="false">IF(M12="ER",IF(G12&lt;0.7,"BELOW 70% (P-18)",IF(G12&lt;0.75,"Near 70% threshold","OK")),IF(E12&lt;=9,IF(F12&lt;2,"BELOW 2–9 minimum (P-24)",IF(F12=2,"At 2–9 minimum","OK")),IF(F12&lt;5,"BELOW 10–500 minimum (P-23)",IF(F12&lt;7,"Near 10–500 minimum","OK"))))</f>
        <v>OK</v>
      </c>
      <c r="U12" s="25" t="str">
        <f aca="false">IF(O12&gt;=28,"A — anchor",IF(O12&gt;=10,"B — heavy",IF(O12&gt;=4,"C — moderate","D — tail")))</f>
        <v>B — heavy</v>
      </c>
      <c r="V12" s="13" t="s">
        <v>1507</v>
      </c>
      <c r="W12" s="13" t="s">
        <v>1516</v>
      </c>
      <c r="X12" s="13" t="s">
        <v>38</v>
      </c>
      <c r="Y12" s="13" t="s">
        <v>38</v>
      </c>
      <c r="Z12" s="13" t="s">
        <v>1554</v>
      </c>
    </row>
    <row r="13" customFormat="false" ht="15" hidden="false" customHeight="true" outlineLevel="0" collapsed="false">
      <c r="A13" s="10" t="s">
        <v>1555</v>
      </c>
      <c r="B13" s="10" t="s">
        <v>1556</v>
      </c>
      <c r="C13" s="10" t="s">
        <v>1557</v>
      </c>
      <c r="D13" s="10" t="s">
        <v>1529</v>
      </c>
      <c r="E13" s="22" t="n">
        <v>165</v>
      </c>
      <c r="F13" s="22" t="n">
        <v>112</v>
      </c>
      <c r="G13" s="23" t="n">
        <f aca="false">IFERROR(F13/E13,0)</f>
        <v>0.678787878787879</v>
      </c>
      <c r="H13" s="10" t="str">
        <f aca="false">IF(E13&lt;=8,"$25",IF(E13&lt;=20,"$30",IF(E13&lt;=199,"$35","$50")))</f>
        <v>$35</v>
      </c>
      <c r="I13" s="10" t="str">
        <f aca="false">IF(E13&lt;=19,"Cal-COBRA","Federal COBRA")</f>
        <v>Federal COBRA</v>
      </c>
      <c r="J13" s="10" t="s">
        <v>1521</v>
      </c>
      <c r="K13" s="10" t="s">
        <v>1503</v>
      </c>
      <c r="L13" s="10" t="s">
        <v>1538</v>
      </c>
      <c r="M13" s="10" t="s">
        <v>1505</v>
      </c>
      <c r="N13" s="10" t="s">
        <v>1544</v>
      </c>
      <c r="O13" s="10" t="n">
        <v>15</v>
      </c>
      <c r="P13" s="10" t="n">
        <v>9</v>
      </c>
      <c r="Q13" s="10" t="n">
        <v>6</v>
      </c>
      <c r="R13" s="19" t="n">
        <f aca="false">IFERROR(O13/F13*100,0)</f>
        <v>13.3928571428571</v>
      </c>
      <c r="S13" s="24" t="n">
        <f aca="false">F13*'Distribution Targets'!$C$34</f>
        <v>54432</v>
      </c>
      <c r="T13" s="25" t="str">
        <f aca="false">IF(M13="ER",IF(G13&lt;0.7,"BELOW 70% (P-18)",IF(G13&lt;0.75,"Near 70% threshold","OK")),IF(E13&lt;=9,IF(F13&lt;2,"BELOW 2–9 minimum (P-24)",IF(F13=2,"At 2–9 minimum","OK")),IF(F13&lt;5,"BELOW 10–500 minimum (P-23)",IF(F13&lt;7,"Near 10–500 minimum","OK"))))</f>
        <v>BELOW 70% (P-18)</v>
      </c>
      <c r="U13" s="25" t="str">
        <f aca="false">IF(O13&gt;=28,"A — anchor",IF(O13&gt;=10,"B — heavy",IF(O13&gt;=4,"C — moderate","D — tail")))</f>
        <v>B — heavy</v>
      </c>
      <c r="V13" s="11" t="s">
        <v>1507</v>
      </c>
      <c r="W13" s="11" t="s">
        <v>38</v>
      </c>
      <c r="X13" s="11" t="s">
        <v>38</v>
      </c>
      <c r="Y13" s="11" t="s">
        <v>38</v>
      </c>
      <c r="Z13" s="11" t="s">
        <v>1509</v>
      </c>
    </row>
    <row r="14" customFormat="false" ht="15" hidden="false" customHeight="true" outlineLevel="0" collapsed="false">
      <c r="A14" s="12" t="s">
        <v>1558</v>
      </c>
      <c r="B14" s="12" t="s">
        <v>1559</v>
      </c>
      <c r="C14" s="12" t="s">
        <v>1500</v>
      </c>
      <c r="D14" s="12" t="s">
        <v>1501</v>
      </c>
      <c r="E14" s="26" t="n">
        <v>150</v>
      </c>
      <c r="F14" s="26" t="n">
        <v>90</v>
      </c>
      <c r="G14" s="27" t="n">
        <f aca="false">IFERROR(F14/E14,0)</f>
        <v>0.6</v>
      </c>
      <c r="H14" s="12" t="str">
        <f aca="false">IF(E14&lt;=8,"$25",IF(E14&lt;=20,"$30",IF(E14&lt;=199,"$35","$50")))</f>
        <v>$35</v>
      </c>
      <c r="I14" s="12" t="str">
        <f aca="false">IF(E14&lt;=19,"Cal-COBRA","Federal COBRA")</f>
        <v>Federal COBRA</v>
      </c>
      <c r="J14" s="12" t="s">
        <v>1530</v>
      </c>
      <c r="K14" s="12" t="s">
        <v>1560</v>
      </c>
      <c r="L14" s="12" t="s">
        <v>1531</v>
      </c>
      <c r="M14" s="12" t="s">
        <v>1514</v>
      </c>
      <c r="N14" s="12" t="s">
        <v>1524</v>
      </c>
      <c r="O14" s="12" t="n">
        <v>14</v>
      </c>
      <c r="P14" s="12" t="n">
        <v>10</v>
      </c>
      <c r="Q14" s="12" t="n">
        <v>4</v>
      </c>
      <c r="R14" s="20" t="n">
        <f aca="false">IFERROR(O14/F14*100,0)</f>
        <v>15.5555555555556</v>
      </c>
      <c r="S14" s="24" t="n">
        <f aca="false">F14*'Distribution Targets'!$C$34</f>
        <v>43740</v>
      </c>
      <c r="T14" s="25" t="str">
        <f aca="false">IF(M14="ER",IF(G14&lt;0.7,"BELOW 70% (P-18)",IF(G14&lt;0.75,"Near 70% threshold","OK")),IF(E14&lt;=9,IF(F14&lt;2,"BELOW 2–9 minimum (P-24)",IF(F14=2,"At 2–9 minimum","OK")),IF(F14&lt;5,"BELOW 10–500 minimum (P-23)",IF(F14&lt;7,"Near 10–500 minimum","OK"))))</f>
        <v>OK</v>
      </c>
      <c r="U14" s="25" t="str">
        <f aca="false">IF(O14&gt;=28,"A — anchor",IF(O14&gt;=10,"B — heavy",IF(O14&gt;=4,"C — moderate","D — tail")))</f>
        <v>B — heavy</v>
      </c>
      <c r="V14" s="13" t="s">
        <v>1549</v>
      </c>
      <c r="W14" s="13" t="s">
        <v>1516</v>
      </c>
      <c r="X14" s="13" t="s">
        <v>38</v>
      </c>
      <c r="Y14" s="13" t="s">
        <v>38</v>
      </c>
      <c r="Z14" s="13" t="s">
        <v>1509</v>
      </c>
    </row>
    <row r="15" customFormat="false" ht="15" hidden="false" customHeight="true" outlineLevel="0" collapsed="false">
      <c r="A15" s="10" t="s">
        <v>1561</v>
      </c>
      <c r="B15" s="10" t="s">
        <v>1562</v>
      </c>
      <c r="C15" s="10" t="s">
        <v>1512</v>
      </c>
      <c r="D15" s="10" t="s">
        <v>1501</v>
      </c>
      <c r="E15" s="22" t="n">
        <v>130</v>
      </c>
      <c r="F15" s="22" t="n">
        <v>112</v>
      </c>
      <c r="G15" s="23" t="n">
        <f aca="false">IFERROR(F15/E15,0)</f>
        <v>0.861538461538462</v>
      </c>
      <c r="H15" s="10" t="str">
        <f aca="false">IF(E15&lt;=8,"$25",IF(E15&lt;=20,"$30",IF(E15&lt;=199,"$35","$50")))</f>
        <v>$35</v>
      </c>
      <c r="I15" s="10" t="str">
        <f aca="false">IF(E15&lt;=19,"Cal-COBRA","Federal COBRA")</f>
        <v>Federal COBRA</v>
      </c>
      <c r="J15" s="10" t="s">
        <v>1536</v>
      </c>
      <c r="K15" s="10" t="s">
        <v>1563</v>
      </c>
      <c r="L15" s="10" t="s">
        <v>1523</v>
      </c>
      <c r="M15" s="10" t="s">
        <v>1505</v>
      </c>
      <c r="N15" s="10" t="s">
        <v>1564</v>
      </c>
      <c r="O15" s="10" t="n">
        <v>14</v>
      </c>
      <c r="P15" s="10" t="n">
        <v>10</v>
      </c>
      <c r="Q15" s="10" t="n">
        <v>4</v>
      </c>
      <c r="R15" s="19" t="n">
        <f aca="false">IFERROR(O15/F15*100,0)</f>
        <v>12.5</v>
      </c>
      <c r="S15" s="24" t="n">
        <f aca="false">F15*'Distribution Targets'!$C$34</f>
        <v>54432</v>
      </c>
      <c r="T15" s="25" t="str">
        <f aca="false">IF(M15="ER",IF(G15&lt;0.7,"BELOW 70% (P-18)",IF(G15&lt;0.75,"Near 70% threshold","OK")),IF(E15&lt;=9,IF(F15&lt;2,"BELOW 2–9 minimum (P-24)",IF(F15=2,"At 2–9 minimum","OK")),IF(F15&lt;5,"BELOW 10–500 minimum (P-23)",IF(F15&lt;7,"Near 10–500 minimum","OK"))))</f>
        <v>OK</v>
      </c>
      <c r="U15" s="25" t="str">
        <f aca="false">IF(O15&gt;=28,"A — anchor",IF(O15&gt;=10,"B — heavy",IF(O15&gt;=4,"C — moderate","D — tail")))</f>
        <v>B — heavy</v>
      </c>
      <c r="V15" s="11" t="s">
        <v>1549</v>
      </c>
      <c r="W15" s="11" t="s">
        <v>1508</v>
      </c>
      <c r="X15" s="11" t="s">
        <v>1550</v>
      </c>
      <c r="Y15" s="11" t="s">
        <v>1271</v>
      </c>
      <c r="Z15" s="11" t="s">
        <v>1509</v>
      </c>
    </row>
    <row r="16" customFormat="false" ht="15" hidden="false" customHeight="true" outlineLevel="0" collapsed="false">
      <c r="A16" s="12" t="s">
        <v>1565</v>
      </c>
      <c r="B16" s="12" t="s">
        <v>1566</v>
      </c>
      <c r="C16" s="12" t="s">
        <v>1541</v>
      </c>
      <c r="D16" s="12" t="s">
        <v>1501</v>
      </c>
      <c r="E16" s="26" t="n">
        <v>120</v>
      </c>
      <c r="F16" s="26" t="n">
        <v>42</v>
      </c>
      <c r="G16" s="27" t="n">
        <f aca="false">IFERROR(F16/E16,0)</f>
        <v>0.35</v>
      </c>
      <c r="H16" s="12" t="str">
        <f aca="false">IF(E16&lt;=8,"$25",IF(E16&lt;=20,"$30",IF(E16&lt;=199,"$35","$50")))</f>
        <v>$35</v>
      </c>
      <c r="I16" s="12" t="str">
        <f aca="false">IF(E16&lt;=19,"Cal-COBRA","Federal COBRA")</f>
        <v>Federal COBRA</v>
      </c>
      <c r="J16" s="12" t="s">
        <v>1542</v>
      </c>
      <c r="K16" s="12" t="s">
        <v>1503</v>
      </c>
      <c r="L16" s="12" t="s">
        <v>1543</v>
      </c>
      <c r="M16" s="12" t="s">
        <v>1514</v>
      </c>
      <c r="N16" s="12" t="s">
        <v>1567</v>
      </c>
      <c r="O16" s="12" t="n">
        <v>13</v>
      </c>
      <c r="P16" s="12" t="n">
        <v>9</v>
      </c>
      <c r="Q16" s="12" t="n">
        <v>4</v>
      </c>
      <c r="R16" s="20" t="n">
        <f aca="false">IFERROR(O16/F16*100,0)</f>
        <v>30.952380952381</v>
      </c>
      <c r="S16" s="24" t="n">
        <f aca="false">F16*'Distribution Targets'!$C$34</f>
        <v>20412</v>
      </c>
      <c r="T16" s="25" t="str">
        <f aca="false">IF(M16="ER",IF(G16&lt;0.7,"BELOW 70% (P-18)",IF(G16&lt;0.75,"Near 70% threshold","OK")),IF(E16&lt;=9,IF(F16&lt;2,"BELOW 2–9 minimum (P-24)",IF(F16=2,"At 2–9 minimum","OK")),IF(F16&lt;5,"BELOW 10–500 minimum (P-23)",IF(F16&lt;7,"Near 10–500 minimum","OK"))))</f>
        <v>OK</v>
      </c>
      <c r="U16" s="25" t="str">
        <f aca="false">IF(O16&gt;=28,"A — anchor",IF(O16&gt;=10,"B — heavy",IF(O16&gt;=4,"C — moderate","D — tail")))</f>
        <v>B — heavy</v>
      </c>
      <c r="V16" s="13" t="s">
        <v>1549</v>
      </c>
      <c r="W16" s="13" t="s">
        <v>38</v>
      </c>
      <c r="X16" s="13" t="s">
        <v>38</v>
      </c>
      <c r="Y16" s="13" t="s">
        <v>1271</v>
      </c>
      <c r="Z16" s="13" t="s">
        <v>1509</v>
      </c>
    </row>
    <row r="17" customFormat="false" ht="15" hidden="false" customHeight="true" outlineLevel="0" collapsed="false">
      <c r="A17" s="10" t="s">
        <v>1568</v>
      </c>
      <c r="B17" s="10" t="s">
        <v>1569</v>
      </c>
      <c r="C17" s="10" t="s">
        <v>1519</v>
      </c>
      <c r="D17" s="10" t="s">
        <v>1520</v>
      </c>
      <c r="E17" s="22" t="n">
        <v>110</v>
      </c>
      <c r="F17" s="22" t="n">
        <v>75</v>
      </c>
      <c r="G17" s="23" t="n">
        <f aca="false">IFERROR(F17/E17,0)</f>
        <v>0.681818181818182</v>
      </c>
      <c r="H17" s="10" t="str">
        <f aca="false">IF(E17&lt;=8,"$25",IF(E17&lt;=20,"$30",IF(E17&lt;=199,"$35","$50")))</f>
        <v>$35</v>
      </c>
      <c r="I17" s="10" t="str">
        <f aca="false">IF(E17&lt;=19,"Cal-COBRA","Federal COBRA")</f>
        <v>Federal COBRA</v>
      </c>
      <c r="J17" s="10" t="s">
        <v>1502</v>
      </c>
      <c r="K17" s="10" t="s">
        <v>1570</v>
      </c>
      <c r="L17" s="10" t="s">
        <v>1538</v>
      </c>
      <c r="M17" s="10" t="s">
        <v>1505</v>
      </c>
      <c r="N17" s="10" t="s">
        <v>1571</v>
      </c>
      <c r="O17" s="10" t="n">
        <v>13</v>
      </c>
      <c r="P17" s="10" t="n">
        <v>9</v>
      </c>
      <c r="Q17" s="10" t="n">
        <v>4</v>
      </c>
      <c r="R17" s="19" t="n">
        <f aca="false">IFERROR(O17/F17*100,0)</f>
        <v>17.3333333333333</v>
      </c>
      <c r="S17" s="24" t="n">
        <f aca="false">F17*'Distribution Targets'!$C$34</f>
        <v>36450</v>
      </c>
      <c r="T17" s="25" t="str">
        <f aca="false">IF(M17="ER",IF(G17&lt;0.7,"BELOW 70% (P-18)",IF(G17&lt;0.75,"Near 70% threshold","OK")),IF(E17&lt;=9,IF(F17&lt;2,"BELOW 2–9 minimum (P-24)",IF(F17=2,"At 2–9 minimum","OK")),IF(F17&lt;5,"BELOW 10–500 minimum (P-23)",IF(F17&lt;7,"Near 10–500 minimum","OK"))))</f>
        <v>BELOW 70% (P-18)</v>
      </c>
      <c r="U17" s="25" t="str">
        <f aca="false">IF(O17&gt;=28,"A — anchor",IF(O17&gt;=10,"B — heavy",IF(O17&gt;=4,"C — moderate","D — tail")))</f>
        <v>B — heavy</v>
      </c>
      <c r="V17" s="11" t="s">
        <v>1525</v>
      </c>
      <c r="W17" s="11" t="s">
        <v>1516</v>
      </c>
      <c r="X17" s="11" t="s">
        <v>1572</v>
      </c>
      <c r="Y17" s="11" t="s">
        <v>38</v>
      </c>
      <c r="Z17" s="11" t="s">
        <v>1509</v>
      </c>
    </row>
    <row r="18" customFormat="false" ht="15" hidden="false" customHeight="true" outlineLevel="0" collapsed="false">
      <c r="A18" s="12" t="s">
        <v>1573</v>
      </c>
      <c r="B18" s="12" t="s">
        <v>1574</v>
      </c>
      <c r="C18" s="12" t="s">
        <v>1535</v>
      </c>
      <c r="D18" s="12" t="s">
        <v>1520</v>
      </c>
      <c r="E18" s="26" t="n">
        <v>100</v>
      </c>
      <c r="F18" s="26" t="n">
        <v>35</v>
      </c>
      <c r="G18" s="27" t="n">
        <f aca="false">IFERROR(F18/E18,0)</f>
        <v>0.35</v>
      </c>
      <c r="H18" s="12" t="str">
        <f aca="false">IF(E18&lt;=8,"$25",IF(E18&lt;=20,"$30",IF(E18&lt;=199,"$35","$50")))</f>
        <v>$35</v>
      </c>
      <c r="I18" s="12" t="str">
        <f aca="false">IF(E18&lt;=19,"Cal-COBRA","Federal COBRA")</f>
        <v>Federal COBRA</v>
      </c>
      <c r="J18" s="12" t="s">
        <v>1513</v>
      </c>
      <c r="K18" s="12" t="s">
        <v>1575</v>
      </c>
      <c r="L18" s="12" t="s">
        <v>1576</v>
      </c>
      <c r="M18" s="12" t="s">
        <v>1514</v>
      </c>
      <c r="N18" s="12" t="s">
        <v>1524</v>
      </c>
      <c r="O18" s="12" t="n">
        <v>12</v>
      </c>
      <c r="P18" s="12" t="n">
        <v>8</v>
      </c>
      <c r="Q18" s="12" t="n">
        <v>4</v>
      </c>
      <c r="R18" s="20" t="n">
        <f aca="false">IFERROR(O18/F18*100,0)</f>
        <v>34.2857142857143</v>
      </c>
      <c r="S18" s="24" t="n">
        <f aca="false">F18*'Distribution Targets'!$C$34</f>
        <v>17010</v>
      </c>
      <c r="T18" s="25" t="str">
        <f aca="false">IF(M18="ER",IF(G18&lt;0.7,"BELOW 70% (P-18)",IF(G18&lt;0.75,"Near 70% threshold","OK")),IF(E18&lt;=9,IF(F18&lt;2,"BELOW 2–9 minimum (P-24)",IF(F18=2,"At 2–9 minimum","OK")),IF(F18&lt;5,"BELOW 10–500 minimum (P-23)",IF(F18&lt;7,"Near 10–500 minimum","OK"))))</f>
        <v>OK</v>
      </c>
      <c r="U18" s="25" t="str">
        <f aca="false">IF(O18&gt;=28,"A — anchor",IF(O18&gt;=10,"B — heavy",IF(O18&gt;=4,"C — moderate","D — tail")))</f>
        <v>B — heavy</v>
      </c>
      <c r="V18" s="13" t="s">
        <v>1549</v>
      </c>
      <c r="W18" s="13" t="s">
        <v>1508</v>
      </c>
      <c r="X18" s="13" t="s">
        <v>38</v>
      </c>
      <c r="Y18" s="13" t="s">
        <v>38</v>
      </c>
      <c r="Z18" s="13" t="s">
        <v>1509</v>
      </c>
    </row>
    <row r="19" customFormat="false" ht="15" hidden="false" customHeight="true" outlineLevel="0" collapsed="false">
      <c r="A19" s="10" t="s">
        <v>1577</v>
      </c>
      <c r="B19" s="10" t="s">
        <v>1578</v>
      </c>
      <c r="C19" s="10" t="s">
        <v>1579</v>
      </c>
      <c r="D19" s="10" t="s">
        <v>1520</v>
      </c>
      <c r="E19" s="22" t="n">
        <v>88</v>
      </c>
      <c r="F19" s="22" t="n">
        <v>60</v>
      </c>
      <c r="G19" s="23" t="n">
        <f aca="false">IFERROR(F19/E19,0)</f>
        <v>0.681818181818182</v>
      </c>
      <c r="H19" s="10" t="str">
        <f aca="false">IF(E19&lt;=8,"$25",IF(E19&lt;=20,"$30",IF(E19&lt;=199,"$35","$50")))</f>
        <v>$35</v>
      </c>
      <c r="I19" s="10" t="str">
        <f aca="false">IF(E19&lt;=19,"Cal-COBRA","Federal COBRA")</f>
        <v>Federal COBRA</v>
      </c>
      <c r="J19" s="10" t="s">
        <v>1521</v>
      </c>
      <c r="K19" s="10" t="s">
        <v>1503</v>
      </c>
      <c r="L19" s="10" t="s">
        <v>1580</v>
      </c>
      <c r="M19" s="10" t="s">
        <v>1505</v>
      </c>
      <c r="N19" s="10" t="s">
        <v>1571</v>
      </c>
      <c r="O19" s="10" t="n">
        <v>12</v>
      </c>
      <c r="P19" s="10" t="n">
        <v>8</v>
      </c>
      <c r="Q19" s="10" t="n">
        <v>4</v>
      </c>
      <c r="R19" s="19" t="n">
        <f aca="false">IFERROR(O19/F19*100,0)</f>
        <v>20</v>
      </c>
      <c r="S19" s="24" t="n">
        <f aca="false">F19*'Distribution Targets'!$C$34</f>
        <v>29160</v>
      </c>
      <c r="T19" s="25" t="str">
        <f aca="false">IF(M19="ER",IF(G19&lt;0.7,"BELOW 70% (P-18)",IF(G19&lt;0.75,"Near 70% threshold","OK")),IF(E19&lt;=9,IF(F19&lt;2,"BELOW 2–9 minimum (P-24)",IF(F19=2,"At 2–9 minimum","OK")),IF(F19&lt;5,"BELOW 10–500 minimum (P-23)",IF(F19&lt;7,"Near 10–500 minimum","OK"))))</f>
        <v>BELOW 70% (P-18)</v>
      </c>
      <c r="U19" s="25" t="str">
        <f aca="false">IF(O19&gt;=28,"A — anchor",IF(O19&gt;=10,"B — heavy",IF(O19&gt;=4,"C — moderate","D — tail")))</f>
        <v>B — heavy</v>
      </c>
      <c r="V19" s="11" t="s">
        <v>1549</v>
      </c>
      <c r="W19" s="11" t="s">
        <v>1516</v>
      </c>
      <c r="X19" s="11" t="s">
        <v>1572</v>
      </c>
      <c r="Y19" s="11" t="s">
        <v>38</v>
      </c>
      <c r="Z19" s="11" t="s">
        <v>1509</v>
      </c>
    </row>
    <row r="20" customFormat="false" ht="15" hidden="false" customHeight="true" outlineLevel="0" collapsed="false">
      <c r="A20" s="12" t="s">
        <v>1581</v>
      </c>
      <c r="B20" s="12" t="s">
        <v>1582</v>
      </c>
      <c r="C20" s="12" t="s">
        <v>1547</v>
      </c>
      <c r="D20" s="12" t="s">
        <v>1520</v>
      </c>
      <c r="E20" s="26" t="n">
        <v>80</v>
      </c>
      <c r="F20" s="26" t="n">
        <v>38</v>
      </c>
      <c r="G20" s="27" t="n">
        <f aca="false">IFERROR(F20/E20,0)</f>
        <v>0.475</v>
      </c>
      <c r="H20" s="12" t="str">
        <f aca="false">IF(E20&lt;=8,"$25",IF(E20&lt;=20,"$30",IF(E20&lt;=199,"$35","$50")))</f>
        <v>$35</v>
      </c>
      <c r="I20" s="12" t="str">
        <f aca="false">IF(E20&lt;=19,"Cal-COBRA","Federal COBRA")</f>
        <v>Federal COBRA</v>
      </c>
      <c r="J20" s="12" t="s">
        <v>1530</v>
      </c>
      <c r="K20" s="12" t="s">
        <v>1583</v>
      </c>
      <c r="L20" s="12" t="s">
        <v>1584</v>
      </c>
      <c r="M20" s="12" t="s">
        <v>1514</v>
      </c>
      <c r="N20" s="12" t="s">
        <v>1506</v>
      </c>
      <c r="O20" s="12" t="n">
        <v>11</v>
      </c>
      <c r="P20" s="12" t="n">
        <v>8</v>
      </c>
      <c r="Q20" s="12" t="n">
        <v>3</v>
      </c>
      <c r="R20" s="20" t="n">
        <f aca="false">IFERROR(O20/F20*100,0)</f>
        <v>28.9473684210526</v>
      </c>
      <c r="S20" s="24" t="n">
        <f aca="false">F20*'Distribution Targets'!$C$34</f>
        <v>18468</v>
      </c>
      <c r="T20" s="25" t="str">
        <f aca="false">IF(M20="ER",IF(G20&lt;0.7,"BELOW 70% (P-18)",IF(G20&lt;0.75,"Near 70% threshold","OK")),IF(E20&lt;=9,IF(F20&lt;2,"BELOW 2–9 minimum (P-24)",IF(F20=2,"At 2–9 minimum","OK")),IF(F20&lt;5,"BELOW 10–500 minimum (P-23)",IF(F20&lt;7,"Near 10–500 minimum","OK"))))</f>
        <v>OK</v>
      </c>
      <c r="U20" s="25" t="str">
        <f aca="false">IF(O20&gt;=28,"A — anchor",IF(O20&gt;=10,"B — heavy",IF(O20&gt;=4,"C — moderate","D — tail")))</f>
        <v>B — heavy</v>
      </c>
      <c r="V20" s="13" t="s">
        <v>1532</v>
      </c>
      <c r="W20" s="13" t="s">
        <v>1516</v>
      </c>
      <c r="X20" s="13" t="s">
        <v>38</v>
      </c>
      <c r="Y20" s="13" t="s">
        <v>1271</v>
      </c>
      <c r="Z20" s="13" t="s">
        <v>1509</v>
      </c>
    </row>
    <row r="21" customFormat="false" ht="15" hidden="false" customHeight="true" outlineLevel="0" collapsed="false">
      <c r="A21" s="10" t="s">
        <v>1585</v>
      </c>
      <c r="B21" s="10" t="s">
        <v>1586</v>
      </c>
      <c r="C21" s="10" t="s">
        <v>1528</v>
      </c>
      <c r="D21" s="10" t="s">
        <v>1529</v>
      </c>
      <c r="E21" s="22" t="n">
        <v>72</v>
      </c>
      <c r="F21" s="22" t="n">
        <v>49</v>
      </c>
      <c r="G21" s="23" t="n">
        <f aca="false">IFERROR(F21/E21,0)</f>
        <v>0.680555555555556</v>
      </c>
      <c r="H21" s="10" t="str">
        <f aca="false">IF(E21&lt;=8,"$25",IF(E21&lt;=20,"$30",IF(E21&lt;=199,"$35","$50")))</f>
        <v>$35</v>
      </c>
      <c r="I21" s="10" t="str">
        <f aca="false">IF(E21&lt;=19,"Cal-COBRA","Federal COBRA")</f>
        <v>Federal COBRA</v>
      </c>
      <c r="J21" s="10" t="s">
        <v>1536</v>
      </c>
      <c r="K21" s="10" t="s">
        <v>1587</v>
      </c>
      <c r="L21" s="10" t="s">
        <v>1588</v>
      </c>
      <c r="M21" s="10" t="s">
        <v>1505</v>
      </c>
      <c r="N21" s="10" t="s">
        <v>1548</v>
      </c>
      <c r="O21" s="10" t="n">
        <v>11</v>
      </c>
      <c r="P21" s="10" t="n">
        <v>8</v>
      </c>
      <c r="Q21" s="10" t="n">
        <v>3</v>
      </c>
      <c r="R21" s="19" t="n">
        <f aca="false">IFERROR(O21/F21*100,0)</f>
        <v>22.4489795918367</v>
      </c>
      <c r="S21" s="24" t="n">
        <f aca="false">F21*'Distribution Targets'!$C$34</f>
        <v>23814</v>
      </c>
      <c r="T21" s="25" t="str">
        <f aca="false">IF(M21="ER",IF(G21&lt;0.7,"BELOW 70% (P-18)",IF(G21&lt;0.75,"Near 70% threshold","OK")),IF(E21&lt;=9,IF(F21&lt;2,"BELOW 2–9 minimum (P-24)",IF(F21=2,"At 2–9 minimum","OK")),IF(F21&lt;5,"BELOW 10–500 minimum (P-23)",IF(F21&lt;7,"Near 10–500 minimum","OK"))))</f>
        <v>BELOW 70% (P-18)</v>
      </c>
      <c r="U21" s="25" t="str">
        <f aca="false">IF(O21&gt;=28,"A — anchor",IF(O21&gt;=10,"B — heavy",IF(O21&gt;=4,"C — moderate","D — tail")))</f>
        <v>B — heavy</v>
      </c>
      <c r="V21" s="11" t="s">
        <v>1549</v>
      </c>
      <c r="W21" s="11" t="s">
        <v>38</v>
      </c>
      <c r="X21" s="11" t="s">
        <v>1572</v>
      </c>
      <c r="Y21" s="11" t="s">
        <v>38</v>
      </c>
      <c r="Z21" s="11" t="s">
        <v>1509</v>
      </c>
    </row>
    <row r="22" customFormat="false" ht="15" hidden="false" customHeight="true" outlineLevel="0" collapsed="false">
      <c r="A22" s="12" t="s">
        <v>1589</v>
      </c>
      <c r="B22" s="12" t="s">
        <v>1590</v>
      </c>
      <c r="C22" s="12" t="s">
        <v>1557</v>
      </c>
      <c r="D22" s="12" t="s">
        <v>1529</v>
      </c>
      <c r="E22" s="26" t="n">
        <v>66</v>
      </c>
      <c r="F22" s="26" t="n">
        <v>32</v>
      </c>
      <c r="G22" s="27" t="n">
        <f aca="false">IFERROR(F22/E22,0)</f>
        <v>0.484848484848485</v>
      </c>
      <c r="H22" s="12" t="str">
        <f aca="false">IF(E22&lt;=8,"$25",IF(E22&lt;=20,"$30",IF(E22&lt;=199,"$35","$50")))</f>
        <v>$35</v>
      </c>
      <c r="I22" s="12" t="str">
        <f aca="false">IF(E22&lt;=19,"Cal-COBRA","Federal COBRA")</f>
        <v>Federal COBRA</v>
      </c>
      <c r="J22" s="12" t="s">
        <v>1542</v>
      </c>
      <c r="K22" s="12" t="s">
        <v>1503</v>
      </c>
      <c r="L22" s="12" t="s">
        <v>1591</v>
      </c>
      <c r="M22" s="12" t="s">
        <v>1514</v>
      </c>
      <c r="N22" s="12" t="s">
        <v>1524</v>
      </c>
      <c r="O22" s="12" t="n">
        <v>10</v>
      </c>
      <c r="P22" s="12" t="n">
        <v>7</v>
      </c>
      <c r="Q22" s="12" t="n">
        <v>3</v>
      </c>
      <c r="R22" s="20" t="n">
        <f aca="false">IFERROR(O22/F22*100,0)</f>
        <v>31.25</v>
      </c>
      <c r="S22" s="24" t="n">
        <f aca="false">F22*'Distribution Targets'!$C$34</f>
        <v>15552</v>
      </c>
      <c r="T22" s="25" t="str">
        <f aca="false">IF(M22="ER",IF(G22&lt;0.7,"BELOW 70% (P-18)",IF(G22&lt;0.75,"Near 70% threshold","OK")),IF(E22&lt;=9,IF(F22&lt;2,"BELOW 2–9 minimum (P-24)",IF(F22=2,"At 2–9 minimum","OK")),IF(F22&lt;5,"BELOW 10–500 minimum (P-23)",IF(F22&lt;7,"Near 10–500 minimum","OK"))))</f>
        <v>OK</v>
      </c>
      <c r="U22" s="25" t="str">
        <f aca="false">IF(O22&gt;=28,"A — anchor",IF(O22&gt;=10,"B — heavy",IF(O22&gt;=4,"C — moderate","D — tail")))</f>
        <v>B — heavy</v>
      </c>
      <c r="V22" s="13" t="s">
        <v>1549</v>
      </c>
      <c r="W22" s="13" t="s">
        <v>1508</v>
      </c>
      <c r="X22" s="13" t="s">
        <v>38</v>
      </c>
      <c r="Y22" s="13" t="s">
        <v>38</v>
      </c>
      <c r="Z22" s="13" t="s">
        <v>1509</v>
      </c>
    </row>
    <row r="23" customFormat="false" ht="15" hidden="false" customHeight="true" outlineLevel="0" collapsed="false">
      <c r="A23" s="10" t="s">
        <v>1592</v>
      </c>
      <c r="B23" s="10" t="s">
        <v>1593</v>
      </c>
      <c r="C23" s="10" t="s">
        <v>1500</v>
      </c>
      <c r="D23" s="10" t="s">
        <v>1501</v>
      </c>
      <c r="E23" s="22" t="n">
        <v>60</v>
      </c>
      <c r="F23" s="22" t="n">
        <v>43</v>
      </c>
      <c r="G23" s="23" t="n">
        <f aca="false">IFERROR(F23/E23,0)</f>
        <v>0.716666666666667</v>
      </c>
      <c r="H23" s="10" t="str">
        <f aca="false">IF(E23&lt;=8,"$25",IF(E23&lt;=20,"$30",IF(E23&lt;=199,"$35","$50")))</f>
        <v>$35</v>
      </c>
      <c r="I23" s="10" t="str">
        <f aca="false">IF(E23&lt;=19,"Cal-COBRA","Federal COBRA")</f>
        <v>Federal COBRA</v>
      </c>
      <c r="J23" s="10" t="s">
        <v>1502</v>
      </c>
      <c r="K23" s="10" t="s">
        <v>1594</v>
      </c>
      <c r="L23" s="10" t="s">
        <v>1595</v>
      </c>
      <c r="M23" s="10" t="s">
        <v>1505</v>
      </c>
      <c r="N23" s="10" t="s">
        <v>1564</v>
      </c>
      <c r="O23" s="10" t="n">
        <v>10</v>
      </c>
      <c r="P23" s="10" t="n">
        <v>6</v>
      </c>
      <c r="Q23" s="10" t="n">
        <v>4</v>
      </c>
      <c r="R23" s="19" t="n">
        <f aca="false">IFERROR(O23/F23*100,0)</f>
        <v>23.2558139534884</v>
      </c>
      <c r="S23" s="24" t="n">
        <f aca="false">F23*'Distribution Targets'!$C$34</f>
        <v>20898</v>
      </c>
      <c r="T23" s="25" t="str">
        <f aca="false">IF(M23="ER",IF(G23&lt;0.7,"BELOW 70% (P-18)",IF(G23&lt;0.75,"Near 70% threshold","OK")),IF(E23&lt;=9,IF(F23&lt;2,"BELOW 2–9 minimum (P-24)",IF(F23=2,"At 2–9 minimum","OK")),IF(F23&lt;5,"BELOW 10–500 minimum (P-23)",IF(F23&lt;7,"Near 10–500 minimum","OK"))))</f>
        <v>Near 70% threshold</v>
      </c>
      <c r="U23" s="25" t="str">
        <f aca="false">IF(O23&gt;=28,"A — anchor",IF(O23&gt;=10,"B — heavy",IF(O23&gt;=4,"C — moderate","D — tail")))</f>
        <v>B — heavy</v>
      </c>
      <c r="V23" s="11" t="s">
        <v>1515</v>
      </c>
      <c r="W23" s="11" t="s">
        <v>1516</v>
      </c>
      <c r="X23" s="11" t="s">
        <v>1572</v>
      </c>
      <c r="Y23" s="11" t="s">
        <v>1271</v>
      </c>
      <c r="Z23" s="11" t="s">
        <v>1509</v>
      </c>
    </row>
    <row r="24" customFormat="false" ht="15" hidden="false" customHeight="true" outlineLevel="0" collapsed="false">
      <c r="A24" s="12" t="s">
        <v>1596</v>
      </c>
      <c r="B24" s="12" t="s">
        <v>1597</v>
      </c>
      <c r="C24" s="12" t="s">
        <v>1512</v>
      </c>
      <c r="D24" s="12" t="s">
        <v>1501</v>
      </c>
      <c r="E24" s="26" t="n">
        <v>205</v>
      </c>
      <c r="F24" s="26" t="n">
        <v>98</v>
      </c>
      <c r="G24" s="27" t="n">
        <f aca="false">IFERROR(F24/E24,0)</f>
        <v>0.478048780487805</v>
      </c>
      <c r="H24" s="12" t="str">
        <f aca="false">IF(E24&lt;=8,"$25",IF(E24&lt;=20,"$30",IF(E24&lt;=199,"$35","$50")))</f>
        <v>$50</v>
      </c>
      <c r="I24" s="12" t="str">
        <f aca="false">IF(E24&lt;=19,"Cal-COBRA","Federal COBRA")</f>
        <v>Federal COBRA</v>
      </c>
      <c r="J24" s="12" t="s">
        <v>1513</v>
      </c>
      <c r="K24" s="12" t="s">
        <v>1598</v>
      </c>
      <c r="L24" s="12" t="s">
        <v>1504</v>
      </c>
      <c r="M24" s="12" t="s">
        <v>1514</v>
      </c>
      <c r="N24" s="12" t="s">
        <v>1544</v>
      </c>
      <c r="O24" s="12" t="n">
        <v>10</v>
      </c>
      <c r="P24" s="12" t="n">
        <v>7</v>
      </c>
      <c r="Q24" s="12" t="n">
        <v>3</v>
      </c>
      <c r="R24" s="20" t="n">
        <f aca="false">IFERROR(O24/F24*100,0)</f>
        <v>10.2040816326531</v>
      </c>
      <c r="S24" s="24" t="n">
        <f aca="false">F24*'Distribution Targets'!$C$34</f>
        <v>47628</v>
      </c>
      <c r="T24" s="25" t="str">
        <f aca="false">IF(M24="ER",IF(G24&lt;0.7,"BELOW 70% (P-18)",IF(G24&lt;0.75,"Near 70% threshold","OK")),IF(E24&lt;=9,IF(F24&lt;2,"BELOW 2–9 minimum (P-24)",IF(F24=2,"At 2–9 minimum","OK")),IF(F24&lt;5,"BELOW 10–500 minimum (P-23)",IF(F24&lt;7,"Near 10–500 minimum","OK"))))</f>
        <v>OK</v>
      </c>
      <c r="U24" s="25" t="str">
        <f aca="false">IF(O24&gt;=28,"A — anchor",IF(O24&gt;=10,"B — heavy",IF(O24&gt;=4,"C — moderate","D — tail")))</f>
        <v>B — heavy</v>
      </c>
      <c r="V24" s="13" t="s">
        <v>1549</v>
      </c>
      <c r="W24" s="13" t="s">
        <v>38</v>
      </c>
      <c r="X24" s="13" t="s">
        <v>38</v>
      </c>
      <c r="Y24" s="13" t="s">
        <v>38</v>
      </c>
      <c r="Z24" s="13" t="s">
        <v>1509</v>
      </c>
    </row>
    <row r="25" customFormat="false" ht="15" hidden="false" customHeight="true" outlineLevel="0" collapsed="false">
      <c r="A25" s="10" t="s">
        <v>1599</v>
      </c>
      <c r="B25" s="10" t="s">
        <v>1600</v>
      </c>
      <c r="C25" s="10" t="s">
        <v>1541</v>
      </c>
      <c r="D25" s="10" t="s">
        <v>1501</v>
      </c>
      <c r="E25" s="22" t="n">
        <v>260</v>
      </c>
      <c r="F25" s="22" t="n">
        <v>125</v>
      </c>
      <c r="G25" s="23" t="n">
        <f aca="false">IFERROR(F25/E25,0)</f>
        <v>0.480769230769231</v>
      </c>
      <c r="H25" s="10" t="str">
        <f aca="false">IF(E25&lt;=8,"$25",IF(E25&lt;=20,"$30",IF(E25&lt;=199,"$35","$50")))</f>
        <v>$50</v>
      </c>
      <c r="I25" s="10" t="str">
        <f aca="false">IF(E25&lt;=19,"Cal-COBRA","Federal COBRA")</f>
        <v>Federal COBRA</v>
      </c>
      <c r="J25" s="10" t="s">
        <v>1521</v>
      </c>
      <c r="K25" s="10" t="s">
        <v>1503</v>
      </c>
      <c r="L25" s="10" t="s">
        <v>1543</v>
      </c>
      <c r="M25" s="10" t="s">
        <v>1514</v>
      </c>
      <c r="N25" s="10" t="s">
        <v>1567</v>
      </c>
      <c r="O25" s="10" t="n">
        <v>7</v>
      </c>
      <c r="P25" s="10" t="n">
        <v>5</v>
      </c>
      <c r="Q25" s="10" t="n">
        <v>2</v>
      </c>
      <c r="R25" s="19" t="n">
        <f aca="false">IFERROR(O25/F25*100,0)</f>
        <v>5.6</v>
      </c>
      <c r="S25" s="24" t="n">
        <f aca="false">F25*'Distribution Targets'!$C$34</f>
        <v>60750</v>
      </c>
      <c r="T25" s="25" t="str">
        <f aca="false">IF(M25="ER",IF(G25&lt;0.7,"BELOW 70% (P-18)",IF(G25&lt;0.75,"Near 70% threshold","OK")),IF(E25&lt;=9,IF(F25&lt;2,"BELOW 2–9 minimum (P-24)",IF(F25=2,"At 2–9 minimum","OK")),IF(F25&lt;5,"BELOW 10–500 minimum (P-23)",IF(F25&lt;7,"Near 10–500 minimum","OK"))))</f>
        <v>OK</v>
      </c>
      <c r="U25" s="25" t="str">
        <f aca="false">IF(O25&gt;=28,"A — anchor",IF(O25&gt;=10,"B — heavy",IF(O25&gt;=4,"C — moderate","D — tail")))</f>
        <v>C — moderate</v>
      </c>
      <c r="V25" s="11" t="s">
        <v>1549</v>
      </c>
      <c r="W25" s="11" t="s">
        <v>38</v>
      </c>
      <c r="X25" s="11" t="s">
        <v>38</v>
      </c>
      <c r="Y25" s="11" t="s">
        <v>1271</v>
      </c>
      <c r="Z25" s="11" t="s">
        <v>1509</v>
      </c>
    </row>
    <row r="26" customFormat="false" ht="15" hidden="false" customHeight="true" outlineLevel="0" collapsed="false">
      <c r="A26" s="12" t="s">
        <v>1601</v>
      </c>
      <c r="B26" s="12" t="s">
        <v>1602</v>
      </c>
      <c r="C26" s="12" t="s">
        <v>1519</v>
      </c>
      <c r="D26" s="12" t="s">
        <v>1520</v>
      </c>
      <c r="E26" s="26" t="n">
        <v>230</v>
      </c>
      <c r="F26" s="26" t="n">
        <v>216</v>
      </c>
      <c r="G26" s="27" t="n">
        <f aca="false">IFERROR(F26/E26,0)</f>
        <v>0.939130434782609</v>
      </c>
      <c r="H26" s="12" t="str">
        <f aca="false">IF(E26&lt;=8,"$25",IF(E26&lt;=20,"$30",IF(E26&lt;=199,"$35","$50")))</f>
        <v>$50</v>
      </c>
      <c r="I26" s="12" t="str">
        <f aca="false">IF(E26&lt;=19,"Cal-COBRA","Federal COBRA")</f>
        <v>Federal COBRA</v>
      </c>
      <c r="J26" s="12" t="s">
        <v>1530</v>
      </c>
      <c r="K26" s="12" t="s">
        <v>1537</v>
      </c>
      <c r="L26" s="12" t="s">
        <v>1603</v>
      </c>
      <c r="M26" s="12" t="s">
        <v>1505</v>
      </c>
      <c r="N26" s="12" t="s">
        <v>1564</v>
      </c>
      <c r="O26" s="12" t="n">
        <v>7</v>
      </c>
      <c r="P26" s="12" t="n">
        <v>5</v>
      </c>
      <c r="Q26" s="12" t="n">
        <v>2</v>
      </c>
      <c r="R26" s="20" t="n">
        <f aca="false">IFERROR(O26/F26*100,0)</f>
        <v>3.24074074074074</v>
      </c>
      <c r="S26" s="24" t="n">
        <f aca="false">F26*'Distribution Targets'!$C$34</f>
        <v>104976</v>
      </c>
      <c r="T26" s="25" t="str">
        <f aca="false">IF(M26="ER",IF(G26&lt;0.7,"BELOW 70% (P-18)",IF(G26&lt;0.75,"Near 70% threshold","OK")),IF(E26&lt;=9,IF(F26&lt;2,"BELOW 2–9 minimum (P-24)",IF(F26=2,"At 2–9 minimum","OK")),IF(F26&lt;5,"BELOW 10–500 minimum (P-23)",IF(F26&lt;7,"Near 10–500 minimum","OK"))))</f>
        <v>OK</v>
      </c>
      <c r="U26" s="25" t="str">
        <f aca="false">IF(O26&gt;=28,"A — anchor",IF(O26&gt;=10,"B — heavy",IF(O26&gt;=4,"C — moderate","D — tail")))</f>
        <v>C — moderate</v>
      </c>
      <c r="V26" s="13" t="s">
        <v>1525</v>
      </c>
      <c r="W26" s="13" t="s">
        <v>1508</v>
      </c>
      <c r="X26" s="13" t="s">
        <v>1572</v>
      </c>
      <c r="Y26" s="13" t="s">
        <v>1271</v>
      </c>
      <c r="Z26" s="13" t="s">
        <v>1509</v>
      </c>
    </row>
    <row r="27" customFormat="false" ht="15" hidden="false" customHeight="true" outlineLevel="0" collapsed="false">
      <c r="A27" s="10" t="s">
        <v>1604</v>
      </c>
      <c r="B27" s="10" t="s">
        <v>1605</v>
      </c>
      <c r="C27" s="10" t="s">
        <v>1535</v>
      </c>
      <c r="D27" s="10" t="s">
        <v>1520</v>
      </c>
      <c r="E27" s="22" t="n">
        <v>215</v>
      </c>
      <c r="F27" s="22" t="n">
        <v>129</v>
      </c>
      <c r="G27" s="23" t="n">
        <f aca="false">IFERROR(F27/E27,0)</f>
        <v>0.6</v>
      </c>
      <c r="H27" s="10" t="str">
        <f aca="false">IF(E27&lt;=8,"$25",IF(E27&lt;=20,"$30",IF(E27&lt;=199,"$35","$50")))</f>
        <v>$50</v>
      </c>
      <c r="I27" s="10" t="str">
        <f aca="false">IF(E27&lt;=19,"Cal-COBRA","Federal COBRA")</f>
        <v>Federal COBRA</v>
      </c>
      <c r="J27" s="10" t="s">
        <v>1536</v>
      </c>
      <c r="K27" s="10" t="s">
        <v>1522</v>
      </c>
      <c r="L27" s="10" t="s">
        <v>1584</v>
      </c>
      <c r="M27" s="10" t="s">
        <v>1514</v>
      </c>
      <c r="N27" s="10" t="s">
        <v>1544</v>
      </c>
      <c r="O27" s="10" t="n">
        <v>7</v>
      </c>
      <c r="P27" s="10" t="n">
        <v>5</v>
      </c>
      <c r="Q27" s="10" t="n">
        <v>2</v>
      </c>
      <c r="R27" s="19" t="n">
        <f aca="false">IFERROR(O27/F27*100,0)</f>
        <v>5.42635658914729</v>
      </c>
      <c r="S27" s="24" t="n">
        <f aca="false">F27*'Distribution Targets'!$C$34</f>
        <v>62694</v>
      </c>
      <c r="T27" s="25" t="str">
        <f aca="false">IF(M27="ER",IF(G27&lt;0.7,"BELOW 70% (P-18)",IF(G27&lt;0.75,"Near 70% threshold","OK")),IF(E27&lt;=9,IF(F27&lt;2,"BELOW 2–9 minimum (P-24)",IF(F27=2,"At 2–9 minimum","OK")),IF(F27&lt;5,"BELOW 10–500 minimum (P-23)",IF(F27&lt;7,"Near 10–500 minimum","OK"))))</f>
        <v>OK</v>
      </c>
      <c r="U27" s="25" t="str">
        <f aca="false">IF(O27&gt;=28,"A — anchor",IF(O27&gt;=10,"B — heavy",IF(O27&gt;=4,"C — moderate","D — tail")))</f>
        <v>C — moderate</v>
      </c>
      <c r="V27" s="11" t="s">
        <v>1515</v>
      </c>
      <c r="W27" s="11" t="s">
        <v>38</v>
      </c>
      <c r="X27" s="11" t="s">
        <v>38</v>
      </c>
      <c r="Y27" s="11" t="s">
        <v>38</v>
      </c>
      <c r="Z27" s="11" t="s">
        <v>1509</v>
      </c>
    </row>
    <row r="28" customFormat="false" ht="15" hidden="false" customHeight="true" outlineLevel="0" collapsed="false">
      <c r="A28" s="12" t="s">
        <v>1606</v>
      </c>
      <c r="B28" s="12" t="s">
        <v>1607</v>
      </c>
      <c r="C28" s="12" t="s">
        <v>1579</v>
      </c>
      <c r="D28" s="12" t="s">
        <v>1520</v>
      </c>
      <c r="E28" s="26" t="n">
        <v>205</v>
      </c>
      <c r="F28" s="26" t="n">
        <v>176</v>
      </c>
      <c r="G28" s="27" t="n">
        <f aca="false">IFERROR(F28/E28,0)</f>
        <v>0.858536585365854</v>
      </c>
      <c r="H28" s="12" t="str">
        <f aca="false">IF(E28&lt;=8,"$25",IF(E28&lt;=20,"$30",IF(E28&lt;=199,"$35","$50")))</f>
        <v>$50</v>
      </c>
      <c r="I28" s="12" t="str">
        <f aca="false">IF(E28&lt;=19,"Cal-COBRA","Federal COBRA")</f>
        <v>Federal COBRA</v>
      </c>
      <c r="J28" s="12" t="s">
        <v>1542</v>
      </c>
      <c r="K28" s="12" t="s">
        <v>1553</v>
      </c>
      <c r="L28" s="12" t="s">
        <v>1531</v>
      </c>
      <c r="M28" s="12" t="s">
        <v>1505</v>
      </c>
      <c r="N28" s="12" t="s">
        <v>1506</v>
      </c>
      <c r="O28" s="12" t="n">
        <v>6</v>
      </c>
      <c r="P28" s="12" t="n">
        <v>4</v>
      </c>
      <c r="Q28" s="12" t="n">
        <v>2</v>
      </c>
      <c r="R28" s="20" t="n">
        <f aca="false">IFERROR(O28/F28*100,0)</f>
        <v>3.40909090909091</v>
      </c>
      <c r="S28" s="24" t="n">
        <f aca="false">F28*'Distribution Targets'!$C$34</f>
        <v>85536</v>
      </c>
      <c r="T28" s="25" t="str">
        <f aca="false">IF(M28="ER",IF(G28&lt;0.7,"BELOW 70% (P-18)",IF(G28&lt;0.75,"Near 70% threshold","OK")),IF(E28&lt;=9,IF(F28&lt;2,"BELOW 2–9 minimum (P-24)",IF(F28=2,"At 2–9 minimum","OK")),IF(F28&lt;5,"BELOW 10–500 minimum (P-23)",IF(F28&lt;7,"Near 10–500 minimum","OK"))))</f>
        <v>OK</v>
      </c>
      <c r="U28" s="25" t="str">
        <f aca="false">IF(O28&gt;=28,"A — anchor",IF(O28&gt;=10,"B — heavy",IF(O28&gt;=4,"C — moderate","D — tail")))</f>
        <v>C — moderate</v>
      </c>
      <c r="V28" s="13" t="s">
        <v>1525</v>
      </c>
      <c r="W28" s="13" t="s">
        <v>1516</v>
      </c>
      <c r="X28" s="13" t="s">
        <v>38</v>
      </c>
      <c r="Y28" s="13" t="s">
        <v>1271</v>
      </c>
      <c r="Z28" s="13" t="s">
        <v>1509</v>
      </c>
    </row>
    <row r="29" customFormat="false" ht="15" hidden="false" customHeight="true" outlineLevel="0" collapsed="false">
      <c r="A29" s="10" t="s">
        <v>1608</v>
      </c>
      <c r="B29" s="10" t="s">
        <v>1609</v>
      </c>
      <c r="C29" s="10" t="s">
        <v>1547</v>
      </c>
      <c r="D29" s="10" t="s">
        <v>1520</v>
      </c>
      <c r="E29" s="22" t="n">
        <v>200</v>
      </c>
      <c r="F29" s="22" t="n">
        <v>124</v>
      </c>
      <c r="G29" s="23" t="n">
        <f aca="false">IFERROR(F29/E29,0)</f>
        <v>0.62</v>
      </c>
      <c r="H29" s="10" t="str">
        <f aca="false">IF(E29&lt;=8,"$25",IF(E29&lt;=20,"$30",IF(E29&lt;=199,"$35","$50")))</f>
        <v>$50</v>
      </c>
      <c r="I29" s="10" t="str">
        <f aca="false">IF(E29&lt;=19,"Cal-COBRA","Federal COBRA")</f>
        <v>Federal COBRA</v>
      </c>
      <c r="J29" s="10" t="s">
        <v>1502</v>
      </c>
      <c r="K29" s="10" t="s">
        <v>1560</v>
      </c>
      <c r="L29" s="10" t="s">
        <v>1576</v>
      </c>
      <c r="M29" s="10" t="s">
        <v>1514</v>
      </c>
      <c r="N29" s="10" t="s">
        <v>1524</v>
      </c>
      <c r="O29" s="10" t="n">
        <v>6</v>
      </c>
      <c r="P29" s="10" t="n">
        <v>4</v>
      </c>
      <c r="Q29" s="10" t="n">
        <v>2</v>
      </c>
      <c r="R29" s="19" t="n">
        <f aca="false">IFERROR(O29/F29*100,0)</f>
        <v>4.83870967741936</v>
      </c>
      <c r="S29" s="24" t="n">
        <f aca="false">F29*'Distribution Targets'!$C$34</f>
        <v>60264</v>
      </c>
      <c r="T29" s="25" t="str">
        <f aca="false">IF(M29="ER",IF(G29&lt;0.7,"BELOW 70% (P-18)",IF(G29&lt;0.75,"Near 70% threshold","OK")),IF(E29&lt;=9,IF(F29&lt;2,"BELOW 2–9 minimum (P-24)",IF(F29=2,"At 2–9 minimum","OK")),IF(F29&lt;5,"BELOW 10–500 minimum (P-23)",IF(F29&lt;7,"Near 10–500 minimum","OK"))))</f>
        <v>OK</v>
      </c>
      <c r="U29" s="25" t="str">
        <f aca="false">IF(O29&gt;=28,"A — anchor",IF(O29&gt;=10,"B — heavy",IF(O29&gt;=4,"C — moderate","D — tail")))</f>
        <v>C — moderate</v>
      </c>
      <c r="V29" s="11" t="s">
        <v>1549</v>
      </c>
      <c r="W29" s="11" t="s">
        <v>1508</v>
      </c>
      <c r="X29" s="11" t="s">
        <v>38</v>
      </c>
      <c r="Y29" s="11" t="s">
        <v>38</v>
      </c>
      <c r="Z29" s="11" t="s">
        <v>1509</v>
      </c>
    </row>
    <row r="30" customFormat="false" ht="15" hidden="false" customHeight="true" outlineLevel="0" collapsed="false">
      <c r="A30" s="12" t="s">
        <v>1610</v>
      </c>
      <c r="B30" s="12" t="s">
        <v>1611</v>
      </c>
      <c r="C30" s="12" t="s">
        <v>1528</v>
      </c>
      <c r="D30" s="12" t="s">
        <v>1529</v>
      </c>
      <c r="E30" s="26" t="n">
        <v>195</v>
      </c>
      <c r="F30" s="26" t="n">
        <v>133</v>
      </c>
      <c r="G30" s="27" t="n">
        <f aca="false">IFERROR(F30/E30,0)</f>
        <v>0.682051282051282</v>
      </c>
      <c r="H30" s="12" t="str">
        <f aca="false">IF(E30&lt;=8,"$25",IF(E30&lt;=20,"$30",IF(E30&lt;=199,"$35","$50")))</f>
        <v>$35</v>
      </c>
      <c r="I30" s="12" t="str">
        <f aca="false">IF(E30&lt;=19,"Cal-COBRA","Federal COBRA")</f>
        <v>Federal COBRA</v>
      </c>
      <c r="J30" s="12" t="s">
        <v>1513</v>
      </c>
      <c r="K30" s="12" t="s">
        <v>1563</v>
      </c>
      <c r="L30" s="12" t="s">
        <v>1580</v>
      </c>
      <c r="M30" s="12" t="s">
        <v>1505</v>
      </c>
      <c r="N30" s="12" t="s">
        <v>1548</v>
      </c>
      <c r="O30" s="12" t="n">
        <v>6</v>
      </c>
      <c r="P30" s="12" t="n">
        <v>4</v>
      </c>
      <c r="Q30" s="12" t="n">
        <v>2</v>
      </c>
      <c r="R30" s="20" t="n">
        <f aca="false">IFERROR(O30/F30*100,0)</f>
        <v>4.51127819548872</v>
      </c>
      <c r="S30" s="24" t="n">
        <f aca="false">F30*'Distribution Targets'!$C$34</f>
        <v>64638</v>
      </c>
      <c r="T30" s="25" t="str">
        <f aca="false">IF(M30="ER",IF(G30&lt;0.7,"BELOW 70% (P-18)",IF(G30&lt;0.75,"Near 70% threshold","OK")),IF(E30&lt;=9,IF(F30&lt;2,"BELOW 2–9 minimum (P-24)",IF(F30=2,"At 2–9 minimum","OK")),IF(F30&lt;5,"BELOW 10–500 minimum (P-23)",IF(F30&lt;7,"Near 10–500 minimum","OK"))))</f>
        <v>BELOW 70% (P-18)</v>
      </c>
      <c r="U30" s="25" t="str">
        <f aca="false">IF(O30&gt;=28,"A — anchor",IF(O30&gt;=10,"B — heavy",IF(O30&gt;=4,"C — moderate","D — tail")))</f>
        <v>C — moderate</v>
      </c>
      <c r="V30" s="13" t="s">
        <v>1532</v>
      </c>
      <c r="W30" s="13" t="s">
        <v>38</v>
      </c>
      <c r="X30" s="13" t="s">
        <v>1550</v>
      </c>
      <c r="Y30" s="13" t="s">
        <v>38</v>
      </c>
      <c r="Z30" s="13" t="s">
        <v>1509</v>
      </c>
    </row>
    <row r="31" customFormat="false" ht="15" hidden="false" customHeight="true" outlineLevel="0" collapsed="false">
      <c r="A31" s="10" t="s">
        <v>1612</v>
      </c>
      <c r="B31" s="10" t="s">
        <v>1613</v>
      </c>
      <c r="C31" s="10" t="s">
        <v>1557</v>
      </c>
      <c r="D31" s="10" t="s">
        <v>1529</v>
      </c>
      <c r="E31" s="22" t="n">
        <v>160</v>
      </c>
      <c r="F31" s="22" t="n">
        <v>56</v>
      </c>
      <c r="G31" s="23" t="n">
        <f aca="false">IFERROR(F31/E31,0)</f>
        <v>0.35</v>
      </c>
      <c r="H31" s="10" t="str">
        <f aca="false">IF(E31&lt;=8,"$25",IF(E31&lt;=20,"$30",IF(E31&lt;=199,"$35","$50")))</f>
        <v>$35</v>
      </c>
      <c r="I31" s="10" t="str">
        <f aca="false">IF(E31&lt;=19,"Cal-COBRA","Federal COBRA")</f>
        <v>Federal COBRA</v>
      </c>
      <c r="J31" s="10" t="s">
        <v>1521</v>
      </c>
      <c r="K31" s="10" t="s">
        <v>1570</v>
      </c>
      <c r="L31" s="10" t="s">
        <v>1523</v>
      </c>
      <c r="M31" s="10" t="s">
        <v>1514</v>
      </c>
      <c r="N31" s="10" t="s">
        <v>1506</v>
      </c>
      <c r="O31" s="10" t="n">
        <v>6</v>
      </c>
      <c r="P31" s="10" t="n">
        <v>4</v>
      </c>
      <c r="Q31" s="10" t="n">
        <v>2</v>
      </c>
      <c r="R31" s="19" t="n">
        <f aca="false">IFERROR(O31/F31*100,0)</f>
        <v>10.7142857142857</v>
      </c>
      <c r="S31" s="24" t="n">
        <f aca="false">F31*'Distribution Targets'!$C$34</f>
        <v>27216</v>
      </c>
      <c r="T31" s="25" t="str">
        <f aca="false">IF(M31="ER",IF(G31&lt;0.7,"BELOW 70% (P-18)",IF(G31&lt;0.75,"Near 70% threshold","OK")),IF(E31&lt;=9,IF(F31&lt;2,"BELOW 2–9 minimum (P-24)",IF(F31=2,"At 2–9 minimum","OK")),IF(F31&lt;5,"BELOW 10–500 minimum (P-23)",IF(F31&lt;7,"Near 10–500 minimum","OK"))))</f>
        <v>OK</v>
      </c>
      <c r="U31" s="25" t="str">
        <f aca="false">IF(O31&gt;=28,"A — anchor",IF(O31&gt;=10,"B — heavy",IF(O31&gt;=4,"C — moderate","D — tail")))</f>
        <v>C — moderate</v>
      </c>
      <c r="V31" s="11" t="s">
        <v>1515</v>
      </c>
      <c r="W31" s="11" t="s">
        <v>1516</v>
      </c>
      <c r="X31" s="11" t="s">
        <v>38</v>
      </c>
      <c r="Y31" s="11" t="s">
        <v>1271</v>
      </c>
      <c r="Z31" s="11" t="s">
        <v>1509</v>
      </c>
    </row>
    <row r="32" customFormat="false" ht="15" hidden="false" customHeight="true" outlineLevel="0" collapsed="false">
      <c r="A32" s="12" t="s">
        <v>1614</v>
      </c>
      <c r="B32" s="12" t="s">
        <v>1615</v>
      </c>
      <c r="C32" s="12" t="s">
        <v>1500</v>
      </c>
      <c r="D32" s="12" t="s">
        <v>1501</v>
      </c>
      <c r="E32" s="26" t="n">
        <v>140</v>
      </c>
      <c r="F32" s="26" t="n">
        <v>126</v>
      </c>
      <c r="G32" s="27" t="n">
        <f aca="false">IFERROR(F32/E32,0)</f>
        <v>0.9</v>
      </c>
      <c r="H32" s="12" t="str">
        <f aca="false">IF(E32&lt;=8,"$25",IF(E32&lt;=20,"$30",IF(E32&lt;=199,"$35","$50")))</f>
        <v>$35</v>
      </c>
      <c r="I32" s="12" t="str">
        <f aca="false">IF(E32&lt;=19,"Cal-COBRA","Federal COBRA")</f>
        <v>Federal COBRA</v>
      </c>
      <c r="J32" s="12" t="s">
        <v>1530</v>
      </c>
      <c r="K32" s="12" t="s">
        <v>1575</v>
      </c>
      <c r="L32" s="12" t="s">
        <v>1588</v>
      </c>
      <c r="M32" s="12" t="s">
        <v>1505</v>
      </c>
      <c r="N32" s="12" t="s">
        <v>1548</v>
      </c>
      <c r="O32" s="12" t="n">
        <v>6</v>
      </c>
      <c r="P32" s="12" t="n">
        <v>4</v>
      </c>
      <c r="Q32" s="12" t="n">
        <v>2</v>
      </c>
      <c r="R32" s="20" t="n">
        <f aca="false">IFERROR(O32/F32*100,0)</f>
        <v>4.76190476190476</v>
      </c>
      <c r="S32" s="24" t="n">
        <f aca="false">F32*'Distribution Targets'!$C$34</f>
        <v>61236</v>
      </c>
      <c r="T32" s="25" t="str">
        <f aca="false">IF(M32="ER",IF(G32&lt;0.7,"BELOW 70% (P-18)",IF(G32&lt;0.75,"Near 70% threshold","OK")),IF(E32&lt;=9,IF(F32&lt;2,"BELOW 2–9 minimum (P-24)",IF(F32=2,"At 2–9 minimum","OK")),IF(F32&lt;5,"BELOW 10–500 minimum (P-23)",IF(F32&lt;7,"Near 10–500 minimum","OK"))))</f>
        <v>OK</v>
      </c>
      <c r="U32" s="25" t="str">
        <f aca="false">IF(O32&gt;=28,"A — anchor",IF(O32&gt;=10,"B — heavy",IF(O32&gt;=4,"C — moderate","D — tail")))</f>
        <v>C — moderate</v>
      </c>
      <c r="V32" s="13" t="s">
        <v>1507</v>
      </c>
      <c r="W32" s="13" t="s">
        <v>38</v>
      </c>
      <c r="X32" s="13" t="s">
        <v>1550</v>
      </c>
      <c r="Y32" s="13" t="s">
        <v>38</v>
      </c>
      <c r="Z32" s="13" t="s">
        <v>1509</v>
      </c>
    </row>
    <row r="33" customFormat="false" ht="15" hidden="false" customHeight="true" outlineLevel="0" collapsed="false">
      <c r="A33" s="10" t="s">
        <v>1616</v>
      </c>
      <c r="B33" s="10" t="s">
        <v>1617</v>
      </c>
      <c r="C33" s="10" t="s">
        <v>1512</v>
      </c>
      <c r="D33" s="10" t="s">
        <v>1501</v>
      </c>
      <c r="E33" s="22" t="n">
        <v>125</v>
      </c>
      <c r="F33" s="22" t="n">
        <v>44</v>
      </c>
      <c r="G33" s="23" t="n">
        <f aca="false">IFERROR(F33/E33,0)</f>
        <v>0.352</v>
      </c>
      <c r="H33" s="10" t="str">
        <f aca="false">IF(E33&lt;=8,"$25",IF(E33&lt;=20,"$30",IF(E33&lt;=199,"$35","$50")))</f>
        <v>$35</v>
      </c>
      <c r="I33" s="10" t="str">
        <f aca="false">IF(E33&lt;=19,"Cal-COBRA","Federal COBRA")</f>
        <v>Federal COBRA</v>
      </c>
      <c r="J33" s="10" t="s">
        <v>1536</v>
      </c>
      <c r="K33" s="10" t="s">
        <v>1583</v>
      </c>
      <c r="L33" s="10" t="s">
        <v>1618</v>
      </c>
      <c r="M33" s="10" t="s">
        <v>1514</v>
      </c>
      <c r="N33" s="10" t="s">
        <v>1544</v>
      </c>
      <c r="O33" s="10" t="n">
        <v>5</v>
      </c>
      <c r="P33" s="10" t="n">
        <v>4</v>
      </c>
      <c r="Q33" s="10" t="n">
        <v>1</v>
      </c>
      <c r="R33" s="19" t="n">
        <f aca="false">IFERROR(O33/F33*100,0)</f>
        <v>11.3636363636364</v>
      </c>
      <c r="S33" s="24" t="n">
        <f aca="false">F33*'Distribution Targets'!$C$34</f>
        <v>21384</v>
      </c>
      <c r="T33" s="25" t="str">
        <f aca="false">IF(M33="ER",IF(G33&lt;0.7,"BELOW 70% (P-18)",IF(G33&lt;0.75,"Near 70% threshold","OK")),IF(E33&lt;=9,IF(F33&lt;2,"BELOW 2–9 minimum (P-24)",IF(F33=2,"At 2–9 minimum","OK")),IF(F33&lt;5,"BELOW 10–500 minimum (P-23)",IF(F33&lt;7,"Near 10–500 minimum","OK"))))</f>
        <v>OK</v>
      </c>
      <c r="U33" s="25" t="str">
        <f aca="false">IF(O33&gt;=28,"A — anchor",IF(O33&gt;=10,"B — heavy",IF(O33&gt;=4,"C — moderate","D — tail")))</f>
        <v>C — moderate</v>
      </c>
      <c r="V33" s="11" t="s">
        <v>1532</v>
      </c>
      <c r="W33" s="11" t="s">
        <v>38</v>
      </c>
      <c r="X33" s="11" t="s">
        <v>38</v>
      </c>
      <c r="Y33" s="11" t="s">
        <v>38</v>
      </c>
      <c r="Z33" s="11" t="s">
        <v>1509</v>
      </c>
    </row>
    <row r="34" customFormat="false" ht="15" hidden="false" customHeight="true" outlineLevel="0" collapsed="false">
      <c r="A34" s="12" t="s">
        <v>1619</v>
      </c>
      <c r="B34" s="12" t="s">
        <v>1620</v>
      </c>
      <c r="C34" s="12" t="s">
        <v>1541</v>
      </c>
      <c r="D34" s="12" t="s">
        <v>1501</v>
      </c>
      <c r="E34" s="26" t="n">
        <v>105</v>
      </c>
      <c r="F34" s="26" t="n">
        <v>94</v>
      </c>
      <c r="G34" s="27" t="n">
        <f aca="false">IFERROR(F34/E34,0)</f>
        <v>0.895238095238095</v>
      </c>
      <c r="H34" s="12" t="str">
        <f aca="false">IF(E34&lt;=8,"$25",IF(E34&lt;=20,"$30",IF(E34&lt;=199,"$35","$50")))</f>
        <v>$35</v>
      </c>
      <c r="I34" s="12" t="str">
        <f aca="false">IF(E34&lt;=19,"Cal-COBRA","Federal COBRA")</f>
        <v>Federal COBRA</v>
      </c>
      <c r="J34" s="12" t="s">
        <v>1542</v>
      </c>
      <c r="K34" s="12" t="s">
        <v>1587</v>
      </c>
      <c r="L34" s="12" t="s">
        <v>1621</v>
      </c>
      <c r="M34" s="12" t="s">
        <v>1505</v>
      </c>
      <c r="N34" s="12" t="s">
        <v>1524</v>
      </c>
      <c r="O34" s="12" t="n">
        <v>5</v>
      </c>
      <c r="P34" s="12" t="n">
        <v>4</v>
      </c>
      <c r="Q34" s="12" t="n">
        <v>1</v>
      </c>
      <c r="R34" s="20" t="n">
        <f aca="false">IFERROR(O34/F34*100,0)</f>
        <v>5.31914893617021</v>
      </c>
      <c r="S34" s="24" t="n">
        <f aca="false">F34*'Distribution Targets'!$C$34</f>
        <v>45684</v>
      </c>
      <c r="T34" s="25" t="str">
        <f aca="false">IF(M34="ER",IF(G34&lt;0.7,"BELOW 70% (P-18)",IF(G34&lt;0.75,"Near 70% threshold","OK")),IF(E34&lt;=9,IF(F34&lt;2,"BELOW 2–9 minimum (P-24)",IF(F34=2,"At 2–9 minimum","OK")),IF(F34&lt;5,"BELOW 10–500 minimum (P-23)",IF(F34&lt;7,"Near 10–500 minimum","OK"))))</f>
        <v>OK</v>
      </c>
      <c r="U34" s="25" t="str">
        <f aca="false">IF(O34&gt;=28,"A — anchor",IF(O34&gt;=10,"B — heavy",IF(O34&gt;=4,"C — moderate","D — tail")))</f>
        <v>C — moderate</v>
      </c>
      <c r="V34" s="13" t="s">
        <v>1515</v>
      </c>
      <c r="W34" s="13" t="s">
        <v>1508</v>
      </c>
      <c r="X34" s="13" t="s">
        <v>38</v>
      </c>
      <c r="Y34" s="13" t="s">
        <v>38</v>
      </c>
      <c r="Z34" s="13" t="s">
        <v>1509</v>
      </c>
    </row>
    <row r="35" customFormat="false" ht="15" hidden="false" customHeight="true" outlineLevel="0" collapsed="false">
      <c r="A35" s="10" t="s">
        <v>1622</v>
      </c>
      <c r="B35" s="10" t="s">
        <v>1623</v>
      </c>
      <c r="C35" s="10" t="s">
        <v>1519</v>
      </c>
      <c r="D35" s="10" t="s">
        <v>1520</v>
      </c>
      <c r="E35" s="22" t="n">
        <v>90</v>
      </c>
      <c r="F35" s="22" t="n">
        <v>54</v>
      </c>
      <c r="G35" s="23" t="n">
        <f aca="false">IFERROR(F35/E35,0)</f>
        <v>0.6</v>
      </c>
      <c r="H35" s="10" t="str">
        <f aca="false">IF(E35&lt;=8,"$25",IF(E35&lt;=20,"$30",IF(E35&lt;=199,"$35","$50")))</f>
        <v>$35</v>
      </c>
      <c r="I35" s="10" t="str">
        <f aca="false">IF(E35&lt;=19,"Cal-COBRA","Federal COBRA")</f>
        <v>Federal COBRA</v>
      </c>
      <c r="J35" s="10" t="s">
        <v>1502</v>
      </c>
      <c r="K35" s="10" t="s">
        <v>1594</v>
      </c>
      <c r="L35" s="10" t="s">
        <v>1624</v>
      </c>
      <c r="M35" s="10" t="s">
        <v>1514</v>
      </c>
      <c r="N35" s="10" t="s">
        <v>1524</v>
      </c>
      <c r="O35" s="10" t="n">
        <v>5</v>
      </c>
      <c r="P35" s="10" t="n">
        <v>4</v>
      </c>
      <c r="Q35" s="10" t="n">
        <v>1</v>
      </c>
      <c r="R35" s="19" t="n">
        <f aca="false">IFERROR(O35/F35*100,0)</f>
        <v>9.25925925925926</v>
      </c>
      <c r="S35" s="24" t="n">
        <f aca="false">F35*'Distribution Targets'!$C$34</f>
        <v>26244</v>
      </c>
      <c r="T35" s="25" t="str">
        <f aca="false">IF(M35="ER",IF(G35&lt;0.7,"BELOW 70% (P-18)",IF(G35&lt;0.75,"Near 70% threshold","OK")),IF(E35&lt;=9,IF(F35&lt;2,"BELOW 2–9 minimum (P-24)",IF(F35=2,"At 2–9 minimum","OK")),IF(F35&lt;5,"BELOW 10–500 minimum (P-23)",IF(F35&lt;7,"Near 10–500 minimum","OK"))))</f>
        <v>OK</v>
      </c>
      <c r="U35" s="25" t="str">
        <f aca="false">IF(O35&gt;=28,"A — anchor",IF(O35&gt;=10,"B — heavy",IF(O35&gt;=4,"C — moderate","D — tail")))</f>
        <v>C — moderate</v>
      </c>
      <c r="V35" s="11" t="s">
        <v>1515</v>
      </c>
      <c r="W35" s="11" t="s">
        <v>1508</v>
      </c>
      <c r="X35" s="11" t="s">
        <v>38</v>
      </c>
      <c r="Y35" s="11" t="s">
        <v>38</v>
      </c>
      <c r="Z35" s="11" t="s">
        <v>1509</v>
      </c>
    </row>
    <row r="36" customFormat="false" ht="15" hidden="false" customHeight="true" outlineLevel="0" collapsed="false">
      <c r="A36" s="12" t="s">
        <v>1625</v>
      </c>
      <c r="B36" s="12" t="s">
        <v>1626</v>
      </c>
      <c r="C36" s="12" t="s">
        <v>1535</v>
      </c>
      <c r="D36" s="12" t="s">
        <v>1520</v>
      </c>
      <c r="E36" s="26" t="n">
        <v>75</v>
      </c>
      <c r="F36" s="26" t="n">
        <v>51</v>
      </c>
      <c r="G36" s="27" t="n">
        <f aca="false">IFERROR(F36/E36,0)</f>
        <v>0.68</v>
      </c>
      <c r="H36" s="12" t="str">
        <f aca="false">IF(E36&lt;=8,"$25",IF(E36&lt;=20,"$30",IF(E36&lt;=199,"$35","$50")))</f>
        <v>$35</v>
      </c>
      <c r="I36" s="12" t="str">
        <f aca="false">IF(E36&lt;=19,"Cal-COBRA","Federal COBRA")</f>
        <v>Federal COBRA</v>
      </c>
      <c r="J36" s="12" t="s">
        <v>1513</v>
      </c>
      <c r="K36" s="12" t="s">
        <v>1598</v>
      </c>
      <c r="L36" s="12" t="s">
        <v>1627</v>
      </c>
      <c r="M36" s="12" t="s">
        <v>1505</v>
      </c>
      <c r="N36" s="12" t="s">
        <v>1567</v>
      </c>
      <c r="O36" s="12" t="n">
        <v>5</v>
      </c>
      <c r="P36" s="12" t="n">
        <v>4</v>
      </c>
      <c r="Q36" s="12" t="n">
        <v>1</v>
      </c>
      <c r="R36" s="20" t="n">
        <f aca="false">IFERROR(O36/F36*100,0)</f>
        <v>9.80392156862745</v>
      </c>
      <c r="S36" s="24" t="n">
        <f aca="false">F36*'Distribution Targets'!$C$34</f>
        <v>24786</v>
      </c>
      <c r="T36" s="25" t="str">
        <f aca="false">IF(M36="ER",IF(G36&lt;0.7,"BELOW 70% (P-18)",IF(G36&lt;0.75,"Near 70% threshold","OK")),IF(E36&lt;=9,IF(F36&lt;2,"BELOW 2–9 minimum (P-24)",IF(F36=2,"At 2–9 minimum","OK")),IF(F36&lt;5,"BELOW 10–500 minimum (P-23)",IF(F36&lt;7,"Near 10–500 minimum","OK"))))</f>
        <v>BELOW 70% (P-18)</v>
      </c>
      <c r="U36" s="25" t="str">
        <f aca="false">IF(O36&gt;=28,"A — anchor",IF(O36&gt;=10,"B — heavy",IF(O36&gt;=4,"C — moderate","D — tail")))</f>
        <v>C — moderate</v>
      </c>
      <c r="V36" s="13" t="s">
        <v>1515</v>
      </c>
      <c r="W36" s="13" t="s">
        <v>38</v>
      </c>
      <c r="X36" s="13" t="s">
        <v>38</v>
      </c>
      <c r="Y36" s="13" t="s">
        <v>1271</v>
      </c>
      <c r="Z36" s="13" t="s">
        <v>1509</v>
      </c>
    </row>
    <row r="37" customFormat="false" ht="15" hidden="false" customHeight="true" outlineLevel="0" collapsed="false">
      <c r="A37" s="10" t="s">
        <v>1628</v>
      </c>
      <c r="B37" s="10" t="s">
        <v>1629</v>
      </c>
      <c r="C37" s="10" t="s">
        <v>1579</v>
      </c>
      <c r="D37" s="10" t="s">
        <v>1520</v>
      </c>
      <c r="E37" s="22" t="n">
        <v>62</v>
      </c>
      <c r="F37" s="22" t="n">
        <v>38</v>
      </c>
      <c r="G37" s="23" t="n">
        <f aca="false">IFERROR(F37/E37,0)</f>
        <v>0.612903225806452</v>
      </c>
      <c r="H37" s="10" t="str">
        <f aca="false">IF(E37&lt;=8,"$25",IF(E37&lt;=20,"$30",IF(E37&lt;=199,"$35","$50")))</f>
        <v>$35</v>
      </c>
      <c r="I37" s="10" t="str">
        <f aca="false">IF(E37&lt;=19,"Cal-COBRA","Federal COBRA")</f>
        <v>Federal COBRA</v>
      </c>
      <c r="J37" s="10" t="s">
        <v>1521</v>
      </c>
      <c r="K37" s="10" t="s">
        <v>1503</v>
      </c>
      <c r="L37" s="10" t="s">
        <v>1630</v>
      </c>
      <c r="M37" s="10" t="s">
        <v>1514</v>
      </c>
      <c r="N37" s="10" t="s">
        <v>1544</v>
      </c>
      <c r="O37" s="10" t="n">
        <v>5</v>
      </c>
      <c r="P37" s="10" t="n">
        <v>4</v>
      </c>
      <c r="Q37" s="10" t="n">
        <v>1</v>
      </c>
      <c r="R37" s="19" t="n">
        <f aca="false">IFERROR(O37/F37*100,0)</f>
        <v>13.1578947368421</v>
      </c>
      <c r="S37" s="24" t="n">
        <f aca="false">F37*'Distribution Targets'!$C$34</f>
        <v>18468</v>
      </c>
      <c r="T37" s="25" t="str">
        <f aca="false">IF(M37="ER",IF(G37&lt;0.7,"BELOW 70% (P-18)",IF(G37&lt;0.75,"Near 70% threshold","OK")),IF(E37&lt;=9,IF(F37&lt;2,"BELOW 2–9 minimum (P-24)",IF(F37=2,"At 2–9 minimum","OK")),IF(F37&lt;5,"BELOW 10–500 minimum (P-23)",IF(F37&lt;7,"Near 10–500 minimum","OK"))))</f>
        <v>OK</v>
      </c>
      <c r="U37" s="25" t="str">
        <f aca="false">IF(O37&gt;=28,"A — anchor",IF(O37&gt;=10,"B — heavy",IF(O37&gt;=4,"C — moderate","D — tail")))</f>
        <v>C — moderate</v>
      </c>
      <c r="V37" s="11" t="s">
        <v>1549</v>
      </c>
      <c r="W37" s="11" t="s">
        <v>38</v>
      </c>
      <c r="X37" s="11" t="s">
        <v>38</v>
      </c>
      <c r="Y37" s="11" t="s">
        <v>38</v>
      </c>
      <c r="Z37" s="11" t="s">
        <v>1509</v>
      </c>
    </row>
    <row r="38" customFormat="false" ht="15" hidden="false" customHeight="true" outlineLevel="0" collapsed="false">
      <c r="A38" s="12" t="s">
        <v>1631</v>
      </c>
      <c r="B38" s="12" t="s">
        <v>1632</v>
      </c>
      <c r="C38" s="12" t="s">
        <v>1547</v>
      </c>
      <c r="D38" s="12" t="s">
        <v>1520</v>
      </c>
      <c r="E38" s="26" t="n">
        <v>48</v>
      </c>
      <c r="F38" s="26" t="n">
        <v>37</v>
      </c>
      <c r="G38" s="27" t="n">
        <f aca="false">IFERROR(F38/E38,0)</f>
        <v>0.770833333333333</v>
      </c>
      <c r="H38" s="12" t="str">
        <f aca="false">IF(E38&lt;=8,"$25",IF(E38&lt;=20,"$30",IF(E38&lt;=199,"$35","$50")))</f>
        <v>$35</v>
      </c>
      <c r="I38" s="12" t="str">
        <f aca="false">IF(E38&lt;=19,"Cal-COBRA","Federal COBRA")</f>
        <v>Federal COBRA</v>
      </c>
      <c r="J38" s="12" t="s">
        <v>1530</v>
      </c>
      <c r="K38" s="12" t="s">
        <v>1503</v>
      </c>
      <c r="L38" s="12" t="s">
        <v>1633</v>
      </c>
      <c r="M38" s="12" t="s">
        <v>1505</v>
      </c>
      <c r="N38" s="12" t="s">
        <v>1567</v>
      </c>
      <c r="O38" s="12" t="n">
        <v>5</v>
      </c>
      <c r="P38" s="12" t="n">
        <v>3</v>
      </c>
      <c r="Q38" s="12" t="n">
        <v>2</v>
      </c>
      <c r="R38" s="20" t="n">
        <f aca="false">IFERROR(O38/F38*100,0)</f>
        <v>13.5135135135135</v>
      </c>
      <c r="S38" s="24" t="n">
        <f aca="false">F38*'Distribution Targets'!$C$34</f>
        <v>17982</v>
      </c>
      <c r="T38" s="25" t="str">
        <f aca="false">IF(M38="ER",IF(G38&lt;0.7,"BELOW 70% (P-18)",IF(G38&lt;0.75,"Near 70% threshold","OK")),IF(E38&lt;=9,IF(F38&lt;2,"BELOW 2–9 minimum (P-24)",IF(F38=2,"At 2–9 minimum","OK")),IF(F38&lt;5,"BELOW 10–500 minimum (P-23)",IF(F38&lt;7,"Near 10–500 minimum","OK"))))</f>
        <v>OK</v>
      </c>
      <c r="U38" s="25" t="str">
        <f aca="false">IF(O38&gt;=28,"A — anchor",IF(O38&gt;=10,"B — heavy",IF(O38&gt;=4,"C — moderate","D — tail")))</f>
        <v>C — moderate</v>
      </c>
      <c r="V38" s="13" t="s">
        <v>1525</v>
      </c>
      <c r="W38" s="13" t="s">
        <v>38</v>
      </c>
      <c r="X38" s="13" t="s">
        <v>38</v>
      </c>
      <c r="Y38" s="13" t="s">
        <v>1271</v>
      </c>
      <c r="Z38" s="13" t="s">
        <v>1509</v>
      </c>
    </row>
    <row r="39" customFormat="false" ht="15" hidden="false" customHeight="true" outlineLevel="0" collapsed="false">
      <c r="A39" s="10" t="s">
        <v>1634</v>
      </c>
      <c r="B39" s="10" t="s">
        <v>1635</v>
      </c>
      <c r="C39" s="10" t="s">
        <v>1528</v>
      </c>
      <c r="D39" s="10" t="s">
        <v>1529</v>
      </c>
      <c r="E39" s="22" t="n">
        <v>40</v>
      </c>
      <c r="F39" s="22" t="n">
        <v>17</v>
      </c>
      <c r="G39" s="23" t="n">
        <f aca="false">IFERROR(F39/E39,0)</f>
        <v>0.425</v>
      </c>
      <c r="H39" s="10" t="str">
        <f aca="false">IF(E39&lt;=8,"$25",IF(E39&lt;=20,"$30",IF(E39&lt;=199,"$35","$50")))</f>
        <v>$35</v>
      </c>
      <c r="I39" s="10" t="str">
        <f aca="false">IF(E39&lt;=19,"Cal-COBRA","Federal COBRA")</f>
        <v>Federal COBRA</v>
      </c>
      <c r="J39" s="10" t="s">
        <v>1536</v>
      </c>
      <c r="K39" s="10" t="s">
        <v>1537</v>
      </c>
      <c r="L39" s="10" t="s">
        <v>1636</v>
      </c>
      <c r="M39" s="10" t="s">
        <v>1514</v>
      </c>
      <c r="N39" s="10" t="s">
        <v>1506</v>
      </c>
      <c r="O39" s="10" t="n">
        <v>5</v>
      </c>
      <c r="P39" s="10" t="n">
        <v>3</v>
      </c>
      <c r="Q39" s="10" t="n">
        <v>2</v>
      </c>
      <c r="R39" s="19" t="n">
        <f aca="false">IFERROR(O39/F39*100,0)</f>
        <v>29.4117647058824</v>
      </c>
      <c r="S39" s="24" t="n">
        <f aca="false">F39*'Distribution Targets'!$C$34</f>
        <v>8262</v>
      </c>
      <c r="T39" s="25" t="str">
        <f aca="false">IF(M39="ER",IF(G39&lt;0.7,"BELOW 70% (P-18)",IF(G39&lt;0.75,"Near 70% threshold","OK")),IF(E39&lt;=9,IF(F39&lt;2,"BELOW 2–9 minimum (P-24)",IF(F39=2,"At 2–9 minimum","OK")),IF(F39&lt;5,"BELOW 10–500 minimum (P-23)",IF(F39&lt;7,"Near 10–500 minimum","OK"))))</f>
        <v>OK</v>
      </c>
      <c r="U39" s="25" t="str">
        <f aca="false">IF(O39&gt;=28,"A — anchor",IF(O39&gt;=10,"B — heavy",IF(O39&gt;=4,"C — moderate","D — tail")))</f>
        <v>C — moderate</v>
      </c>
      <c r="V39" s="11" t="s">
        <v>1525</v>
      </c>
      <c r="W39" s="11" t="s">
        <v>1516</v>
      </c>
      <c r="X39" s="11" t="s">
        <v>38</v>
      </c>
      <c r="Y39" s="11" t="s">
        <v>1271</v>
      </c>
      <c r="Z39" s="11" t="s">
        <v>1509</v>
      </c>
    </row>
    <row r="40" customFormat="false" ht="15" hidden="false" customHeight="true" outlineLevel="0" collapsed="false">
      <c r="A40" s="12" t="s">
        <v>1637</v>
      </c>
      <c r="B40" s="12" t="s">
        <v>1638</v>
      </c>
      <c r="C40" s="12" t="s">
        <v>1557</v>
      </c>
      <c r="D40" s="12" t="s">
        <v>1529</v>
      </c>
      <c r="E40" s="26" t="n">
        <v>30</v>
      </c>
      <c r="F40" s="26" t="n">
        <v>28</v>
      </c>
      <c r="G40" s="27" t="n">
        <f aca="false">IFERROR(F40/E40,0)</f>
        <v>0.933333333333333</v>
      </c>
      <c r="H40" s="12" t="str">
        <f aca="false">IF(E40&lt;=8,"$25",IF(E40&lt;=20,"$30",IF(E40&lt;=199,"$35","$50")))</f>
        <v>$35</v>
      </c>
      <c r="I40" s="12" t="str">
        <f aca="false">IF(E40&lt;=19,"Cal-COBRA","Federal COBRA")</f>
        <v>Federal COBRA</v>
      </c>
      <c r="J40" s="12" t="s">
        <v>1542</v>
      </c>
      <c r="K40" s="12" t="s">
        <v>1522</v>
      </c>
      <c r="L40" s="12" t="s">
        <v>1639</v>
      </c>
      <c r="M40" s="12" t="s">
        <v>1505</v>
      </c>
      <c r="N40" s="12" t="s">
        <v>1548</v>
      </c>
      <c r="O40" s="12" t="n">
        <v>4</v>
      </c>
      <c r="P40" s="12" t="n">
        <v>3</v>
      </c>
      <c r="Q40" s="12" t="n">
        <v>1</v>
      </c>
      <c r="R40" s="20" t="n">
        <f aca="false">IFERROR(O40/F40*100,0)</f>
        <v>14.2857142857143</v>
      </c>
      <c r="S40" s="24" t="n">
        <f aca="false">F40*'Distribution Targets'!$C$34</f>
        <v>13608</v>
      </c>
      <c r="T40" s="25" t="str">
        <f aca="false">IF(M40="ER",IF(G40&lt;0.7,"BELOW 70% (P-18)",IF(G40&lt;0.75,"Near 70% threshold","OK")),IF(E40&lt;=9,IF(F40&lt;2,"BELOW 2–9 minimum (P-24)",IF(F40=2,"At 2–9 minimum","OK")),IF(F40&lt;5,"BELOW 10–500 minimum (P-23)",IF(F40&lt;7,"Near 10–500 minimum","OK"))))</f>
        <v>OK</v>
      </c>
      <c r="U40" s="25" t="str">
        <f aca="false">IF(O40&gt;=28,"A — anchor",IF(O40&gt;=10,"B — heavy",IF(O40&gt;=4,"C — moderate","D — tail")))</f>
        <v>C — moderate</v>
      </c>
      <c r="V40" s="13" t="s">
        <v>1532</v>
      </c>
      <c r="W40" s="13" t="s">
        <v>38</v>
      </c>
      <c r="X40" s="13" t="s">
        <v>1550</v>
      </c>
      <c r="Y40" s="13" t="s">
        <v>38</v>
      </c>
      <c r="Z40" s="13" t="s">
        <v>1509</v>
      </c>
    </row>
    <row r="41" customFormat="false" ht="15" hidden="false" customHeight="true" outlineLevel="0" collapsed="false">
      <c r="A41" s="10" t="s">
        <v>1640</v>
      </c>
      <c r="B41" s="10" t="s">
        <v>1641</v>
      </c>
      <c r="C41" s="10" t="s">
        <v>1500</v>
      </c>
      <c r="D41" s="10" t="s">
        <v>1501</v>
      </c>
      <c r="E41" s="22" t="n">
        <v>26</v>
      </c>
      <c r="F41" s="22" t="n">
        <v>8</v>
      </c>
      <c r="G41" s="23" t="n">
        <f aca="false">IFERROR(F41/E41,0)</f>
        <v>0.307692307692308</v>
      </c>
      <c r="H41" s="10" t="str">
        <f aca="false">IF(E41&lt;=8,"$25",IF(E41&lt;=20,"$30",IF(E41&lt;=199,"$35","$50")))</f>
        <v>$35</v>
      </c>
      <c r="I41" s="10" t="str">
        <f aca="false">IF(E41&lt;=19,"Cal-COBRA","Federal COBRA")</f>
        <v>Federal COBRA</v>
      </c>
      <c r="J41" s="10" t="s">
        <v>1502</v>
      </c>
      <c r="K41" s="10" t="s">
        <v>1553</v>
      </c>
      <c r="L41" s="10" t="s">
        <v>1591</v>
      </c>
      <c r="M41" s="10" t="s">
        <v>1514</v>
      </c>
      <c r="N41" s="10" t="s">
        <v>1524</v>
      </c>
      <c r="O41" s="10" t="n">
        <v>4</v>
      </c>
      <c r="P41" s="10" t="n">
        <v>3</v>
      </c>
      <c r="Q41" s="10" t="n">
        <v>1</v>
      </c>
      <c r="R41" s="19" t="n">
        <f aca="false">IFERROR(O41/F41*100,0)</f>
        <v>50</v>
      </c>
      <c r="S41" s="24" t="n">
        <f aca="false">F41*'Distribution Targets'!$C$34</f>
        <v>3888</v>
      </c>
      <c r="T41" s="25" t="str">
        <f aca="false">IF(M41="ER",IF(G41&lt;0.7,"BELOW 70% (P-18)",IF(G41&lt;0.75,"Near 70% threshold","OK")),IF(E41&lt;=9,IF(F41&lt;2,"BELOW 2–9 minimum (P-24)",IF(F41=2,"At 2–9 minimum","OK")),IF(F41&lt;5,"BELOW 10–500 minimum (P-23)",IF(F41&lt;7,"Near 10–500 minimum","OK"))))</f>
        <v>OK</v>
      </c>
      <c r="U41" s="25" t="str">
        <f aca="false">IF(O41&gt;=28,"A — anchor",IF(O41&gt;=10,"B — heavy",IF(O41&gt;=4,"C — moderate","D — tail")))</f>
        <v>C — moderate</v>
      </c>
      <c r="V41" s="11" t="s">
        <v>1532</v>
      </c>
      <c r="W41" s="11" t="s">
        <v>1508</v>
      </c>
      <c r="X41" s="11" t="s">
        <v>38</v>
      </c>
      <c r="Y41" s="11" t="s">
        <v>38</v>
      </c>
      <c r="Z41" s="11" t="s">
        <v>1509</v>
      </c>
    </row>
    <row r="42" customFormat="false" ht="15" hidden="false" customHeight="true" outlineLevel="0" collapsed="false">
      <c r="A42" s="12" t="s">
        <v>1642</v>
      </c>
      <c r="B42" s="12" t="s">
        <v>1643</v>
      </c>
      <c r="C42" s="12" t="s">
        <v>1512</v>
      </c>
      <c r="D42" s="12" t="s">
        <v>1501</v>
      </c>
      <c r="E42" s="26" t="n">
        <v>24</v>
      </c>
      <c r="F42" s="26" t="n">
        <v>23</v>
      </c>
      <c r="G42" s="27" t="n">
        <f aca="false">IFERROR(F42/E42,0)</f>
        <v>0.958333333333333</v>
      </c>
      <c r="H42" s="12" t="str">
        <f aca="false">IF(E42&lt;=8,"$25",IF(E42&lt;=20,"$30",IF(E42&lt;=199,"$35","$50")))</f>
        <v>$35</v>
      </c>
      <c r="I42" s="12" t="str">
        <f aca="false">IF(E42&lt;=19,"Cal-COBRA","Federal COBRA")</f>
        <v>Federal COBRA</v>
      </c>
      <c r="J42" s="12" t="s">
        <v>1513</v>
      </c>
      <c r="K42" s="12" t="s">
        <v>1560</v>
      </c>
      <c r="L42" s="12" t="s">
        <v>1595</v>
      </c>
      <c r="M42" s="12" t="s">
        <v>1505</v>
      </c>
      <c r="N42" s="12" t="s">
        <v>1506</v>
      </c>
      <c r="O42" s="12" t="n">
        <v>4</v>
      </c>
      <c r="P42" s="12" t="n">
        <v>3</v>
      </c>
      <c r="Q42" s="12" t="n">
        <v>1</v>
      </c>
      <c r="R42" s="20" t="n">
        <f aca="false">IFERROR(O42/F42*100,0)</f>
        <v>17.3913043478261</v>
      </c>
      <c r="S42" s="24" t="n">
        <f aca="false">F42*'Distribution Targets'!$C$34</f>
        <v>11178</v>
      </c>
      <c r="T42" s="25" t="str">
        <f aca="false">IF(M42="ER",IF(G42&lt;0.7,"BELOW 70% (P-18)",IF(G42&lt;0.75,"Near 70% threshold","OK")),IF(E42&lt;=9,IF(F42&lt;2,"BELOW 2–9 minimum (P-24)",IF(F42=2,"At 2–9 minimum","OK")),IF(F42&lt;5,"BELOW 10–500 minimum (P-23)",IF(F42&lt;7,"Near 10–500 minimum","OK"))))</f>
        <v>OK</v>
      </c>
      <c r="U42" s="25" t="str">
        <f aca="false">IF(O42&gt;=28,"A — anchor",IF(O42&gt;=10,"B — heavy",IF(O42&gt;=4,"C — moderate","D — tail")))</f>
        <v>C — moderate</v>
      </c>
      <c r="V42" s="13" t="s">
        <v>1525</v>
      </c>
      <c r="W42" s="13" t="s">
        <v>1516</v>
      </c>
      <c r="X42" s="13" t="s">
        <v>38</v>
      </c>
      <c r="Y42" s="13" t="s">
        <v>1271</v>
      </c>
      <c r="Z42" s="13" t="s">
        <v>1509</v>
      </c>
    </row>
    <row r="43" customFormat="false" ht="15" hidden="false" customHeight="true" outlineLevel="0" collapsed="false">
      <c r="A43" s="10" t="s">
        <v>1644</v>
      </c>
      <c r="B43" s="10" t="s">
        <v>1645</v>
      </c>
      <c r="C43" s="10" t="s">
        <v>1541</v>
      </c>
      <c r="D43" s="10" t="s">
        <v>1501</v>
      </c>
      <c r="E43" s="22" t="n">
        <v>22</v>
      </c>
      <c r="F43" s="22" t="n">
        <v>9</v>
      </c>
      <c r="G43" s="23" t="n">
        <f aca="false">IFERROR(F43/E43,0)</f>
        <v>0.409090909090909</v>
      </c>
      <c r="H43" s="10" t="str">
        <f aca="false">IF(E43&lt;=8,"$25",IF(E43&lt;=20,"$30",IF(E43&lt;=199,"$35","$50")))</f>
        <v>$35</v>
      </c>
      <c r="I43" s="10" t="str">
        <f aca="false">IF(E43&lt;=19,"Cal-COBRA","Federal COBRA")</f>
        <v>Federal COBRA</v>
      </c>
      <c r="J43" s="10" t="s">
        <v>1521</v>
      </c>
      <c r="K43" s="10" t="s">
        <v>1563</v>
      </c>
      <c r="L43" s="10" t="s">
        <v>1603</v>
      </c>
      <c r="M43" s="10" t="s">
        <v>1514</v>
      </c>
      <c r="N43" s="10" t="s">
        <v>1567</v>
      </c>
      <c r="O43" s="10" t="n">
        <v>4</v>
      </c>
      <c r="P43" s="10" t="n">
        <v>3</v>
      </c>
      <c r="Q43" s="10" t="n">
        <v>1</v>
      </c>
      <c r="R43" s="19" t="n">
        <f aca="false">IFERROR(O43/F43*100,0)</f>
        <v>44.4444444444444</v>
      </c>
      <c r="S43" s="24" t="n">
        <f aca="false">F43*'Distribution Targets'!$C$34</f>
        <v>4374</v>
      </c>
      <c r="T43" s="25" t="str">
        <f aca="false">IF(M43="ER",IF(G43&lt;0.7,"BELOW 70% (P-18)",IF(G43&lt;0.75,"Near 70% threshold","OK")),IF(E43&lt;=9,IF(F43&lt;2,"BELOW 2–9 minimum (P-24)",IF(F43=2,"At 2–9 minimum","OK")),IF(F43&lt;5,"BELOW 10–500 minimum (P-23)",IF(F43&lt;7,"Near 10–500 minimum","OK"))))</f>
        <v>OK</v>
      </c>
      <c r="U43" s="25" t="str">
        <f aca="false">IF(O43&gt;=28,"A — anchor",IF(O43&gt;=10,"B — heavy",IF(O43&gt;=4,"C — moderate","D — tail")))</f>
        <v>C — moderate</v>
      </c>
      <c r="V43" s="11" t="s">
        <v>1507</v>
      </c>
      <c r="W43" s="11" t="s">
        <v>38</v>
      </c>
      <c r="X43" s="11" t="s">
        <v>38</v>
      </c>
      <c r="Y43" s="11" t="s">
        <v>1271</v>
      </c>
      <c r="Z43" s="11" t="s">
        <v>1554</v>
      </c>
    </row>
    <row r="44" customFormat="false" ht="15" hidden="false" customHeight="true" outlineLevel="0" collapsed="false">
      <c r="A44" s="12" t="s">
        <v>1646</v>
      </c>
      <c r="B44" s="12" t="s">
        <v>1647</v>
      </c>
      <c r="C44" s="12" t="s">
        <v>1519</v>
      </c>
      <c r="D44" s="12" t="s">
        <v>1520</v>
      </c>
      <c r="E44" s="26" t="n">
        <v>21</v>
      </c>
      <c r="F44" s="26" t="n">
        <v>20</v>
      </c>
      <c r="G44" s="27" t="n">
        <f aca="false">IFERROR(F44/E44,0)</f>
        <v>0.952380952380952</v>
      </c>
      <c r="H44" s="12" t="str">
        <f aca="false">IF(E44&lt;=8,"$25",IF(E44&lt;=20,"$30",IF(E44&lt;=199,"$35","$50")))</f>
        <v>$35</v>
      </c>
      <c r="I44" s="12" t="str">
        <f aca="false">IF(E44&lt;=19,"Cal-COBRA","Federal COBRA")</f>
        <v>Federal COBRA</v>
      </c>
      <c r="J44" s="12" t="s">
        <v>1530</v>
      </c>
      <c r="K44" s="12" t="s">
        <v>1570</v>
      </c>
      <c r="L44" s="12" t="s">
        <v>1584</v>
      </c>
      <c r="M44" s="12" t="s">
        <v>1505</v>
      </c>
      <c r="N44" s="12" t="s">
        <v>1524</v>
      </c>
      <c r="O44" s="12" t="n">
        <v>4</v>
      </c>
      <c r="P44" s="12" t="n">
        <v>3</v>
      </c>
      <c r="Q44" s="12" t="n">
        <v>1</v>
      </c>
      <c r="R44" s="20" t="n">
        <f aca="false">IFERROR(O44/F44*100,0)</f>
        <v>20</v>
      </c>
      <c r="S44" s="24" t="n">
        <f aca="false">F44*'Distribution Targets'!$C$34</f>
        <v>9720</v>
      </c>
      <c r="T44" s="25" t="str">
        <f aca="false">IF(M44="ER",IF(G44&lt;0.7,"BELOW 70% (P-18)",IF(G44&lt;0.75,"Near 70% threshold","OK")),IF(E44&lt;=9,IF(F44&lt;2,"BELOW 2–9 minimum (P-24)",IF(F44=2,"At 2–9 minimum","OK")),IF(F44&lt;5,"BELOW 10–500 minimum (P-23)",IF(F44&lt;7,"Near 10–500 minimum","OK"))))</f>
        <v>OK</v>
      </c>
      <c r="U44" s="25" t="str">
        <f aca="false">IF(O44&gt;=28,"A — anchor",IF(O44&gt;=10,"B — heavy",IF(O44&gt;=4,"C — moderate","D — tail")))</f>
        <v>C — moderate</v>
      </c>
      <c r="V44" s="13" t="s">
        <v>1525</v>
      </c>
      <c r="W44" s="13" t="s">
        <v>1508</v>
      </c>
      <c r="X44" s="13" t="s">
        <v>38</v>
      </c>
      <c r="Y44" s="13" t="s">
        <v>38</v>
      </c>
      <c r="Z44" s="13" t="s">
        <v>1509</v>
      </c>
    </row>
    <row r="45" customFormat="false" ht="15" hidden="false" customHeight="true" outlineLevel="0" collapsed="false">
      <c r="A45" s="10" t="s">
        <v>1648</v>
      </c>
      <c r="B45" s="10" t="s">
        <v>1649</v>
      </c>
      <c r="C45" s="10" t="s">
        <v>1535</v>
      </c>
      <c r="D45" s="10" t="s">
        <v>1520</v>
      </c>
      <c r="E45" s="22" t="n">
        <v>18</v>
      </c>
      <c r="F45" s="22" t="n">
        <v>8</v>
      </c>
      <c r="G45" s="23" t="n">
        <f aca="false">IFERROR(F45/E45,0)</f>
        <v>0.444444444444444</v>
      </c>
      <c r="H45" s="10" t="str">
        <f aca="false">IF(E45&lt;=8,"$25",IF(E45&lt;=20,"$30",IF(E45&lt;=199,"$35","$50")))</f>
        <v>$30</v>
      </c>
      <c r="I45" s="10" t="str">
        <f aca="false">IF(E45&lt;=19,"Cal-COBRA","Federal COBRA")</f>
        <v>Cal-COBRA</v>
      </c>
      <c r="J45" s="10" t="s">
        <v>1536</v>
      </c>
      <c r="K45" s="10" t="s">
        <v>1575</v>
      </c>
      <c r="L45" s="10" t="s">
        <v>1650</v>
      </c>
      <c r="M45" s="10" t="s">
        <v>1514</v>
      </c>
      <c r="N45" s="10" t="s">
        <v>1506</v>
      </c>
      <c r="O45" s="10" t="n">
        <v>4</v>
      </c>
      <c r="P45" s="10" t="n">
        <v>2</v>
      </c>
      <c r="Q45" s="10" t="n">
        <v>2</v>
      </c>
      <c r="R45" s="19" t="n">
        <f aca="false">IFERROR(O45/F45*100,0)</f>
        <v>50</v>
      </c>
      <c r="S45" s="24" t="n">
        <f aca="false">F45*'Distribution Targets'!$C$34</f>
        <v>3888</v>
      </c>
      <c r="T45" s="25" t="str">
        <f aca="false">IF(M45="ER",IF(G45&lt;0.7,"BELOW 70% (P-18)",IF(G45&lt;0.75,"Near 70% threshold","OK")),IF(E45&lt;=9,IF(F45&lt;2,"BELOW 2–9 minimum (P-24)",IF(F45=2,"At 2–9 minimum","OK")),IF(F45&lt;5,"BELOW 10–500 minimum (P-23)",IF(F45&lt;7,"Near 10–500 minimum","OK"))))</f>
        <v>OK</v>
      </c>
      <c r="U45" s="25" t="str">
        <f aca="false">IF(O45&gt;=28,"A — anchor",IF(O45&gt;=10,"B — heavy",IF(O45&gt;=4,"C — moderate","D — tail")))</f>
        <v>C — moderate</v>
      </c>
      <c r="V45" s="11" t="s">
        <v>1525</v>
      </c>
      <c r="W45" s="11" t="s">
        <v>1516</v>
      </c>
      <c r="X45" s="11" t="s">
        <v>38</v>
      </c>
      <c r="Y45" s="11" t="s">
        <v>1271</v>
      </c>
      <c r="Z45" s="11" t="s">
        <v>1509</v>
      </c>
    </row>
    <row r="46" customFormat="false" ht="15" hidden="false" customHeight="true" outlineLevel="0" collapsed="false">
      <c r="A46" s="12" t="s">
        <v>1651</v>
      </c>
      <c r="B46" s="12" t="s">
        <v>1652</v>
      </c>
      <c r="C46" s="12" t="s">
        <v>1579</v>
      </c>
      <c r="D46" s="12" t="s">
        <v>1520</v>
      </c>
      <c r="E46" s="26" t="n">
        <v>16</v>
      </c>
      <c r="F46" s="26" t="n">
        <v>14</v>
      </c>
      <c r="G46" s="27" t="n">
        <f aca="false">IFERROR(F46/E46,0)</f>
        <v>0.875</v>
      </c>
      <c r="H46" s="12" t="str">
        <f aca="false">IF(E46&lt;=8,"$25",IF(E46&lt;=20,"$30",IF(E46&lt;=199,"$35","$50")))</f>
        <v>$30</v>
      </c>
      <c r="I46" s="12" t="str">
        <f aca="false">IF(E46&lt;=19,"Cal-COBRA","Federal COBRA")</f>
        <v>Cal-COBRA</v>
      </c>
      <c r="J46" s="12" t="s">
        <v>1542</v>
      </c>
      <c r="K46" s="12" t="s">
        <v>1583</v>
      </c>
      <c r="L46" s="12" t="s">
        <v>1653</v>
      </c>
      <c r="M46" s="12" t="s">
        <v>1505</v>
      </c>
      <c r="N46" s="12" t="s">
        <v>1544</v>
      </c>
      <c r="O46" s="12" t="n">
        <v>4</v>
      </c>
      <c r="P46" s="12" t="n">
        <v>2</v>
      </c>
      <c r="Q46" s="12" t="n">
        <v>2</v>
      </c>
      <c r="R46" s="20" t="n">
        <f aca="false">IFERROR(O46/F46*100,0)</f>
        <v>28.5714285714286</v>
      </c>
      <c r="S46" s="24" t="n">
        <f aca="false">F46*'Distribution Targets'!$C$34</f>
        <v>6804</v>
      </c>
      <c r="T46" s="25" t="str">
        <f aca="false">IF(M46="ER",IF(G46&lt;0.7,"BELOW 70% (P-18)",IF(G46&lt;0.75,"Near 70% threshold","OK")),IF(E46&lt;=9,IF(F46&lt;2,"BELOW 2–9 minimum (P-24)",IF(F46=2,"At 2–9 minimum","OK")),IF(F46&lt;5,"BELOW 10–500 minimum (P-23)",IF(F46&lt;7,"Near 10–500 minimum","OK"))))</f>
        <v>OK</v>
      </c>
      <c r="U46" s="25" t="str">
        <f aca="false">IF(O46&gt;=28,"A — anchor",IF(O46&gt;=10,"B — heavy",IF(O46&gt;=4,"C — moderate","D — tail")))</f>
        <v>C — moderate</v>
      </c>
      <c r="V46" s="13" t="s">
        <v>1525</v>
      </c>
      <c r="W46" s="13" t="s">
        <v>38</v>
      </c>
      <c r="X46" s="13" t="s">
        <v>38</v>
      </c>
      <c r="Y46" s="13" t="s">
        <v>38</v>
      </c>
      <c r="Z46" s="13" t="s">
        <v>1509</v>
      </c>
    </row>
    <row r="47" customFormat="false" ht="15" hidden="false" customHeight="true" outlineLevel="0" collapsed="false">
      <c r="A47" s="10" t="s">
        <v>1654</v>
      </c>
      <c r="B47" s="10" t="s">
        <v>1655</v>
      </c>
      <c r="C47" s="10" t="s">
        <v>1547</v>
      </c>
      <c r="D47" s="10" t="s">
        <v>1520</v>
      </c>
      <c r="E47" s="22" t="n">
        <v>14</v>
      </c>
      <c r="F47" s="22" t="n">
        <v>6</v>
      </c>
      <c r="G47" s="23" t="n">
        <f aca="false">IFERROR(F47/E47,0)</f>
        <v>0.428571428571429</v>
      </c>
      <c r="H47" s="10" t="str">
        <f aca="false">IF(E47&lt;=8,"$25",IF(E47&lt;=20,"$30",IF(E47&lt;=199,"$35","$50")))</f>
        <v>$30</v>
      </c>
      <c r="I47" s="10" t="str">
        <f aca="false">IF(E47&lt;=19,"Cal-COBRA","Federal COBRA")</f>
        <v>Cal-COBRA</v>
      </c>
      <c r="J47" s="10" t="s">
        <v>1502</v>
      </c>
      <c r="K47" s="10" t="s">
        <v>1587</v>
      </c>
      <c r="L47" s="10" t="s">
        <v>1656</v>
      </c>
      <c r="M47" s="10" t="s">
        <v>1514</v>
      </c>
      <c r="N47" s="10" t="s">
        <v>1524</v>
      </c>
      <c r="O47" s="10" t="n">
        <v>4</v>
      </c>
      <c r="P47" s="10" t="n">
        <v>2</v>
      </c>
      <c r="Q47" s="10" t="n">
        <v>2</v>
      </c>
      <c r="R47" s="19" t="n">
        <f aca="false">IFERROR(O47/F47*100,0)</f>
        <v>66.6666666666667</v>
      </c>
      <c r="S47" s="24" t="n">
        <f aca="false">F47*'Distribution Targets'!$C$34</f>
        <v>2916</v>
      </c>
      <c r="T47" s="25" t="str">
        <f aca="false">IF(M47="ER",IF(G47&lt;0.7,"BELOW 70% (P-18)",IF(G47&lt;0.75,"Near 70% threshold","OK")),IF(E47&lt;=9,IF(F47&lt;2,"BELOW 2–9 minimum (P-24)",IF(F47=2,"At 2–9 minimum","OK")),IF(F47&lt;5,"BELOW 10–500 minimum (P-23)",IF(F47&lt;7,"Near 10–500 minimum","OK"))))</f>
        <v>Near 10–500 minimum</v>
      </c>
      <c r="U47" s="25" t="str">
        <f aca="false">IF(O47&gt;=28,"A — anchor",IF(O47&gt;=10,"B — heavy",IF(O47&gt;=4,"C — moderate","D — tail")))</f>
        <v>C — moderate</v>
      </c>
      <c r="V47" s="11" t="s">
        <v>1532</v>
      </c>
      <c r="W47" s="11" t="s">
        <v>1516</v>
      </c>
      <c r="X47" s="11" t="s">
        <v>38</v>
      </c>
      <c r="Y47" s="11" t="s">
        <v>38</v>
      </c>
      <c r="Z47" s="11" t="s">
        <v>1554</v>
      </c>
    </row>
    <row r="48" customFormat="false" ht="15" hidden="false" customHeight="true" outlineLevel="0" collapsed="false">
      <c r="A48" s="12" t="s">
        <v>1657</v>
      </c>
      <c r="B48" s="12" t="s">
        <v>1658</v>
      </c>
      <c r="C48" s="12" t="s">
        <v>1528</v>
      </c>
      <c r="D48" s="12" t="s">
        <v>1529</v>
      </c>
      <c r="E48" s="26" t="n">
        <v>12</v>
      </c>
      <c r="F48" s="26" t="n">
        <v>8</v>
      </c>
      <c r="G48" s="27" t="n">
        <f aca="false">IFERROR(F48/E48,0)</f>
        <v>0.666666666666667</v>
      </c>
      <c r="H48" s="12" t="str">
        <f aca="false">IF(E48&lt;=8,"$25",IF(E48&lt;=20,"$30",IF(E48&lt;=199,"$35","$50")))</f>
        <v>$30</v>
      </c>
      <c r="I48" s="12" t="str">
        <f aca="false">IF(E48&lt;=19,"Cal-COBRA","Federal COBRA")</f>
        <v>Cal-COBRA</v>
      </c>
      <c r="J48" s="12" t="s">
        <v>1513</v>
      </c>
      <c r="K48" s="12" t="s">
        <v>1594</v>
      </c>
      <c r="L48" s="12" t="s">
        <v>1659</v>
      </c>
      <c r="M48" s="12" t="s">
        <v>1505</v>
      </c>
      <c r="N48" s="12" t="s">
        <v>1548</v>
      </c>
      <c r="O48" s="12" t="n">
        <v>4</v>
      </c>
      <c r="P48" s="12" t="n">
        <v>2</v>
      </c>
      <c r="Q48" s="12" t="n">
        <v>2</v>
      </c>
      <c r="R48" s="20" t="n">
        <f aca="false">IFERROR(O48/F48*100,0)</f>
        <v>50</v>
      </c>
      <c r="S48" s="24" t="n">
        <f aca="false">F48*'Distribution Targets'!$C$34</f>
        <v>3888</v>
      </c>
      <c r="T48" s="25" t="str">
        <f aca="false">IF(M48="ER",IF(G48&lt;0.7,"BELOW 70% (P-18)",IF(G48&lt;0.75,"Near 70% threshold","OK")),IF(E48&lt;=9,IF(F48&lt;2,"BELOW 2–9 minimum (P-24)",IF(F48=2,"At 2–9 minimum","OK")),IF(F48&lt;5,"BELOW 10–500 minimum (P-23)",IF(F48&lt;7,"Near 10–500 minimum","OK"))))</f>
        <v>BELOW 70% (P-18)</v>
      </c>
      <c r="U48" s="25" t="str">
        <f aca="false">IF(O48&gt;=28,"A — anchor",IF(O48&gt;=10,"B — heavy",IF(O48&gt;=4,"C — moderate","D — tail")))</f>
        <v>C — moderate</v>
      </c>
      <c r="V48" s="13" t="s">
        <v>1507</v>
      </c>
      <c r="W48" s="13" t="s">
        <v>38</v>
      </c>
      <c r="X48" s="13" t="s">
        <v>1572</v>
      </c>
      <c r="Y48" s="13" t="s">
        <v>38</v>
      </c>
      <c r="Z48" s="13" t="s">
        <v>1509</v>
      </c>
    </row>
    <row r="49" customFormat="false" ht="15" hidden="false" customHeight="true" outlineLevel="0" collapsed="false">
      <c r="A49" s="10" t="s">
        <v>1660</v>
      </c>
      <c r="B49" s="10" t="s">
        <v>1661</v>
      </c>
      <c r="C49" s="10" t="s">
        <v>1557</v>
      </c>
      <c r="D49" s="10" t="s">
        <v>1529</v>
      </c>
      <c r="E49" s="22" t="n">
        <v>10</v>
      </c>
      <c r="F49" s="22" t="n">
        <v>6</v>
      </c>
      <c r="G49" s="23" t="n">
        <f aca="false">IFERROR(F49/E49,0)</f>
        <v>0.6</v>
      </c>
      <c r="H49" s="10" t="str">
        <f aca="false">IF(E49&lt;=8,"$25",IF(E49&lt;=20,"$30",IF(E49&lt;=199,"$35","$50")))</f>
        <v>$30</v>
      </c>
      <c r="I49" s="10" t="str">
        <f aca="false">IF(E49&lt;=19,"Cal-COBRA","Federal COBRA")</f>
        <v>Cal-COBRA</v>
      </c>
      <c r="J49" s="10" t="s">
        <v>1521</v>
      </c>
      <c r="K49" s="10" t="s">
        <v>1598</v>
      </c>
      <c r="L49" s="10" t="s">
        <v>1662</v>
      </c>
      <c r="M49" s="10" t="s">
        <v>1514</v>
      </c>
      <c r="N49" s="10" t="s">
        <v>1506</v>
      </c>
      <c r="O49" s="10" t="n">
        <v>4</v>
      </c>
      <c r="P49" s="10" t="n">
        <v>2</v>
      </c>
      <c r="Q49" s="10" t="n">
        <v>2</v>
      </c>
      <c r="R49" s="19" t="n">
        <f aca="false">IFERROR(O49/F49*100,0)</f>
        <v>66.6666666666667</v>
      </c>
      <c r="S49" s="24" t="n">
        <f aca="false">F49*'Distribution Targets'!$C$34</f>
        <v>2916</v>
      </c>
      <c r="T49" s="25" t="str">
        <f aca="false">IF(M49="ER",IF(G49&lt;0.7,"BELOW 70% (P-18)",IF(G49&lt;0.75,"Near 70% threshold","OK")),IF(E49&lt;=9,IF(F49&lt;2,"BELOW 2–9 minimum (P-24)",IF(F49=2,"At 2–9 minimum","OK")),IF(F49&lt;5,"BELOW 10–500 minimum (P-23)",IF(F49&lt;7,"Near 10–500 minimum","OK"))))</f>
        <v>Near 10–500 minimum</v>
      </c>
      <c r="U49" s="25" t="str">
        <f aca="false">IF(O49&gt;=28,"A — anchor",IF(O49&gt;=10,"B — heavy",IF(O49&gt;=4,"C — moderate","D — tail")))</f>
        <v>C — moderate</v>
      </c>
      <c r="V49" s="11" t="s">
        <v>1532</v>
      </c>
      <c r="W49" s="11" t="s">
        <v>1516</v>
      </c>
      <c r="X49" s="11" t="s">
        <v>38</v>
      </c>
      <c r="Y49" s="11" t="s">
        <v>1271</v>
      </c>
      <c r="Z49" s="11" t="s">
        <v>1554</v>
      </c>
    </row>
    <row r="50" customFormat="false" ht="15" hidden="false" customHeight="true" outlineLevel="0" collapsed="false">
      <c r="A50" s="12" t="s">
        <v>1663</v>
      </c>
      <c r="B50" s="12" t="s">
        <v>1664</v>
      </c>
      <c r="C50" s="12" t="s">
        <v>1500</v>
      </c>
      <c r="D50" s="12" t="s">
        <v>1501</v>
      </c>
      <c r="E50" s="26" t="n">
        <v>150</v>
      </c>
      <c r="F50" s="26" t="n">
        <v>141</v>
      </c>
      <c r="G50" s="27" t="n">
        <f aca="false">IFERROR(F50/E50,0)</f>
        <v>0.94</v>
      </c>
      <c r="H50" s="12" t="str">
        <f aca="false">IF(E50&lt;=8,"$25",IF(E50&lt;=20,"$30",IF(E50&lt;=199,"$35","$50")))</f>
        <v>$35</v>
      </c>
      <c r="I50" s="12" t="str">
        <f aca="false">IF(E50&lt;=19,"Cal-COBRA","Federal COBRA")</f>
        <v>Federal COBRA</v>
      </c>
      <c r="J50" s="12" t="s">
        <v>1530</v>
      </c>
      <c r="K50" s="12" t="s">
        <v>1503</v>
      </c>
      <c r="L50" s="12" t="s">
        <v>1531</v>
      </c>
      <c r="M50" s="12" t="s">
        <v>1505</v>
      </c>
      <c r="N50" s="12" t="s">
        <v>1567</v>
      </c>
      <c r="O50" s="12" t="n">
        <v>3</v>
      </c>
      <c r="P50" s="12" t="n">
        <v>2</v>
      </c>
      <c r="Q50" s="12" t="n">
        <v>1</v>
      </c>
      <c r="R50" s="20" t="n">
        <f aca="false">IFERROR(O50/F50*100,0)</f>
        <v>2.12765957446809</v>
      </c>
      <c r="S50" s="24" t="n">
        <f aca="false">F50*'Distribution Targets'!$C$34</f>
        <v>68526</v>
      </c>
      <c r="T50" s="25" t="str">
        <f aca="false">IF(M50="ER",IF(G50&lt;0.7,"BELOW 70% (P-18)",IF(G50&lt;0.75,"Near 70% threshold","OK")),IF(E50&lt;=9,IF(F50&lt;2,"BELOW 2–9 minimum (P-24)",IF(F50=2,"At 2–9 minimum","OK")),IF(F50&lt;5,"BELOW 10–500 minimum (P-23)",IF(F50&lt;7,"Near 10–500 minimum","OK"))))</f>
        <v>OK</v>
      </c>
      <c r="U50" s="25" t="str">
        <f aca="false">IF(O50&gt;=28,"A — anchor",IF(O50&gt;=10,"B — heavy",IF(O50&gt;=4,"C — moderate","D — tail")))</f>
        <v>D — tail</v>
      </c>
      <c r="V50" s="13" t="s">
        <v>1525</v>
      </c>
      <c r="W50" s="13" t="s">
        <v>38</v>
      </c>
      <c r="X50" s="13" t="s">
        <v>38</v>
      </c>
      <c r="Y50" s="13" t="s">
        <v>1271</v>
      </c>
      <c r="Z50" s="13" t="s">
        <v>1509</v>
      </c>
    </row>
    <row r="51" customFormat="false" ht="15" hidden="false" customHeight="true" outlineLevel="0" collapsed="false">
      <c r="A51" s="10" t="s">
        <v>1665</v>
      </c>
      <c r="B51" s="10" t="s">
        <v>1666</v>
      </c>
      <c r="C51" s="10" t="s">
        <v>1512</v>
      </c>
      <c r="D51" s="10" t="s">
        <v>1501</v>
      </c>
      <c r="E51" s="22" t="n">
        <v>120</v>
      </c>
      <c r="F51" s="22" t="n">
        <v>74</v>
      </c>
      <c r="G51" s="23" t="n">
        <f aca="false">IFERROR(F51/E51,0)</f>
        <v>0.616666666666667</v>
      </c>
      <c r="H51" s="10" t="str">
        <f aca="false">IF(E51&lt;=8,"$25",IF(E51&lt;=20,"$30",IF(E51&lt;=199,"$35","$50")))</f>
        <v>$35</v>
      </c>
      <c r="I51" s="10" t="str">
        <f aca="false">IF(E51&lt;=19,"Cal-COBRA","Federal COBRA")</f>
        <v>Federal COBRA</v>
      </c>
      <c r="J51" s="10" t="s">
        <v>1536</v>
      </c>
      <c r="K51" s="10" t="s">
        <v>1537</v>
      </c>
      <c r="L51" s="10" t="s">
        <v>1576</v>
      </c>
      <c r="M51" s="10" t="s">
        <v>1514</v>
      </c>
      <c r="N51" s="10" t="s">
        <v>1567</v>
      </c>
      <c r="O51" s="10" t="n">
        <v>3</v>
      </c>
      <c r="P51" s="10" t="n">
        <v>2</v>
      </c>
      <c r="Q51" s="10" t="n">
        <v>1</v>
      </c>
      <c r="R51" s="19" t="n">
        <f aca="false">IFERROR(O51/F51*100,0)</f>
        <v>4.05405405405405</v>
      </c>
      <c r="S51" s="24" t="n">
        <f aca="false">F51*'Distribution Targets'!$C$34</f>
        <v>35964</v>
      </c>
      <c r="T51" s="25" t="str">
        <f aca="false">IF(M51="ER",IF(G51&lt;0.7,"BELOW 70% (P-18)",IF(G51&lt;0.75,"Near 70% threshold","OK")),IF(E51&lt;=9,IF(F51&lt;2,"BELOW 2–9 minimum (P-24)",IF(F51=2,"At 2–9 minimum","OK")),IF(F51&lt;5,"BELOW 10–500 minimum (P-23)",IF(F51&lt;7,"Near 10–500 minimum","OK"))))</f>
        <v>OK</v>
      </c>
      <c r="U51" s="25" t="str">
        <f aca="false">IF(O51&gt;=28,"A — anchor",IF(O51&gt;=10,"B — heavy",IF(O51&gt;=4,"C — moderate","D — tail")))</f>
        <v>D — tail</v>
      </c>
      <c r="V51" s="11" t="s">
        <v>1515</v>
      </c>
      <c r="W51" s="11" t="s">
        <v>38</v>
      </c>
      <c r="X51" s="11" t="s">
        <v>38</v>
      </c>
      <c r="Y51" s="11" t="s">
        <v>1271</v>
      </c>
      <c r="Z51" s="11" t="s">
        <v>1509</v>
      </c>
    </row>
    <row r="52" customFormat="false" ht="15" hidden="false" customHeight="true" outlineLevel="0" collapsed="false">
      <c r="A52" s="12" t="s">
        <v>1667</v>
      </c>
      <c r="B52" s="12" t="s">
        <v>1668</v>
      </c>
      <c r="C52" s="12" t="s">
        <v>1541</v>
      </c>
      <c r="D52" s="12" t="s">
        <v>1501</v>
      </c>
      <c r="E52" s="26" t="n">
        <v>96</v>
      </c>
      <c r="F52" s="26" t="n">
        <v>25</v>
      </c>
      <c r="G52" s="27" t="n">
        <f aca="false">IFERROR(F52/E52,0)</f>
        <v>0.260416666666667</v>
      </c>
      <c r="H52" s="12" t="str">
        <f aca="false">IF(E52&lt;=8,"$25",IF(E52&lt;=20,"$30",IF(E52&lt;=199,"$35","$50")))</f>
        <v>$35</v>
      </c>
      <c r="I52" s="12" t="str">
        <f aca="false">IF(E52&lt;=19,"Cal-COBRA","Federal COBRA")</f>
        <v>Federal COBRA</v>
      </c>
      <c r="J52" s="12" t="s">
        <v>1542</v>
      </c>
      <c r="K52" s="12" t="s">
        <v>1522</v>
      </c>
      <c r="L52" s="12" t="s">
        <v>1580</v>
      </c>
      <c r="M52" s="12" t="s">
        <v>1514</v>
      </c>
      <c r="N52" s="12" t="s">
        <v>1567</v>
      </c>
      <c r="O52" s="12" t="n">
        <v>3</v>
      </c>
      <c r="P52" s="12" t="n">
        <v>2</v>
      </c>
      <c r="Q52" s="12" t="n">
        <v>1</v>
      </c>
      <c r="R52" s="20" t="n">
        <f aca="false">IFERROR(O52/F52*100,0)</f>
        <v>12</v>
      </c>
      <c r="S52" s="24" t="n">
        <f aca="false">F52*'Distribution Targets'!$C$34</f>
        <v>12150</v>
      </c>
      <c r="T52" s="25" t="str">
        <f aca="false">IF(M52="ER",IF(G52&lt;0.7,"BELOW 70% (P-18)",IF(G52&lt;0.75,"Near 70% threshold","OK")),IF(E52&lt;=9,IF(F52&lt;2,"BELOW 2–9 minimum (P-24)",IF(F52=2,"At 2–9 minimum","OK")),IF(F52&lt;5,"BELOW 10–500 minimum (P-23)",IF(F52&lt;7,"Near 10–500 minimum","OK"))))</f>
        <v>OK</v>
      </c>
      <c r="U52" s="25" t="str">
        <f aca="false">IF(O52&gt;=28,"A — anchor",IF(O52&gt;=10,"B — heavy",IF(O52&gt;=4,"C — moderate","D — tail")))</f>
        <v>D — tail</v>
      </c>
      <c r="V52" s="13" t="s">
        <v>1507</v>
      </c>
      <c r="W52" s="13" t="s">
        <v>38</v>
      </c>
      <c r="X52" s="13" t="s">
        <v>38</v>
      </c>
      <c r="Y52" s="13" t="s">
        <v>1271</v>
      </c>
      <c r="Z52" s="13" t="s">
        <v>1554</v>
      </c>
    </row>
    <row r="53" customFormat="false" ht="15" hidden="false" customHeight="true" outlineLevel="0" collapsed="false">
      <c r="A53" s="10" t="s">
        <v>1669</v>
      </c>
      <c r="B53" s="10" t="s">
        <v>1670</v>
      </c>
      <c r="C53" s="10" t="s">
        <v>1519</v>
      </c>
      <c r="D53" s="10" t="s">
        <v>1520</v>
      </c>
      <c r="E53" s="22" t="n">
        <v>74</v>
      </c>
      <c r="F53" s="22" t="n">
        <v>56</v>
      </c>
      <c r="G53" s="23" t="n">
        <f aca="false">IFERROR(F53/E53,0)</f>
        <v>0.756756756756757</v>
      </c>
      <c r="H53" s="10" t="str">
        <f aca="false">IF(E53&lt;=8,"$25",IF(E53&lt;=20,"$30",IF(E53&lt;=199,"$35","$50")))</f>
        <v>$35</v>
      </c>
      <c r="I53" s="10" t="str">
        <f aca="false">IF(E53&lt;=19,"Cal-COBRA","Federal COBRA")</f>
        <v>Federal COBRA</v>
      </c>
      <c r="J53" s="10" t="s">
        <v>1502</v>
      </c>
      <c r="K53" s="10" t="s">
        <v>1553</v>
      </c>
      <c r="L53" s="10" t="s">
        <v>1523</v>
      </c>
      <c r="M53" s="10" t="s">
        <v>1505</v>
      </c>
      <c r="N53" s="10" t="s">
        <v>1548</v>
      </c>
      <c r="O53" s="10" t="n">
        <v>3</v>
      </c>
      <c r="P53" s="10" t="n">
        <v>2</v>
      </c>
      <c r="Q53" s="10" t="n">
        <v>1</v>
      </c>
      <c r="R53" s="19" t="n">
        <f aca="false">IFERROR(O53/F53*100,0)</f>
        <v>5.35714285714286</v>
      </c>
      <c r="S53" s="24" t="n">
        <f aca="false">F53*'Distribution Targets'!$C$34</f>
        <v>27216</v>
      </c>
      <c r="T53" s="25" t="str">
        <f aca="false">IF(M53="ER",IF(G53&lt;0.7,"BELOW 70% (P-18)",IF(G53&lt;0.75,"Near 70% threshold","OK")),IF(E53&lt;=9,IF(F53&lt;2,"BELOW 2–9 minimum (P-24)",IF(F53=2,"At 2–9 minimum","OK")),IF(F53&lt;5,"BELOW 10–500 minimum (P-23)",IF(F53&lt;7,"Near 10–500 minimum","OK"))))</f>
        <v>OK</v>
      </c>
      <c r="U53" s="25" t="str">
        <f aca="false">IF(O53&gt;=28,"A — anchor",IF(O53&gt;=10,"B — heavy",IF(O53&gt;=4,"C — moderate","D — tail")))</f>
        <v>D — tail</v>
      </c>
      <c r="V53" s="11" t="s">
        <v>1515</v>
      </c>
      <c r="W53" s="11" t="s">
        <v>38</v>
      </c>
      <c r="X53" s="11" t="s">
        <v>1550</v>
      </c>
      <c r="Y53" s="11" t="s">
        <v>38</v>
      </c>
      <c r="Z53" s="11" t="s">
        <v>1509</v>
      </c>
    </row>
    <row r="54" customFormat="false" ht="15" hidden="false" customHeight="true" outlineLevel="0" collapsed="false">
      <c r="A54" s="12" t="s">
        <v>1671</v>
      </c>
      <c r="B54" s="12" t="s">
        <v>1672</v>
      </c>
      <c r="C54" s="12" t="s">
        <v>1535</v>
      </c>
      <c r="D54" s="12" t="s">
        <v>1520</v>
      </c>
      <c r="E54" s="26" t="n">
        <v>58</v>
      </c>
      <c r="F54" s="26" t="n">
        <v>15</v>
      </c>
      <c r="G54" s="27" t="n">
        <f aca="false">IFERROR(F54/E54,0)</f>
        <v>0.258620689655172</v>
      </c>
      <c r="H54" s="12" t="str">
        <f aca="false">IF(E54&lt;=8,"$25",IF(E54&lt;=20,"$30",IF(E54&lt;=199,"$35","$50")))</f>
        <v>$35</v>
      </c>
      <c r="I54" s="12" t="str">
        <f aca="false">IF(E54&lt;=19,"Cal-COBRA","Federal COBRA")</f>
        <v>Federal COBRA</v>
      </c>
      <c r="J54" s="12" t="s">
        <v>1513</v>
      </c>
      <c r="K54" s="12" t="s">
        <v>1560</v>
      </c>
      <c r="L54" s="12" t="s">
        <v>1588</v>
      </c>
      <c r="M54" s="12" t="s">
        <v>1514</v>
      </c>
      <c r="N54" s="12" t="s">
        <v>1567</v>
      </c>
      <c r="O54" s="12" t="n">
        <v>3</v>
      </c>
      <c r="P54" s="12" t="n">
        <v>2</v>
      </c>
      <c r="Q54" s="12" t="n">
        <v>1</v>
      </c>
      <c r="R54" s="20" t="n">
        <f aca="false">IFERROR(O54/F54*100,0)</f>
        <v>20</v>
      </c>
      <c r="S54" s="24" t="n">
        <f aca="false">F54*'Distribution Targets'!$C$34</f>
        <v>7290</v>
      </c>
      <c r="T54" s="25" t="str">
        <f aca="false">IF(M54="ER",IF(G54&lt;0.7,"BELOW 70% (P-18)",IF(G54&lt;0.75,"Near 70% threshold","OK")),IF(E54&lt;=9,IF(F54&lt;2,"BELOW 2–9 minimum (P-24)",IF(F54=2,"At 2–9 minimum","OK")),IF(F54&lt;5,"BELOW 10–500 minimum (P-23)",IF(F54&lt;7,"Near 10–500 minimum","OK"))))</f>
        <v>OK</v>
      </c>
      <c r="U54" s="25" t="str">
        <f aca="false">IF(O54&gt;=28,"A — anchor",IF(O54&gt;=10,"B — heavy",IF(O54&gt;=4,"C — moderate","D — tail")))</f>
        <v>D — tail</v>
      </c>
      <c r="V54" s="13" t="s">
        <v>1525</v>
      </c>
      <c r="W54" s="13" t="s">
        <v>38</v>
      </c>
      <c r="X54" s="13" t="s">
        <v>38</v>
      </c>
      <c r="Y54" s="13" t="s">
        <v>1271</v>
      </c>
      <c r="Z54" s="13" t="s">
        <v>1509</v>
      </c>
    </row>
    <row r="55" customFormat="false" ht="15" hidden="false" customHeight="true" outlineLevel="0" collapsed="false">
      <c r="A55" s="10" t="s">
        <v>1673</v>
      </c>
      <c r="B55" s="10" t="s">
        <v>1674</v>
      </c>
      <c r="C55" s="10" t="s">
        <v>1579</v>
      </c>
      <c r="D55" s="10" t="s">
        <v>1520</v>
      </c>
      <c r="E55" s="22" t="n">
        <v>44</v>
      </c>
      <c r="F55" s="22" t="n">
        <v>26</v>
      </c>
      <c r="G55" s="23" t="n">
        <f aca="false">IFERROR(F55/E55,0)</f>
        <v>0.590909090909091</v>
      </c>
      <c r="H55" s="10" t="str">
        <f aca="false">IF(E55&lt;=8,"$25",IF(E55&lt;=20,"$30",IF(E55&lt;=199,"$35","$50")))</f>
        <v>$35</v>
      </c>
      <c r="I55" s="10" t="str">
        <f aca="false">IF(E55&lt;=19,"Cal-COBRA","Federal COBRA")</f>
        <v>Federal COBRA</v>
      </c>
      <c r="J55" s="10" t="s">
        <v>1521</v>
      </c>
      <c r="K55" s="10" t="s">
        <v>1563</v>
      </c>
      <c r="L55" s="10" t="s">
        <v>1627</v>
      </c>
      <c r="M55" s="10" t="s">
        <v>1514</v>
      </c>
      <c r="N55" s="10" t="s">
        <v>1544</v>
      </c>
      <c r="O55" s="10" t="n">
        <v>3</v>
      </c>
      <c r="P55" s="10" t="n">
        <v>2</v>
      </c>
      <c r="Q55" s="10" t="n">
        <v>1</v>
      </c>
      <c r="R55" s="19" t="n">
        <f aca="false">IFERROR(O55/F55*100,0)</f>
        <v>11.5384615384615</v>
      </c>
      <c r="S55" s="24" t="n">
        <f aca="false">F55*'Distribution Targets'!$C$34</f>
        <v>12636</v>
      </c>
      <c r="T55" s="25" t="str">
        <f aca="false">IF(M55="ER",IF(G55&lt;0.7,"BELOW 70% (P-18)",IF(G55&lt;0.75,"Near 70% threshold","OK")),IF(E55&lt;=9,IF(F55&lt;2,"BELOW 2–9 minimum (P-24)",IF(F55=2,"At 2–9 minimum","OK")),IF(F55&lt;5,"BELOW 10–500 minimum (P-23)",IF(F55&lt;7,"Near 10–500 minimum","OK"))))</f>
        <v>OK</v>
      </c>
      <c r="U55" s="25" t="str">
        <f aca="false">IF(O55&gt;=28,"A — anchor",IF(O55&gt;=10,"B — heavy",IF(O55&gt;=4,"C — moderate","D — tail")))</f>
        <v>D — tail</v>
      </c>
      <c r="V55" s="11" t="s">
        <v>1532</v>
      </c>
      <c r="W55" s="11" t="s">
        <v>38</v>
      </c>
      <c r="X55" s="11" t="s">
        <v>38</v>
      </c>
      <c r="Y55" s="11" t="s">
        <v>38</v>
      </c>
      <c r="Z55" s="11" t="s">
        <v>1509</v>
      </c>
    </row>
    <row r="56" customFormat="false" ht="15" hidden="false" customHeight="true" outlineLevel="0" collapsed="false">
      <c r="A56" s="12" t="s">
        <v>1675</v>
      </c>
      <c r="B56" s="12" t="s">
        <v>1676</v>
      </c>
      <c r="C56" s="12" t="s">
        <v>1547</v>
      </c>
      <c r="D56" s="12" t="s">
        <v>1520</v>
      </c>
      <c r="E56" s="26" t="n">
        <v>35</v>
      </c>
      <c r="F56" s="26" t="n">
        <v>33</v>
      </c>
      <c r="G56" s="27" t="n">
        <f aca="false">IFERROR(F56/E56,0)</f>
        <v>0.942857142857143</v>
      </c>
      <c r="H56" s="12" t="str">
        <f aca="false">IF(E56&lt;=8,"$25",IF(E56&lt;=20,"$30",IF(E56&lt;=199,"$35","$50")))</f>
        <v>$35</v>
      </c>
      <c r="I56" s="12" t="str">
        <f aca="false">IF(E56&lt;=19,"Cal-COBRA","Federal COBRA")</f>
        <v>Federal COBRA</v>
      </c>
      <c r="J56" s="12" t="s">
        <v>1530</v>
      </c>
      <c r="K56" s="12" t="s">
        <v>1570</v>
      </c>
      <c r="L56" s="12" t="s">
        <v>1630</v>
      </c>
      <c r="M56" s="12" t="s">
        <v>1505</v>
      </c>
      <c r="N56" s="12" t="s">
        <v>1564</v>
      </c>
      <c r="O56" s="12" t="n">
        <v>3</v>
      </c>
      <c r="P56" s="12" t="n">
        <v>2</v>
      </c>
      <c r="Q56" s="12" t="n">
        <v>1</v>
      </c>
      <c r="R56" s="20" t="n">
        <f aca="false">IFERROR(O56/F56*100,0)</f>
        <v>9.09090909090909</v>
      </c>
      <c r="S56" s="24" t="n">
        <f aca="false">F56*'Distribution Targets'!$C$34</f>
        <v>16038</v>
      </c>
      <c r="T56" s="25" t="str">
        <f aca="false">IF(M56="ER",IF(G56&lt;0.7,"BELOW 70% (P-18)",IF(G56&lt;0.75,"Near 70% threshold","OK")),IF(E56&lt;=9,IF(F56&lt;2,"BELOW 2–9 minimum (P-24)",IF(F56=2,"At 2–9 minimum","OK")),IF(F56&lt;5,"BELOW 10–500 minimum (P-23)",IF(F56&lt;7,"Near 10–500 minimum","OK"))))</f>
        <v>OK</v>
      </c>
      <c r="U56" s="25" t="str">
        <f aca="false">IF(O56&gt;=28,"A — anchor",IF(O56&gt;=10,"B — heavy",IF(O56&gt;=4,"C — moderate","D — tail")))</f>
        <v>D — tail</v>
      </c>
      <c r="V56" s="13" t="s">
        <v>1507</v>
      </c>
      <c r="W56" s="13" t="s">
        <v>1508</v>
      </c>
      <c r="X56" s="13" t="s">
        <v>1550</v>
      </c>
      <c r="Y56" s="13" t="s">
        <v>1271</v>
      </c>
      <c r="Z56" s="13" t="s">
        <v>1509</v>
      </c>
    </row>
    <row r="57" customFormat="false" ht="15" hidden="false" customHeight="true" outlineLevel="0" collapsed="false">
      <c r="A57" s="10" t="s">
        <v>1677</v>
      </c>
      <c r="B57" s="10" t="s">
        <v>1678</v>
      </c>
      <c r="C57" s="10" t="s">
        <v>1528</v>
      </c>
      <c r="D57" s="10" t="s">
        <v>1529</v>
      </c>
      <c r="E57" s="22" t="n">
        <v>28</v>
      </c>
      <c r="F57" s="22" t="n">
        <v>17</v>
      </c>
      <c r="G57" s="23" t="n">
        <f aca="false">IFERROR(F57/E57,0)</f>
        <v>0.607142857142857</v>
      </c>
      <c r="H57" s="10" t="str">
        <f aca="false">IF(E57&lt;=8,"$25",IF(E57&lt;=20,"$30",IF(E57&lt;=199,"$35","$50")))</f>
        <v>$35</v>
      </c>
      <c r="I57" s="10" t="str">
        <f aca="false">IF(E57&lt;=19,"Cal-COBRA","Federal COBRA")</f>
        <v>Federal COBRA</v>
      </c>
      <c r="J57" s="10" t="s">
        <v>1536</v>
      </c>
      <c r="K57" s="10" t="s">
        <v>1575</v>
      </c>
      <c r="L57" s="10" t="s">
        <v>1633</v>
      </c>
      <c r="M57" s="10" t="s">
        <v>1514</v>
      </c>
      <c r="N57" s="10" t="s">
        <v>1506</v>
      </c>
      <c r="O57" s="10" t="n">
        <v>3</v>
      </c>
      <c r="P57" s="10" t="n">
        <v>2</v>
      </c>
      <c r="Q57" s="10" t="n">
        <v>1</v>
      </c>
      <c r="R57" s="19" t="n">
        <f aca="false">IFERROR(O57/F57*100,0)</f>
        <v>17.6470588235294</v>
      </c>
      <c r="S57" s="24" t="n">
        <f aca="false">F57*'Distribution Targets'!$C$34</f>
        <v>8262</v>
      </c>
      <c r="T57" s="25" t="str">
        <f aca="false">IF(M57="ER",IF(G57&lt;0.7,"BELOW 70% (P-18)",IF(G57&lt;0.75,"Near 70% threshold","OK")),IF(E57&lt;=9,IF(F57&lt;2,"BELOW 2–9 minimum (P-24)",IF(F57=2,"At 2–9 minimum","OK")),IF(F57&lt;5,"BELOW 10–500 minimum (P-23)",IF(F57&lt;7,"Near 10–500 minimum","OK"))))</f>
        <v>OK</v>
      </c>
      <c r="U57" s="25" t="str">
        <f aca="false">IF(O57&gt;=28,"A — anchor",IF(O57&gt;=10,"B — heavy",IF(O57&gt;=4,"C — moderate","D — tail")))</f>
        <v>D — tail</v>
      </c>
      <c r="V57" s="11" t="s">
        <v>1532</v>
      </c>
      <c r="W57" s="11" t="s">
        <v>1508</v>
      </c>
      <c r="X57" s="11" t="s">
        <v>38</v>
      </c>
      <c r="Y57" s="11" t="s">
        <v>1271</v>
      </c>
      <c r="Z57" s="11" t="s">
        <v>1509</v>
      </c>
    </row>
    <row r="58" customFormat="false" ht="15" hidden="false" customHeight="true" outlineLevel="0" collapsed="false">
      <c r="A58" s="12" t="s">
        <v>1679</v>
      </c>
      <c r="B58" s="12" t="s">
        <v>1680</v>
      </c>
      <c r="C58" s="12" t="s">
        <v>1557</v>
      </c>
      <c r="D58" s="12" t="s">
        <v>1529</v>
      </c>
      <c r="E58" s="26" t="n">
        <v>24</v>
      </c>
      <c r="F58" s="26" t="n">
        <v>8</v>
      </c>
      <c r="G58" s="27" t="n">
        <f aca="false">IFERROR(F58/E58,0)</f>
        <v>0.333333333333333</v>
      </c>
      <c r="H58" s="12" t="str">
        <f aca="false">IF(E58&lt;=8,"$25",IF(E58&lt;=20,"$30",IF(E58&lt;=199,"$35","$50")))</f>
        <v>$35</v>
      </c>
      <c r="I58" s="12" t="str">
        <f aca="false">IF(E58&lt;=19,"Cal-COBRA","Federal COBRA")</f>
        <v>Federal COBRA</v>
      </c>
      <c r="J58" s="12" t="s">
        <v>1542</v>
      </c>
      <c r="K58" s="12" t="s">
        <v>1583</v>
      </c>
      <c r="L58" s="12" t="s">
        <v>1636</v>
      </c>
      <c r="M58" s="12" t="s">
        <v>1514</v>
      </c>
      <c r="N58" s="12" t="s">
        <v>1524</v>
      </c>
      <c r="O58" s="12" t="n">
        <v>3</v>
      </c>
      <c r="P58" s="12" t="n">
        <v>2</v>
      </c>
      <c r="Q58" s="12" t="n">
        <v>1</v>
      </c>
      <c r="R58" s="20" t="n">
        <f aca="false">IFERROR(O58/F58*100,0)</f>
        <v>37.5</v>
      </c>
      <c r="S58" s="24" t="n">
        <f aca="false">F58*'Distribution Targets'!$C$34</f>
        <v>3888</v>
      </c>
      <c r="T58" s="25" t="str">
        <f aca="false">IF(M58="ER",IF(G58&lt;0.7,"BELOW 70% (P-18)",IF(G58&lt;0.75,"Near 70% threshold","OK")),IF(E58&lt;=9,IF(F58&lt;2,"BELOW 2–9 minimum (P-24)",IF(F58=2,"At 2–9 minimum","OK")),IF(F58&lt;5,"BELOW 10–500 minimum (P-23)",IF(F58&lt;7,"Near 10–500 minimum","OK"))))</f>
        <v>OK</v>
      </c>
      <c r="U58" s="25" t="str">
        <f aca="false">IF(O58&gt;=28,"A — anchor",IF(O58&gt;=10,"B — heavy",IF(O58&gt;=4,"C — moderate","D — tail")))</f>
        <v>D — tail</v>
      </c>
      <c r="V58" s="13" t="s">
        <v>1532</v>
      </c>
      <c r="W58" s="13" t="s">
        <v>1516</v>
      </c>
      <c r="X58" s="13" t="s">
        <v>38</v>
      </c>
      <c r="Y58" s="13" t="s">
        <v>38</v>
      </c>
      <c r="Z58" s="13" t="s">
        <v>1554</v>
      </c>
    </row>
    <row r="59" customFormat="false" ht="15" hidden="false" customHeight="true" outlineLevel="0" collapsed="false">
      <c r="A59" s="10" t="s">
        <v>1681</v>
      </c>
      <c r="B59" s="10" t="s">
        <v>1682</v>
      </c>
      <c r="C59" s="10" t="s">
        <v>1500</v>
      </c>
      <c r="D59" s="10" t="s">
        <v>1501</v>
      </c>
      <c r="E59" s="22" t="n">
        <v>20</v>
      </c>
      <c r="F59" s="22" t="n">
        <v>14</v>
      </c>
      <c r="G59" s="23" t="n">
        <f aca="false">IFERROR(F59/E59,0)</f>
        <v>0.7</v>
      </c>
      <c r="H59" s="10" t="str">
        <f aca="false">IF(E59&lt;=8,"$25",IF(E59&lt;=20,"$30",IF(E59&lt;=199,"$35","$50")))</f>
        <v>$30</v>
      </c>
      <c r="I59" s="10" t="str">
        <f aca="false">IF(E59&lt;=19,"Cal-COBRA","Federal COBRA")</f>
        <v>Federal COBRA</v>
      </c>
      <c r="J59" s="10" t="s">
        <v>1502</v>
      </c>
      <c r="K59" s="10" t="s">
        <v>1587</v>
      </c>
      <c r="L59" s="10" t="s">
        <v>1639</v>
      </c>
      <c r="M59" s="10" t="s">
        <v>1505</v>
      </c>
      <c r="N59" s="10" t="s">
        <v>1524</v>
      </c>
      <c r="O59" s="10" t="n">
        <v>3</v>
      </c>
      <c r="P59" s="10" t="n">
        <v>2</v>
      </c>
      <c r="Q59" s="10" t="n">
        <v>1</v>
      </c>
      <c r="R59" s="19" t="n">
        <f aca="false">IFERROR(O59/F59*100,0)</f>
        <v>21.4285714285714</v>
      </c>
      <c r="S59" s="24" t="n">
        <f aca="false">F59*'Distribution Targets'!$C$34</f>
        <v>6804</v>
      </c>
      <c r="T59" s="25" t="str">
        <f aca="false">IF(M59="ER",IF(G59&lt;0.7,"BELOW 70% (P-18)",IF(G59&lt;0.75,"Near 70% threshold","OK")),IF(E59&lt;=9,IF(F59&lt;2,"BELOW 2–9 minimum (P-24)",IF(F59=2,"At 2–9 minimum","OK")),IF(F59&lt;5,"BELOW 10–500 minimum (P-23)",IF(F59&lt;7,"Near 10–500 minimum","OK"))))</f>
        <v>Near 70% threshold</v>
      </c>
      <c r="U59" s="25" t="str">
        <f aca="false">IF(O59&gt;=28,"A — anchor",IF(O59&gt;=10,"B — heavy",IF(O59&gt;=4,"C — moderate","D — tail")))</f>
        <v>D — tail</v>
      </c>
      <c r="V59" s="11" t="s">
        <v>1515</v>
      </c>
      <c r="W59" s="11" t="s">
        <v>1508</v>
      </c>
      <c r="X59" s="11" t="s">
        <v>38</v>
      </c>
      <c r="Y59" s="11" t="s">
        <v>38</v>
      </c>
      <c r="Z59" s="11" t="s">
        <v>1509</v>
      </c>
    </row>
    <row r="60" customFormat="false" ht="15" hidden="false" customHeight="true" outlineLevel="0" collapsed="false">
      <c r="A60" s="12" t="s">
        <v>1683</v>
      </c>
      <c r="B60" s="12" t="s">
        <v>1684</v>
      </c>
      <c r="C60" s="12" t="s">
        <v>1512</v>
      </c>
      <c r="D60" s="12" t="s">
        <v>1501</v>
      </c>
      <c r="E60" s="26" t="n">
        <v>19</v>
      </c>
      <c r="F60" s="26" t="n">
        <v>5</v>
      </c>
      <c r="G60" s="27" t="n">
        <f aca="false">IFERROR(F60/E60,0)</f>
        <v>0.263157894736842</v>
      </c>
      <c r="H60" s="12" t="str">
        <f aca="false">IF(E60&lt;=8,"$25",IF(E60&lt;=20,"$30",IF(E60&lt;=199,"$35","$50")))</f>
        <v>$30</v>
      </c>
      <c r="I60" s="12" t="str">
        <f aca="false">IF(E60&lt;=19,"Cal-COBRA","Federal COBRA")</f>
        <v>Cal-COBRA</v>
      </c>
      <c r="J60" s="12" t="s">
        <v>1513</v>
      </c>
      <c r="K60" s="12" t="s">
        <v>1594</v>
      </c>
      <c r="L60" s="12" t="s">
        <v>1591</v>
      </c>
      <c r="M60" s="12" t="s">
        <v>1514</v>
      </c>
      <c r="N60" s="12" t="s">
        <v>1544</v>
      </c>
      <c r="O60" s="12" t="n">
        <v>2</v>
      </c>
      <c r="P60" s="12" t="n">
        <v>1</v>
      </c>
      <c r="Q60" s="12" t="n">
        <v>1</v>
      </c>
      <c r="R60" s="20" t="n">
        <f aca="false">IFERROR(O60/F60*100,0)</f>
        <v>40</v>
      </c>
      <c r="S60" s="24" t="n">
        <f aca="false">F60*'Distribution Targets'!$C$34</f>
        <v>2430</v>
      </c>
      <c r="T60" s="25" t="str">
        <f aca="false">IF(M60="ER",IF(G60&lt;0.7,"BELOW 70% (P-18)",IF(G60&lt;0.75,"Near 70% threshold","OK")),IF(E60&lt;=9,IF(F60&lt;2,"BELOW 2–9 minimum (P-24)",IF(F60=2,"At 2–9 minimum","OK")),IF(F60&lt;5,"BELOW 10–500 minimum (P-23)",IF(F60&lt;7,"Near 10–500 minimum","OK"))))</f>
        <v>Near 10–500 minimum</v>
      </c>
      <c r="U60" s="25" t="str">
        <f aca="false">IF(O60&gt;=28,"A — anchor",IF(O60&gt;=10,"B — heavy",IF(O60&gt;=4,"C — moderate","D — tail")))</f>
        <v>D — tail</v>
      </c>
      <c r="V60" s="13" t="s">
        <v>1549</v>
      </c>
      <c r="W60" s="13" t="s">
        <v>38</v>
      </c>
      <c r="X60" s="13" t="s">
        <v>38</v>
      </c>
      <c r="Y60" s="13" t="s">
        <v>38</v>
      </c>
      <c r="Z60" s="13" t="s">
        <v>1554</v>
      </c>
    </row>
    <row r="61" customFormat="false" ht="15" hidden="false" customHeight="true" outlineLevel="0" collapsed="false">
      <c r="A61" s="10" t="s">
        <v>1685</v>
      </c>
      <c r="B61" s="10" t="s">
        <v>1686</v>
      </c>
      <c r="C61" s="10" t="s">
        <v>1541</v>
      </c>
      <c r="D61" s="10" t="s">
        <v>1501</v>
      </c>
      <c r="E61" s="22" t="n">
        <v>18</v>
      </c>
      <c r="F61" s="22" t="n">
        <v>6</v>
      </c>
      <c r="G61" s="23" t="n">
        <f aca="false">IFERROR(F61/E61,0)</f>
        <v>0.333333333333333</v>
      </c>
      <c r="H61" s="10" t="str">
        <f aca="false">IF(E61&lt;=8,"$25",IF(E61&lt;=20,"$30",IF(E61&lt;=199,"$35","$50")))</f>
        <v>$30</v>
      </c>
      <c r="I61" s="10" t="str">
        <f aca="false">IF(E61&lt;=19,"Cal-COBRA","Federal COBRA")</f>
        <v>Cal-COBRA</v>
      </c>
      <c r="J61" s="10" t="s">
        <v>1521</v>
      </c>
      <c r="K61" s="10" t="s">
        <v>1598</v>
      </c>
      <c r="L61" s="10" t="s">
        <v>1595</v>
      </c>
      <c r="M61" s="10" t="s">
        <v>1514</v>
      </c>
      <c r="N61" s="10" t="s">
        <v>1524</v>
      </c>
      <c r="O61" s="10" t="n">
        <v>2</v>
      </c>
      <c r="P61" s="10" t="n">
        <v>1</v>
      </c>
      <c r="Q61" s="10" t="n">
        <v>1</v>
      </c>
      <c r="R61" s="19" t="n">
        <f aca="false">IFERROR(O61/F61*100,0)</f>
        <v>33.3333333333333</v>
      </c>
      <c r="S61" s="24" t="n">
        <f aca="false">F61*'Distribution Targets'!$C$34</f>
        <v>2916</v>
      </c>
      <c r="T61" s="25" t="str">
        <f aca="false">IF(M61="ER",IF(G61&lt;0.7,"BELOW 70% (P-18)",IF(G61&lt;0.75,"Near 70% threshold","OK")),IF(E61&lt;=9,IF(F61&lt;2,"BELOW 2–9 minimum (P-24)",IF(F61=2,"At 2–9 minimum","OK")),IF(F61&lt;5,"BELOW 10–500 minimum (P-23)",IF(F61&lt;7,"Near 10–500 minimum","OK"))))</f>
        <v>Near 10–500 minimum</v>
      </c>
      <c r="U61" s="25" t="str">
        <f aca="false">IF(O61&gt;=28,"A — anchor",IF(O61&gt;=10,"B — heavy",IF(O61&gt;=4,"C — moderate","D — tail")))</f>
        <v>D — tail</v>
      </c>
      <c r="V61" s="11" t="s">
        <v>1515</v>
      </c>
      <c r="W61" s="11" t="s">
        <v>1508</v>
      </c>
      <c r="X61" s="11" t="s">
        <v>38</v>
      </c>
      <c r="Y61" s="11" t="s">
        <v>38</v>
      </c>
      <c r="Z61" s="11" t="s">
        <v>1509</v>
      </c>
    </row>
    <row r="62" customFormat="false" ht="15" hidden="false" customHeight="true" outlineLevel="0" collapsed="false">
      <c r="A62" s="12" t="s">
        <v>1687</v>
      </c>
      <c r="B62" s="12" t="s">
        <v>1688</v>
      </c>
      <c r="C62" s="12" t="s">
        <v>1519</v>
      </c>
      <c r="D62" s="12" t="s">
        <v>1520</v>
      </c>
      <c r="E62" s="26" t="n">
        <v>17</v>
      </c>
      <c r="F62" s="26" t="n">
        <v>15</v>
      </c>
      <c r="G62" s="27" t="n">
        <f aca="false">IFERROR(F62/E62,0)</f>
        <v>0.882352941176471</v>
      </c>
      <c r="H62" s="12" t="str">
        <f aca="false">IF(E62&lt;=8,"$25",IF(E62&lt;=20,"$30",IF(E62&lt;=199,"$35","$50")))</f>
        <v>$30</v>
      </c>
      <c r="I62" s="12" t="str">
        <f aca="false">IF(E62&lt;=19,"Cal-COBRA","Federal COBRA")</f>
        <v>Cal-COBRA</v>
      </c>
      <c r="J62" s="12" t="s">
        <v>1530</v>
      </c>
      <c r="K62" s="12" t="s">
        <v>1503</v>
      </c>
      <c r="L62" s="12" t="s">
        <v>1618</v>
      </c>
      <c r="M62" s="12" t="s">
        <v>1505</v>
      </c>
      <c r="N62" s="12" t="s">
        <v>1564</v>
      </c>
      <c r="O62" s="12" t="n">
        <v>2</v>
      </c>
      <c r="P62" s="12" t="n">
        <v>1</v>
      </c>
      <c r="Q62" s="12" t="n">
        <v>1</v>
      </c>
      <c r="R62" s="20" t="n">
        <f aca="false">IFERROR(O62/F62*100,0)</f>
        <v>13.3333333333333</v>
      </c>
      <c r="S62" s="24" t="n">
        <f aca="false">F62*'Distribution Targets'!$C$34</f>
        <v>7290</v>
      </c>
      <c r="T62" s="25" t="str">
        <f aca="false">IF(M62="ER",IF(G62&lt;0.7,"BELOW 70% (P-18)",IF(G62&lt;0.75,"Near 70% threshold","OK")),IF(E62&lt;=9,IF(F62&lt;2,"BELOW 2–9 minimum (P-24)",IF(F62=2,"At 2–9 minimum","OK")),IF(F62&lt;5,"BELOW 10–500 minimum (P-23)",IF(F62&lt;7,"Near 10–500 minimum","OK"))))</f>
        <v>OK</v>
      </c>
      <c r="U62" s="25" t="str">
        <f aca="false">IF(O62&gt;=28,"A — anchor",IF(O62&gt;=10,"B — heavy",IF(O62&gt;=4,"C — moderate","D — tail")))</f>
        <v>D — tail</v>
      </c>
      <c r="V62" s="13" t="s">
        <v>1507</v>
      </c>
      <c r="W62" s="13" t="s">
        <v>1516</v>
      </c>
      <c r="X62" s="13" t="s">
        <v>1550</v>
      </c>
      <c r="Y62" s="13" t="s">
        <v>1271</v>
      </c>
      <c r="Z62" s="13" t="s">
        <v>1509</v>
      </c>
    </row>
    <row r="63" customFormat="false" ht="15" hidden="false" customHeight="true" outlineLevel="0" collapsed="false">
      <c r="A63" s="10" t="s">
        <v>1689</v>
      </c>
      <c r="B63" s="10" t="s">
        <v>1690</v>
      </c>
      <c r="C63" s="10" t="s">
        <v>1535</v>
      </c>
      <c r="D63" s="10" t="s">
        <v>1520</v>
      </c>
      <c r="E63" s="22" t="n">
        <v>16</v>
      </c>
      <c r="F63" s="22" t="n">
        <v>8</v>
      </c>
      <c r="G63" s="23" t="n">
        <f aca="false">IFERROR(F63/E63,0)</f>
        <v>0.5</v>
      </c>
      <c r="H63" s="10" t="str">
        <f aca="false">IF(E63&lt;=8,"$25",IF(E63&lt;=20,"$30",IF(E63&lt;=199,"$35","$50")))</f>
        <v>$30</v>
      </c>
      <c r="I63" s="10" t="str">
        <f aca="false">IF(E63&lt;=19,"Cal-COBRA","Federal COBRA")</f>
        <v>Cal-COBRA</v>
      </c>
      <c r="J63" s="10" t="s">
        <v>1536</v>
      </c>
      <c r="K63" s="10" t="s">
        <v>1537</v>
      </c>
      <c r="L63" s="10" t="s">
        <v>1621</v>
      </c>
      <c r="M63" s="10" t="s">
        <v>1514</v>
      </c>
      <c r="N63" s="10" t="s">
        <v>1544</v>
      </c>
      <c r="O63" s="10" t="n">
        <v>2</v>
      </c>
      <c r="P63" s="10" t="n">
        <v>1</v>
      </c>
      <c r="Q63" s="10" t="n">
        <v>1</v>
      </c>
      <c r="R63" s="19" t="n">
        <f aca="false">IFERROR(O63/F63*100,0)</f>
        <v>25</v>
      </c>
      <c r="S63" s="24" t="n">
        <f aca="false">F63*'Distribution Targets'!$C$34</f>
        <v>3888</v>
      </c>
      <c r="T63" s="25" t="str">
        <f aca="false">IF(M63="ER",IF(G63&lt;0.7,"BELOW 70% (P-18)",IF(G63&lt;0.75,"Near 70% threshold","OK")),IF(E63&lt;=9,IF(F63&lt;2,"BELOW 2–9 minimum (P-24)",IF(F63=2,"At 2–9 minimum","OK")),IF(F63&lt;5,"BELOW 10–500 minimum (P-23)",IF(F63&lt;7,"Near 10–500 minimum","OK"))))</f>
        <v>OK</v>
      </c>
      <c r="U63" s="25" t="str">
        <f aca="false">IF(O63&gt;=28,"A — anchor",IF(O63&gt;=10,"B — heavy",IF(O63&gt;=4,"C — moderate","D — tail")))</f>
        <v>D — tail</v>
      </c>
      <c r="V63" s="11" t="s">
        <v>1515</v>
      </c>
      <c r="W63" s="11" t="s">
        <v>38</v>
      </c>
      <c r="X63" s="11" t="s">
        <v>38</v>
      </c>
      <c r="Y63" s="11" t="s">
        <v>38</v>
      </c>
      <c r="Z63" s="11" t="s">
        <v>1509</v>
      </c>
    </row>
    <row r="64" customFormat="false" ht="15" hidden="false" customHeight="true" outlineLevel="0" collapsed="false">
      <c r="A64" s="12" t="s">
        <v>1691</v>
      </c>
      <c r="B64" s="12" t="s">
        <v>1692</v>
      </c>
      <c r="C64" s="12" t="s">
        <v>1579</v>
      </c>
      <c r="D64" s="12" t="s">
        <v>1520</v>
      </c>
      <c r="E64" s="26" t="n">
        <v>15</v>
      </c>
      <c r="F64" s="26" t="n">
        <v>9</v>
      </c>
      <c r="G64" s="27" t="n">
        <f aca="false">IFERROR(F64/E64,0)</f>
        <v>0.6</v>
      </c>
      <c r="H64" s="12" t="str">
        <f aca="false">IF(E64&lt;=8,"$25",IF(E64&lt;=20,"$30",IF(E64&lt;=199,"$35","$50")))</f>
        <v>$30</v>
      </c>
      <c r="I64" s="12" t="str">
        <f aca="false">IF(E64&lt;=19,"Cal-COBRA","Federal COBRA")</f>
        <v>Cal-COBRA</v>
      </c>
      <c r="J64" s="12" t="s">
        <v>1542</v>
      </c>
      <c r="K64" s="12" t="s">
        <v>1522</v>
      </c>
      <c r="L64" s="12" t="s">
        <v>1624</v>
      </c>
      <c r="M64" s="12" t="s">
        <v>1514</v>
      </c>
      <c r="N64" s="12" t="s">
        <v>1567</v>
      </c>
      <c r="O64" s="12" t="n">
        <v>2</v>
      </c>
      <c r="P64" s="12" t="n">
        <v>1</v>
      </c>
      <c r="Q64" s="12" t="n">
        <v>1</v>
      </c>
      <c r="R64" s="20" t="n">
        <f aca="false">IFERROR(O64/F64*100,0)</f>
        <v>22.2222222222222</v>
      </c>
      <c r="S64" s="24" t="n">
        <f aca="false">F64*'Distribution Targets'!$C$34</f>
        <v>4374</v>
      </c>
      <c r="T64" s="25" t="str">
        <f aca="false">IF(M64="ER",IF(G64&lt;0.7,"BELOW 70% (P-18)",IF(G64&lt;0.75,"Near 70% threshold","OK")),IF(E64&lt;=9,IF(F64&lt;2,"BELOW 2–9 minimum (P-24)",IF(F64=2,"At 2–9 minimum","OK")),IF(F64&lt;5,"BELOW 10–500 minimum (P-23)",IF(F64&lt;7,"Near 10–500 minimum","OK"))))</f>
        <v>OK</v>
      </c>
      <c r="U64" s="25" t="str">
        <f aca="false">IF(O64&gt;=28,"A — anchor",IF(O64&gt;=10,"B — heavy",IF(O64&gt;=4,"C — moderate","D — tail")))</f>
        <v>D — tail</v>
      </c>
      <c r="V64" s="13" t="s">
        <v>1515</v>
      </c>
      <c r="W64" s="13" t="s">
        <v>38</v>
      </c>
      <c r="X64" s="13" t="s">
        <v>38</v>
      </c>
      <c r="Y64" s="13" t="s">
        <v>1271</v>
      </c>
      <c r="Z64" s="13" t="s">
        <v>1509</v>
      </c>
    </row>
    <row r="65" customFormat="false" ht="15" hidden="false" customHeight="true" outlineLevel="0" collapsed="false">
      <c r="A65" s="10" t="s">
        <v>1693</v>
      </c>
      <c r="B65" s="10" t="s">
        <v>1694</v>
      </c>
      <c r="C65" s="10" t="s">
        <v>1547</v>
      </c>
      <c r="D65" s="10" t="s">
        <v>1520</v>
      </c>
      <c r="E65" s="22" t="n">
        <v>14</v>
      </c>
      <c r="F65" s="22" t="n">
        <v>11</v>
      </c>
      <c r="G65" s="23" t="n">
        <f aca="false">IFERROR(F65/E65,0)</f>
        <v>0.785714285714286</v>
      </c>
      <c r="H65" s="10" t="str">
        <f aca="false">IF(E65&lt;=8,"$25",IF(E65&lt;=20,"$30",IF(E65&lt;=199,"$35","$50")))</f>
        <v>$30</v>
      </c>
      <c r="I65" s="10" t="str">
        <f aca="false">IF(E65&lt;=19,"Cal-COBRA","Federal COBRA")</f>
        <v>Cal-COBRA</v>
      </c>
      <c r="J65" s="10" t="s">
        <v>1502</v>
      </c>
      <c r="K65" s="10" t="s">
        <v>1553</v>
      </c>
      <c r="L65" s="10" t="s">
        <v>1695</v>
      </c>
      <c r="M65" s="10" t="s">
        <v>1505</v>
      </c>
      <c r="N65" s="10" t="s">
        <v>1524</v>
      </c>
      <c r="O65" s="10" t="n">
        <v>2</v>
      </c>
      <c r="P65" s="10" t="n">
        <v>1</v>
      </c>
      <c r="Q65" s="10" t="n">
        <v>1</v>
      </c>
      <c r="R65" s="19" t="n">
        <f aca="false">IFERROR(O65/F65*100,0)</f>
        <v>18.1818181818182</v>
      </c>
      <c r="S65" s="24" t="n">
        <f aca="false">F65*'Distribution Targets'!$C$34</f>
        <v>5346</v>
      </c>
      <c r="T65" s="25" t="str">
        <f aca="false">IF(M65="ER",IF(G65&lt;0.7,"BELOW 70% (P-18)",IF(G65&lt;0.75,"Near 70% threshold","OK")),IF(E65&lt;=9,IF(F65&lt;2,"BELOW 2–9 minimum (P-24)",IF(F65=2,"At 2–9 minimum","OK")),IF(F65&lt;5,"BELOW 10–500 minimum (P-23)",IF(F65&lt;7,"Near 10–500 minimum","OK"))))</f>
        <v>OK</v>
      </c>
      <c r="U65" s="25" t="str">
        <f aca="false">IF(O65&gt;=28,"A — anchor",IF(O65&gt;=10,"B — heavy",IF(O65&gt;=4,"C — moderate","D — tail")))</f>
        <v>D — tail</v>
      </c>
      <c r="V65" s="11" t="s">
        <v>1549</v>
      </c>
      <c r="W65" s="11" t="s">
        <v>1516</v>
      </c>
      <c r="X65" s="11" t="s">
        <v>38</v>
      </c>
      <c r="Y65" s="11" t="s">
        <v>38</v>
      </c>
      <c r="Z65" s="11" t="s">
        <v>1509</v>
      </c>
    </row>
    <row r="66" customFormat="false" ht="15" hidden="false" customHeight="true" outlineLevel="0" collapsed="false">
      <c r="A66" s="12" t="s">
        <v>1696</v>
      </c>
      <c r="B66" s="12" t="s">
        <v>1697</v>
      </c>
      <c r="C66" s="12" t="s">
        <v>1528</v>
      </c>
      <c r="D66" s="12" t="s">
        <v>1529</v>
      </c>
      <c r="E66" s="26" t="n">
        <v>13</v>
      </c>
      <c r="F66" s="26" t="n">
        <v>3</v>
      </c>
      <c r="G66" s="27" t="n">
        <f aca="false">IFERROR(F66/E66,0)</f>
        <v>0.230769230769231</v>
      </c>
      <c r="H66" s="12" t="str">
        <f aca="false">IF(E66&lt;=8,"$25",IF(E66&lt;=20,"$30",IF(E66&lt;=199,"$35","$50")))</f>
        <v>$30</v>
      </c>
      <c r="I66" s="12" t="str">
        <f aca="false">IF(E66&lt;=19,"Cal-COBRA","Federal COBRA")</f>
        <v>Cal-COBRA</v>
      </c>
      <c r="J66" s="12" t="s">
        <v>1513</v>
      </c>
      <c r="K66" s="12" t="s">
        <v>1560</v>
      </c>
      <c r="L66" s="12" t="s">
        <v>1698</v>
      </c>
      <c r="M66" s="12" t="s">
        <v>1514</v>
      </c>
      <c r="N66" s="12" t="s">
        <v>1544</v>
      </c>
      <c r="O66" s="12" t="n">
        <v>2</v>
      </c>
      <c r="P66" s="12" t="n">
        <v>1</v>
      </c>
      <c r="Q66" s="12" t="n">
        <v>1</v>
      </c>
      <c r="R66" s="20" t="n">
        <f aca="false">IFERROR(O66/F66*100,0)</f>
        <v>66.6666666666667</v>
      </c>
      <c r="S66" s="24" t="n">
        <f aca="false">F66*'Distribution Targets'!$C$34</f>
        <v>1458</v>
      </c>
      <c r="T66" s="25" t="str">
        <f aca="false">IF(M66="ER",IF(G66&lt;0.7,"BELOW 70% (P-18)",IF(G66&lt;0.75,"Near 70% threshold","OK")),IF(E66&lt;=9,IF(F66&lt;2,"BELOW 2–9 minimum (P-24)",IF(F66=2,"At 2–9 minimum","OK")),IF(F66&lt;5,"BELOW 10–500 minimum (P-23)",IF(F66&lt;7,"Near 10–500 minimum","OK"))))</f>
        <v>BELOW 10–500 minimum (P-23)</v>
      </c>
      <c r="U66" s="25" t="str">
        <f aca="false">IF(O66&gt;=28,"A — anchor",IF(O66&gt;=10,"B — heavy",IF(O66&gt;=4,"C — moderate","D — tail")))</f>
        <v>D — tail</v>
      </c>
      <c r="V66" s="13" t="s">
        <v>1549</v>
      </c>
      <c r="W66" s="13" t="s">
        <v>38</v>
      </c>
      <c r="X66" s="13" t="s">
        <v>38</v>
      </c>
      <c r="Y66" s="13" t="s">
        <v>38</v>
      </c>
      <c r="Z66" s="13" t="s">
        <v>1554</v>
      </c>
    </row>
    <row r="67" customFormat="false" ht="15" hidden="false" customHeight="true" outlineLevel="0" collapsed="false">
      <c r="A67" s="10" t="s">
        <v>1699</v>
      </c>
      <c r="B67" s="10" t="s">
        <v>1700</v>
      </c>
      <c r="C67" s="10" t="s">
        <v>1557</v>
      </c>
      <c r="D67" s="10" t="s">
        <v>1529</v>
      </c>
      <c r="E67" s="22" t="n">
        <v>12</v>
      </c>
      <c r="F67" s="22" t="n">
        <v>4</v>
      </c>
      <c r="G67" s="23" t="n">
        <f aca="false">IFERROR(F67/E67,0)</f>
        <v>0.333333333333333</v>
      </c>
      <c r="H67" s="10" t="str">
        <f aca="false">IF(E67&lt;=8,"$25",IF(E67&lt;=20,"$30",IF(E67&lt;=199,"$35","$50")))</f>
        <v>$30</v>
      </c>
      <c r="I67" s="10" t="str">
        <f aca="false">IF(E67&lt;=19,"Cal-COBRA","Federal COBRA")</f>
        <v>Cal-COBRA</v>
      </c>
      <c r="J67" s="10" t="s">
        <v>1521</v>
      </c>
      <c r="K67" s="10" t="s">
        <v>1563</v>
      </c>
      <c r="L67" s="10" t="s">
        <v>1701</v>
      </c>
      <c r="M67" s="10" t="s">
        <v>1514</v>
      </c>
      <c r="N67" s="10" t="s">
        <v>1524</v>
      </c>
      <c r="O67" s="10" t="n">
        <v>2</v>
      </c>
      <c r="P67" s="10" t="n">
        <v>1</v>
      </c>
      <c r="Q67" s="10" t="n">
        <v>1</v>
      </c>
      <c r="R67" s="19" t="n">
        <f aca="false">IFERROR(O67/F67*100,0)</f>
        <v>50</v>
      </c>
      <c r="S67" s="24" t="n">
        <f aca="false">F67*'Distribution Targets'!$C$34</f>
        <v>1944</v>
      </c>
      <c r="T67" s="25" t="str">
        <f aca="false">IF(M67="ER",IF(G67&lt;0.7,"BELOW 70% (P-18)",IF(G67&lt;0.75,"Near 70% threshold","OK")),IF(E67&lt;=9,IF(F67&lt;2,"BELOW 2–9 minimum (P-24)",IF(F67=2,"At 2–9 minimum","OK")),IF(F67&lt;5,"BELOW 10–500 minimum (P-23)",IF(F67&lt;7,"Near 10–500 minimum","OK"))))</f>
        <v>BELOW 10–500 minimum (P-23)</v>
      </c>
      <c r="U67" s="25" t="str">
        <f aca="false">IF(O67&gt;=28,"A — anchor",IF(O67&gt;=10,"B — heavy",IF(O67&gt;=4,"C — moderate","D — tail")))</f>
        <v>D — tail</v>
      </c>
      <c r="V67" s="11" t="s">
        <v>1515</v>
      </c>
      <c r="W67" s="11" t="s">
        <v>1508</v>
      </c>
      <c r="X67" s="11" t="s">
        <v>38</v>
      </c>
      <c r="Y67" s="11" t="s">
        <v>38</v>
      </c>
      <c r="Z67" s="11" t="s">
        <v>1509</v>
      </c>
    </row>
    <row r="68" customFormat="false" ht="15" hidden="false" customHeight="true" outlineLevel="0" collapsed="false">
      <c r="A68" s="12" t="s">
        <v>1702</v>
      </c>
      <c r="B68" s="12" t="s">
        <v>1703</v>
      </c>
      <c r="C68" s="12" t="s">
        <v>1500</v>
      </c>
      <c r="D68" s="12" t="s">
        <v>1501</v>
      </c>
      <c r="E68" s="26" t="n">
        <v>11</v>
      </c>
      <c r="F68" s="26" t="n">
        <v>7</v>
      </c>
      <c r="G68" s="27" t="n">
        <f aca="false">IFERROR(F68/E68,0)</f>
        <v>0.636363636363636</v>
      </c>
      <c r="H68" s="12" t="str">
        <f aca="false">IF(E68&lt;=8,"$25",IF(E68&lt;=20,"$30",IF(E68&lt;=199,"$35","$50")))</f>
        <v>$30</v>
      </c>
      <c r="I68" s="12" t="str">
        <f aca="false">IF(E68&lt;=19,"Cal-COBRA","Federal COBRA")</f>
        <v>Cal-COBRA</v>
      </c>
      <c r="J68" s="12" t="s">
        <v>1530</v>
      </c>
      <c r="K68" s="12" t="s">
        <v>1570</v>
      </c>
      <c r="L68" s="12" t="s">
        <v>1603</v>
      </c>
      <c r="M68" s="12" t="s">
        <v>1505</v>
      </c>
      <c r="N68" s="12" t="s">
        <v>1548</v>
      </c>
      <c r="O68" s="12" t="n">
        <v>2</v>
      </c>
      <c r="P68" s="12" t="n">
        <v>1</v>
      </c>
      <c r="Q68" s="12" t="n">
        <v>1</v>
      </c>
      <c r="R68" s="20" t="n">
        <f aca="false">IFERROR(O68/F68*100,0)</f>
        <v>28.5714285714286</v>
      </c>
      <c r="S68" s="24" t="n">
        <f aca="false">F68*'Distribution Targets'!$C$34</f>
        <v>3402</v>
      </c>
      <c r="T68" s="25" t="str">
        <f aca="false">IF(M68="ER",IF(G68&lt;0.7,"BELOW 70% (P-18)",IF(G68&lt;0.75,"Near 70% threshold","OK")),IF(E68&lt;=9,IF(F68&lt;2,"BELOW 2–9 minimum (P-24)",IF(F68=2,"At 2–9 minimum","OK")),IF(F68&lt;5,"BELOW 10–500 minimum (P-23)",IF(F68&lt;7,"Near 10–500 minimum","OK"))))</f>
        <v>BELOW 70% (P-18)</v>
      </c>
      <c r="U68" s="25" t="str">
        <f aca="false">IF(O68&gt;=28,"A — anchor",IF(O68&gt;=10,"B — heavy",IF(O68&gt;=4,"C — moderate","D — tail")))</f>
        <v>D — tail</v>
      </c>
      <c r="V68" s="13" t="s">
        <v>1549</v>
      </c>
      <c r="W68" s="13" t="s">
        <v>38</v>
      </c>
      <c r="X68" s="13" t="s">
        <v>1572</v>
      </c>
      <c r="Y68" s="13" t="s">
        <v>38</v>
      </c>
      <c r="Z68" s="13" t="s">
        <v>1509</v>
      </c>
    </row>
    <row r="69" customFormat="false" ht="15" hidden="false" customHeight="true" outlineLevel="0" collapsed="false">
      <c r="A69" s="10" t="s">
        <v>1704</v>
      </c>
      <c r="B69" s="10" t="s">
        <v>1705</v>
      </c>
      <c r="C69" s="10" t="s">
        <v>1512</v>
      </c>
      <c r="D69" s="10" t="s">
        <v>1501</v>
      </c>
      <c r="E69" s="22" t="n">
        <v>10</v>
      </c>
      <c r="F69" s="22" t="n">
        <v>3</v>
      </c>
      <c r="G69" s="23" t="n">
        <f aca="false">IFERROR(F69/E69,0)</f>
        <v>0.3</v>
      </c>
      <c r="H69" s="10" t="str">
        <f aca="false">IF(E69&lt;=8,"$25",IF(E69&lt;=20,"$30",IF(E69&lt;=199,"$35","$50")))</f>
        <v>$30</v>
      </c>
      <c r="I69" s="10" t="str">
        <f aca="false">IF(E69&lt;=19,"Cal-COBRA","Federal COBRA")</f>
        <v>Cal-COBRA</v>
      </c>
      <c r="J69" s="10" t="s">
        <v>1536</v>
      </c>
      <c r="K69" s="10" t="s">
        <v>1575</v>
      </c>
      <c r="L69" s="10" t="s">
        <v>1584</v>
      </c>
      <c r="M69" s="10" t="s">
        <v>1514</v>
      </c>
      <c r="N69" s="10" t="s">
        <v>1506</v>
      </c>
      <c r="O69" s="10" t="n">
        <v>2</v>
      </c>
      <c r="P69" s="10" t="n">
        <v>1</v>
      </c>
      <c r="Q69" s="10" t="n">
        <v>1</v>
      </c>
      <c r="R69" s="19" t="n">
        <f aca="false">IFERROR(O69/F69*100,0)</f>
        <v>66.6666666666667</v>
      </c>
      <c r="S69" s="24" t="n">
        <f aca="false">F69*'Distribution Targets'!$C$34</f>
        <v>1458</v>
      </c>
      <c r="T69" s="25" t="str">
        <f aca="false">IF(M69="ER",IF(G69&lt;0.7,"BELOW 70% (P-18)",IF(G69&lt;0.75,"Near 70% threshold","OK")),IF(E69&lt;=9,IF(F69&lt;2,"BELOW 2–9 minimum (P-24)",IF(F69=2,"At 2–9 minimum","OK")),IF(F69&lt;5,"BELOW 10–500 minimum (P-23)",IF(F69&lt;7,"Near 10–500 minimum","OK"))))</f>
        <v>BELOW 10–500 minimum (P-23)</v>
      </c>
      <c r="U69" s="25" t="str">
        <f aca="false">IF(O69&gt;=28,"A — anchor",IF(O69&gt;=10,"B — heavy",IF(O69&gt;=4,"C — moderate","D — tail")))</f>
        <v>D — tail</v>
      </c>
      <c r="V69" s="11" t="s">
        <v>1532</v>
      </c>
      <c r="W69" s="11" t="s">
        <v>1508</v>
      </c>
      <c r="X69" s="11" t="s">
        <v>38</v>
      </c>
      <c r="Y69" s="11" t="s">
        <v>1271</v>
      </c>
      <c r="Z69" s="11" t="s">
        <v>1554</v>
      </c>
    </row>
    <row r="70" customFormat="false" ht="15" hidden="false" customHeight="true" outlineLevel="0" collapsed="false">
      <c r="A70" s="12" t="s">
        <v>1706</v>
      </c>
      <c r="B70" s="12" t="s">
        <v>1707</v>
      </c>
      <c r="C70" s="12" t="s">
        <v>1541</v>
      </c>
      <c r="D70" s="12" t="s">
        <v>1501</v>
      </c>
      <c r="E70" s="26" t="n">
        <v>20</v>
      </c>
      <c r="F70" s="26" t="n">
        <v>11</v>
      </c>
      <c r="G70" s="27" t="n">
        <f aca="false">IFERROR(F70/E70,0)</f>
        <v>0.55</v>
      </c>
      <c r="H70" s="12" t="str">
        <f aca="false">IF(E70&lt;=8,"$25",IF(E70&lt;=20,"$30",IF(E70&lt;=199,"$35","$50")))</f>
        <v>$30</v>
      </c>
      <c r="I70" s="12" t="str">
        <f aca="false">IF(E70&lt;=19,"Cal-COBRA","Federal COBRA")</f>
        <v>Federal COBRA</v>
      </c>
      <c r="J70" s="12" t="s">
        <v>1542</v>
      </c>
      <c r="K70" s="12" t="s">
        <v>1583</v>
      </c>
      <c r="L70" s="12" t="s">
        <v>1650</v>
      </c>
      <c r="M70" s="12" t="s">
        <v>1514</v>
      </c>
      <c r="N70" s="12" t="s">
        <v>1544</v>
      </c>
      <c r="O70" s="12" t="n">
        <v>2</v>
      </c>
      <c r="P70" s="12" t="n">
        <v>1</v>
      </c>
      <c r="Q70" s="12" t="n">
        <v>1</v>
      </c>
      <c r="R70" s="20" t="n">
        <f aca="false">IFERROR(O70/F70*100,0)</f>
        <v>18.1818181818182</v>
      </c>
      <c r="S70" s="24" t="n">
        <f aca="false">F70*'Distribution Targets'!$C$34</f>
        <v>5346</v>
      </c>
      <c r="T70" s="25" t="str">
        <f aca="false">IF(M70="ER",IF(G70&lt;0.7,"BELOW 70% (P-18)",IF(G70&lt;0.75,"Near 70% threshold","OK")),IF(E70&lt;=9,IF(F70&lt;2,"BELOW 2–9 minimum (P-24)",IF(F70=2,"At 2–9 minimum","OK")),IF(F70&lt;5,"BELOW 10–500 minimum (P-23)",IF(F70&lt;7,"Near 10–500 minimum","OK"))))</f>
        <v>OK</v>
      </c>
      <c r="U70" s="25" t="str">
        <f aca="false">IF(O70&gt;=28,"A — anchor",IF(O70&gt;=10,"B — heavy",IF(O70&gt;=4,"C — moderate","D — tail")))</f>
        <v>D — tail</v>
      </c>
      <c r="V70" s="13" t="s">
        <v>1532</v>
      </c>
      <c r="W70" s="13" t="s">
        <v>38</v>
      </c>
      <c r="X70" s="13" t="s">
        <v>38</v>
      </c>
      <c r="Y70" s="13" t="s">
        <v>38</v>
      </c>
      <c r="Z70" s="13" t="s">
        <v>1554</v>
      </c>
    </row>
    <row r="71" customFormat="false" ht="15" hidden="false" customHeight="true" outlineLevel="0" collapsed="false">
      <c r="A71" s="10" t="s">
        <v>1708</v>
      </c>
      <c r="B71" s="10" t="s">
        <v>1709</v>
      </c>
      <c r="C71" s="10" t="s">
        <v>1519</v>
      </c>
      <c r="D71" s="10" t="s">
        <v>1520</v>
      </c>
      <c r="E71" s="22" t="n">
        <v>19</v>
      </c>
      <c r="F71" s="22" t="n">
        <v>15</v>
      </c>
      <c r="G71" s="23" t="n">
        <f aca="false">IFERROR(F71/E71,0)</f>
        <v>0.789473684210526</v>
      </c>
      <c r="H71" s="10" t="str">
        <f aca="false">IF(E71&lt;=8,"$25",IF(E71&lt;=20,"$30",IF(E71&lt;=199,"$35","$50")))</f>
        <v>$30</v>
      </c>
      <c r="I71" s="10" t="str">
        <f aca="false">IF(E71&lt;=19,"Cal-COBRA","Federal COBRA")</f>
        <v>Cal-COBRA</v>
      </c>
      <c r="J71" s="10" t="s">
        <v>1502</v>
      </c>
      <c r="K71" s="10" t="s">
        <v>1587</v>
      </c>
      <c r="L71" s="10" t="s">
        <v>1653</v>
      </c>
      <c r="M71" s="10" t="s">
        <v>1505</v>
      </c>
      <c r="N71" s="10" t="s">
        <v>1544</v>
      </c>
      <c r="O71" s="10" t="n">
        <v>2</v>
      </c>
      <c r="P71" s="10" t="n">
        <v>1</v>
      </c>
      <c r="Q71" s="10" t="n">
        <v>1</v>
      </c>
      <c r="R71" s="19" t="n">
        <f aca="false">IFERROR(O71/F71*100,0)</f>
        <v>13.3333333333333</v>
      </c>
      <c r="S71" s="24" t="n">
        <f aca="false">F71*'Distribution Targets'!$C$34</f>
        <v>7290</v>
      </c>
      <c r="T71" s="25" t="str">
        <f aca="false">IF(M71="ER",IF(G71&lt;0.7,"BELOW 70% (P-18)",IF(G71&lt;0.75,"Near 70% threshold","OK")),IF(E71&lt;=9,IF(F71&lt;2,"BELOW 2–9 minimum (P-24)",IF(F71=2,"At 2–9 minimum","OK")),IF(F71&lt;5,"BELOW 10–500 minimum (P-23)",IF(F71&lt;7,"Near 10–500 minimum","OK"))))</f>
        <v>OK</v>
      </c>
      <c r="U71" s="25" t="str">
        <f aca="false">IF(O71&gt;=28,"A — anchor",IF(O71&gt;=10,"B — heavy",IF(O71&gt;=4,"C — moderate","D — tail")))</f>
        <v>D — tail</v>
      </c>
      <c r="V71" s="11" t="s">
        <v>1549</v>
      </c>
      <c r="W71" s="11" t="s">
        <v>38</v>
      </c>
      <c r="X71" s="11" t="s">
        <v>38</v>
      </c>
      <c r="Y71" s="11" t="s">
        <v>38</v>
      </c>
      <c r="Z71" s="11" t="s">
        <v>1509</v>
      </c>
    </row>
    <row r="72" customFormat="false" ht="15" hidden="false" customHeight="true" outlineLevel="0" collapsed="false">
      <c r="A72" s="12" t="s">
        <v>1710</v>
      </c>
      <c r="B72" s="12" t="s">
        <v>1711</v>
      </c>
      <c r="C72" s="12" t="s">
        <v>1535</v>
      </c>
      <c r="D72" s="12" t="s">
        <v>1520</v>
      </c>
      <c r="E72" s="26" t="n">
        <v>18</v>
      </c>
      <c r="F72" s="26" t="n">
        <v>11</v>
      </c>
      <c r="G72" s="27" t="n">
        <f aca="false">IFERROR(F72/E72,0)</f>
        <v>0.611111111111111</v>
      </c>
      <c r="H72" s="12" t="str">
        <f aca="false">IF(E72&lt;=8,"$25",IF(E72&lt;=20,"$30",IF(E72&lt;=199,"$35","$50")))</f>
        <v>$30</v>
      </c>
      <c r="I72" s="12" t="str">
        <f aca="false">IF(E72&lt;=19,"Cal-COBRA","Federal COBRA")</f>
        <v>Cal-COBRA</v>
      </c>
      <c r="J72" s="12" t="s">
        <v>1513</v>
      </c>
      <c r="K72" s="12" t="s">
        <v>1594</v>
      </c>
      <c r="L72" s="12" t="s">
        <v>1656</v>
      </c>
      <c r="M72" s="12" t="s">
        <v>1514</v>
      </c>
      <c r="N72" s="12" t="s">
        <v>1567</v>
      </c>
      <c r="O72" s="12" t="n">
        <v>2</v>
      </c>
      <c r="P72" s="12" t="n">
        <v>1</v>
      </c>
      <c r="Q72" s="12" t="n">
        <v>1</v>
      </c>
      <c r="R72" s="20" t="n">
        <f aca="false">IFERROR(O72/F72*100,0)</f>
        <v>18.1818181818182</v>
      </c>
      <c r="S72" s="24" t="n">
        <f aca="false">F72*'Distribution Targets'!$C$34</f>
        <v>5346</v>
      </c>
      <c r="T72" s="25" t="str">
        <f aca="false">IF(M72="ER",IF(G72&lt;0.7,"BELOW 70% (P-18)",IF(G72&lt;0.75,"Near 70% threshold","OK")),IF(E72&lt;=9,IF(F72&lt;2,"BELOW 2–9 minimum (P-24)",IF(F72=2,"At 2–9 minimum","OK")),IF(F72&lt;5,"BELOW 10–500 minimum (P-23)",IF(F72&lt;7,"Near 10–500 minimum","OK"))))</f>
        <v>OK</v>
      </c>
      <c r="U72" s="25" t="str">
        <f aca="false">IF(O72&gt;=28,"A — anchor",IF(O72&gt;=10,"B — heavy",IF(O72&gt;=4,"C — moderate","D — tail")))</f>
        <v>D — tail</v>
      </c>
      <c r="V72" s="13" t="s">
        <v>1507</v>
      </c>
      <c r="W72" s="13" t="s">
        <v>38</v>
      </c>
      <c r="X72" s="13" t="s">
        <v>38</v>
      </c>
      <c r="Y72" s="13" t="s">
        <v>1271</v>
      </c>
      <c r="Z72" s="13" t="s">
        <v>1554</v>
      </c>
    </row>
    <row r="73" customFormat="false" ht="15" hidden="false" customHeight="true" outlineLevel="0" collapsed="false">
      <c r="A73" s="10" t="s">
        <v>1712</v>
      </c>
      <c r="B73" s="10" t="s">
        <v>1713</v>
      </c>
      <c r="C73" s="10" t="s">
        <v>1579</v>
      </c>
      <c r="D73" s="10" t="s">
        <v>1520</v>
      </c>
      <c r="E73" s="22" t="n">
        <v>16</v>
      </c>
      <c r="F73" s="22" t="n">
        <v>10</v>
      </c>
      <c r="G73" s="23" t="n">
        <f aca="false">IFERROR(F73/E73,0)</f>
        <v>0.625</v>
      </c>
      <c r="H73" s="10" t="str">
        <f aca="false">IF(E73&lt;=8,"$25",IF(E73&lt;=20,"$30",IF(E73&lt;=199,"$35","$50")))</f>
        <v>$30</v>
      </c>
      <c r="I73" s="10" t="str">
        <f aca="false">IF(E73&lt;=19,"Cal-COBRA","Federal COBRA")</f>
        <v>Cal-COBRA</v>
      </c>
      <c r="J73" s="10" t="s">
        <v>1521</v>
      </c>
      <c r="K73" s="10" t="s">
        <v>1598</v>
      </c>
      <c r="L73" s="10" t="s">
        <v>1659</v>
      </c>
      <c r="M73" s="10" t="s">
        <v>1514</v>
      </c>
      <c r="N73" s="10" t="s">
        <v>1524</v>
      </c>
      <c r="O73" s="10" t="n">
        <v>2</v>
      </c>
      <c r="P73" s="10" t="n">
        <v>1</v>
      </c>
      <c r="Q73" s="10" t="n">
        <v>1</v>
      </c>
      <c r="R73" s="19" t="n">
        <f aca="false">IFERROR(O73/F73*100,0)</f>
        <v>20</v>
      </c>
      <c r="S73" s="24" t="n">
        <f aca="false">F73*'Distribution Targets'!$C$34</f>
        <v>4860</v>
      </c>
      <c r="T73" s="25" t="str">
        <f aca="false">IF(M73="ER",IF(G73&lt;0.7,"BELOW 70% (P-18)",IF(G73&lt;0.75,"Near 70% threshold","OK")),IF(E73&lt;=9,IF(F73&lt;2,"BELOW 2–9 minimum (P-24)",IF(F73=2,"At 2–9 minimum","OK")),IF(F73&lt;5,"BELOW 10–500 minimum (P-23)",IF(F73&lt;7,"Near 10–500 minimum","OK"))))</f>
        <v>OK</v>
      </c>
      <c r="U73" s="25" t="str">
        <f aca="false">IF(O73&gt;=28,"A — anchor",IF(O73&gt;=10,"B — heavy",IF(O73&gt;=4,"C — moderate","D — tail")))</f>
        <v>D — tail</v>
      </c>
      <c r="V73" s="11" t="s">
        <v>1515</v>
      </c>
      <c r="W73" s="11" t="s">
        <v>1508</v>
      </c>
      <c r="X73" s="11" t="s">
        <v>38</v>
      </c>
      <c r="Y73" s="11" t="s">
        <v>38</v>
      </c>
      <c r="Z73" s="11" t="s">
        <v>1509</v>
      </c>
    </row>
    <row r="74" customFormat="false" ht="15" hidden="false" customHeight="true" outlineLevel="0" collapsed="false">
      <c r="A74" s="12" t="s">
        <v>1714</v>
      </c>
      <c r="B74" s="12" t="s">
        <v>1715</v>
      </c>
      <c r="C74" s="12" t="s">
        <v>1547</v>
      </c>
      <c r="D74" s="12" t="s">
        <v>1520</v>
      </c>
      <c r="E74" s="26" t="n">
        <v>14</v>
      </c>
      <c r="F74" s="26" t="n">
        <v>12</v>
      </c>
      <c r="G74" s="27" t="n">
        <f aca="false">IFERROR(F74/E74,0)</f>
        <v>0.857142857142857</v>
      </c>
      <c r="H74" s="12" t="str">
        <f aca="false">IF(E74&lt;=8,"$25",IF(E74&lt;=20,"$30",IF(E74&lt;=199,"$35","$50")))</f>
        <v>$30</v>
      </c>
      <c r="I74" s="12" t="str">
        <f aca="false">IF(E74&lt;=19,"Cal-COBRA","Federal COBRA")</f>
        <v>Cal-COBRA</v>
      </c>
      <c r="J74" s="12" t="s">
        <v>1530</v>
      </c>
      <c r="K74" s="12" t="s">
        <v>1503</v>
      </c>
      <c r="L74" s="12" t="s">
        <v>1662</v>
      </c>
      <c r="M74" s="12" t="s">
        <v>1505</v>
      </c>
      <c r="N74" s="12" t="s">
        <v>1544</v>
      </c>
      <c r="O74" s="12" t="n">
        <v>2</v>
      </c>
      <c r="P74" s="12" t="n">
        <v>1</v>
      </c>
      <c r="Q74" s="12" t="n">
        <v>1</v>
      </c>
      <c r="R74" s="20" t="n">
        <f aca="false">IFERROR(O74/F74*100,0)</f>
        <v>16.6666666666667</v>
      </c>
      <c r="S74" s="24" t="n">
        <f aca="false">F74*'Distribution Targets'!$C$34</f>
        <v>5832</v>
      </c>
      <c r="T74" s="25" t="str">
        <f aca="false">IF(M74="ER",IF(G74&lt;0.7,"BELOW 70% (P-18)",IF(G74&lt;0.75,"Near 70% threshold","OK")),IF(E74&lt;=9,IF(F74&lt;2,"BELOW 2–9 minimum (P-24)",IF(F74=2,"At 2–9 minimum","OK")),IF(F74&lt;5,"BELOW 10–500 minimum (P-23)",IF(F74&lt;7,"Near 10–500 minimum","OK"))))</f>
        <v>OK</v>
      </c>
      <c r="U74" s="25" t="str">
        <f aca="false">IF(O74&gt;=28,"A — anchor",IF(O74&gt;=10,"B — heavy",IF(O74&gt;=4,"C — moderate","D — tail")))</f>
        <v>D — tail</v>
      </c>
      <c r="V74" s="13" t="s">
        <v>1525</v>
      </c>
      <c r="W74" s="13" t="s">
        <v>38</v>
      </c>
      <c r="X74" s="13" t="s">
        <v>38</v>
      </c>
      <c r="Y74" s="13" t="s">
        <v>38</v>
      </c>
      <c r="Z74" s="13" t="s">
        <v>1509</v>
      </c>
    </row>
    <row r="75" customFormat="false" ht="15" hidden="false" customHeight="true" outlineLevel="0" collapsed="false">
      <c r="A75" s="10" t="s">
        <v>1716</v>
      </c>
      <c r="B75" s="10" t="s">
        <v>1717</v>
      </c>
      <c r="C75" s="10" t="s">
        <v>1528</v>
      </c>
      <c r="D75" s="10" t="s">
        <v>1529</v>
      </c>
      <c r="E75" s="22" t="n">
        <v>12</v>
      </c>
      <c r="F75" s="22" t="n">
        <v>7</v>
      </c>
      <c r="G75" s="23" t="n">
        <f aca="false">IFERROR(F75/E75,0)</f>
        <v>0.583333333333333</v>
      </c>
      <c r="H75" s="10" t="str">
        <f aca="false">IF(E75&lt;=8,"$25",IF(E75&lt;=20,"$30",IF(E75&lt;=199,"$35","$50")))</f>
        <v>$30</v>
      </c>
      <c r="I75" s="10" t="str">
        <f aca="false">IF(E75&lt;=19,"Cal-COBRA","Federal COBRA")</f>
        <v>Cal-COBRA</v>
      </c>
      <c r="J75" s="10" t="s">
        <v>1536</v>
      </c>
      <c r="K75" s="10" t="s">
        <v>1537</v>
      </c>
      <c r="L75" s="10" t="s">
        <v>1718</v>
      </c>
      <c r="M75" s="10" t="s">
        <v>1514</v>
      </c>
      <c r="N75" s="10" t="s">
        <v>1506</v>
      </c>
      <c r="O75" s="10" t="n">
        <v>2</v>
      </c>
      <c r="P75" s="10" t="n">
        <v>1</v>
      </c>
      <c r="Q75" s="10" t="n">
        <v>1</v>
      </c>
      <c r="R75" s="19" t="n">
        <f aca="false">IFERROR(O75/F75*100,0)</f>
        <v>28.5714285714286</v>
      </c>
      <c r="S75" s="24" t="n">
        <f aca="false">F75*'Distribution Targets'!$C$34</f>
        <v>3402</v>
      </c>
      <c r="T75" s="25" t="str">
        <f aca="false">IF(M75="ER",IF(G75&lt;0.7,"BELOW 70% (P-18)",IF(G75&lt;0.75,"Near 70% threshold","OK")),IF(E75&lt;=9,IF(F75&lt;2,"BELOW 2–9 minimum (P-24)",IF(F75=2,"At 2–9 minimum","OK")),IF(F75&lt;5,"BELOW 10–500 minimum (P-23)",IF(F75&lt;7,"Near 10–500 minimum","OK"))))</f>
        <v>OK</v>
      </c>
      <c r="U75" s="25" t="str">
        <f aca="false">IF(O75&gt;=28,"A — anchor",IF(O75&gt;=10,"B — heavy",IF(O75&gt;=4,"C — moderate","D — tail")))</f>
        <v>D — tail</v>
      </c>
      <c r="V75" s="11" t="s">
        <v>1525</v>
      </c>
      <c r="W75" s="11" t="s">
        <v>1516</v>
      </c>
      <c r="X75" s="11" t="s">
        <v>38</v>
      </c>
      <c r="Y75" s="11" t="s">
        <v>1271</v>
      </c>
      <c r="Z75" s="11" t="s">
        <v>1509</v>
      </c>
    </row>
    <row r="76" customFormat="false" ht="15" hidden="false" customHeight="true" outlineLevel="0" collapsed="false">
      <c r="A76" s="12" t="s">
        <v>1719</v>
      </c>
      <c r="B76" s="12" t="s">
        <v>1720</v>
      </c>
      <c r="C76" s="12" t="s">
        <v>1557</v>
      </c>
      <c r="D76" s="12" t="s">
        <v>1529</v>
      </c>
      <c r="E76" s="26" t="n">
        <v>10</v>
      </c>
      <c r="F76" s="26" t="n">
        <v>6</v>
      </c>
      <c r="G76" s="27" t="n">
        <f aca="false">IFERROR(F76/E76,0)</f>
        <v>0.6</v>
      </c>
      <c r="H76" s="12" t="str">
        <f aca="false">IF(E76&lt;=8,"$25",IF(E76&lt;=20,"$30",IF(E76&lt;=199,"$35","$50")))</f>
        <v>$30</v>
      </c>
      <c r="I76" s="12" t="str">
        <f aca="false">IF(E76&lt;=19,"Cal-COBRA","Federal COBRA")</f>
        <v>Cal-COBRA</v>
      </c>
      <c r="J76" s="12" t="s">
        <v>1542</v>
      </c>
      <c r="K76" s="12" t="s">
        <v>1522</v>
      </c>
      <c r="L76" s="12" t="s">
        <v>1721</v>
      </c>
      <c r="M76" s="12" t="s">
        <v>1514</v>
      </c>
      <c r="N76" s="12" t="s">
        <v>1524</v>
      </c>
      <c r="O76" s="12" t="n">
        <v>2</v>
      </c>
      <c r="P76" s="12" t="n">
        <v>1</v>
      </c>
      <c r="Q76" s="12" t="n">
        <v>1</v>
      </c>
      <c r="R76" s="20" t="n">
        <f aca="false">IFERROR(O76/F76*100,0)</f>
        <v>33.3333333333333</v>
      </c>
      <c r="S76" s="24" t="n">
        <f aca="false">F76*'Distribution Targets'!$C$34</f>
        <v>2916</v>
      </c>
      <c r="T76" s="25" t="str">
        <f aca="false">IF(M76="ER",IF(G76&lt;0.7,"BELOW 70% (P-18)",IF(G76&lt;0.75,"Near 70% threshold","OK")),IF(E76&lt;=9,IF(F76&lt;2,"BELOW 2–9 minimum (P-24)",IF(F76=2,"At 2–9 minimum","OK")),IF(F76&lt;5,"BELOW 10–500 minimum (P-23)",IF(F76&lt;7,"Near 10–500 minimum","OK"))))</f>
        <v>Near 10–500 minimum</v>
      </c>
      <c r="U76" s="25" t="str">
        <f aca="false">IF(O76&gt;=28,"A — anchor",IF(O76&gt;=10,"B — heavy",IF(O76&gt;=4,"C — moderate","D — tail")))</f>
        <v>D — tail</v>
      </c>
      <c r="V76" s="13" t="s">
        <v>1532</v>
      </c>
      <c r="W76" s="13" t="s">
        <v>1516</v>
      </c>
      <c r="X76" s="13" t="s">
        <v>38</v>
      </c>
      <c r="Y76" s="13" t="s">
        <v>38</v>
      </c>
      <c r="Z76" s="13" t="s">
        <v>1554</v>
      </c>
    </row>
    <row r="77" customFormat="false" ht="15" hidden="false" customHeight="true" outlineLevel="0" collapsed="false">
      <c r="A77" s="10" t="s">
        <v>1722</v>
      </c>
      <c r="B77" s="10" t="s">
        <v>1723</v>
      </c>
      <c r="C77" s="10" t="s">
        <v>1500</v>
      </c>
      <c r="D77" s="10" t="s">
        <v>1501</v>
      </c>
      <c r="E77" s="22" t="n">
        <v>9</v>
      </c>
      <c r="F77" s="22" t="n">
        <v>7</v>
      </c>
      <c r="G77" s="23" t="n">
        <f aca="false">IFERROR(F77/E77,0)</f>
        <v>0.777777777777778</v>
      </c>
      <c r="H77" s="10" t="str">
        <f aca="false">IF(E77&lt;=8,"$25",IF(E77&lt;=20,"$30",IF(E77&lt;=199,"$35","$50")))</f>
        <v>$30</v>
      </c>
      <c r="I77" s="10" t="str">
        <f aca="false">IF(E77&lt;=19,"Cal-COBRA","Federal COBRA")</f>
        <v>Cal-COBRA</v>
      </c>
      <c r="J77" s="10" t="s">
        <v>1502</v>
      </c>
      <c r="K77" s="10" t="s">
        <v>1553</v>
      </c>
      <c r="L77" s="10" t="s">
        <v>1695</v>
      </c>
      <c r="M77" s="10" t="s">
        <v>1505</v>
      </c>
      <c r="N77" s="10" t="s">
        <v>1524</v>
      </c>
      <c r="O77" s="10" t="n">
        <v>2</v>
      </c>
      <c r="P77" s="10" t="n">
        <v>1</v>
      </c>
      <c r="Q77" s="10" t="n">
        <v>1</v>
      </c>
      <c r="R77" s="19" t="n">
        <f aca="false">IFERROR(O77/F77*100,0)</f>
        <v>28.5714285714286</v>
      </c>
      <c r="S77" s="24" t="n">
        <f aca="false">F77*'Distribution Targets'!$C$34</f>
        <v>3402</v>
      </c>
      <c r="T77" s="25" t="str">
        <f aca="false">IF(M77="ER",IF(G77&lt;0.7,"BELOW 70% (P-18)",IF(G77&lt;0.75,"Near 70% threshold","OK")),IF(E77&lt;=9,IF(F77&lt;2,"BELOW 2–9 minimum (P-24)",IF(F77=2,"At 2–9 minimum","OK")),IF(F77&lt;5,"BELOW 10–500 minimum (P-23)",IF(F77&lt;7,"Near 10–500 minimum","OK"))))</f>
        <v>OK</v>
      </c>
      <c r="U77" s="25" t="str">
        <f aca="false">IF(O77&gt;=28,"A — anchor",IF(O77&gt;=10,"B — heavy",IF(O77&gt;=4,"C — moderate","D — tail")))</f>
        <v>D — tail</v>
      </c>
      <c r="V77" s="11" t="s">
        <v>1525</v>
      </c>
      <c r="W77" s="11" t="s">
        <v>1508</v>
      </c>
      <c r="X77" s="11" t="s">
        <v>38</v>
      </c>
      <c r="Y77" s="11" t="s">
        <v>38</v>
      </c>
      <c r="Z77" s="11" t="s">
        <v>1554</v>
      </c>
    </row>
    <row r="78" customFormat="false" ht="15" hidden="false" customHeight="true" outlineLevel="0" collapsed="false">
      <c r="A78" s="12" t="s">
        <v>1724</v>
      </c>
      <c r="B78" s="12" t="s">
        <v>1725</v>
      </c>
      <c r="C78" s="12" t="s">
        <v>1512</v>
      </c>
      <c r="D78" s="12" t="s">
        <v>1501</v>
      </c>
      <c r="E78" s="26" t="n">
        <v>8</v>
      </c>
      <c r="F78" s="26" t="n">
        <v>3</v>
      </c>
      <c r="G78" s="27" t="n">
        <f aca="false">IFERROR(F78/E78,0)</f>
        <v>0.375</v>
      </c>
      <c r="H78" s="12" t="str">
        <f aca="false">IF(E78&lt;=8,"$25",IF(E78&lt;=20,"$30",IF(E78&lt;=199,"$35","$50")))</f>
        <v>$25</v>
      </c>
      <c r="I78" s="12" t="str">
        <f aca="false">IF(E78&lt;=19,"Cal-COBRA","Federal COBRA")</f>
        <v>Cal-COBRA</v>
      </c>
      <c r="J78" s="12" t="s">
        <v>1513</v>
      </c>
      <c r="K78" s="12" t="s">
        <v>1560</v>
      </c>
      <c r="L78" s="12" t="s">
        <v>1698</v>
      </c>
      <c r="M78" s="12" t="s">
        <v>1514</v>
      </c>
      <c r="N78" s="12" t="s">
        <v>1524</v>
      </c>
      <c r="O78" s="12" t="n">
        <v>2</v>
      </c>
      <c r="P78" s="12" t="n">
        <v>1</v>
      </c>
      <c r="Q78" s="12" t="n">
        <v>1</v>
      </c>
      <c r="R78" s="20" t="n">
        <f aca="false">IFERROR(O78/F78*100,0)</f>
        <v>66.6666666666667</v>
      </c>
      <c r="S78" s="24" t="n">
        <f aca="false">F78*'Distribution Targets'!$C$34</f>
        <v>1458</v>
      </c>
      <c r="T78" s="25" t="str">
        <f aca="false">IF(M78="ER",IF(G78&lt;0.7,"BELOW 70% (P-18)",IF(G78&lt;0.75,"Near 70% threshold","OK")),IF(E78&lt;=9,IF(F78&lt;2,"BELOW 2–9 minimum (P-24)",IF(F78=2,"At 2–9 minimum","OK")),IF(F78&lt;5,"BELOW 10–500 minimum (P-23)",IF(F78&lt;7,"Near 10–500 minimum","OK"))))</f>
        <v>OK</v>
      </c>
      <c r="U78" s="25" t="str">
        <f aca="false">IF(O78&gt;=28,"A — anchor",IF(O78&gt;=10,"B — heavy",IF(O78&gt;=4,"C — moderate","D — tail")))</f>
        <v>D — tail</v>
      </c>
      <c r="V78" s="13" t="s">
        <v>1549</v>
      </c>
      <c r="W78" s="13" t="s">
        <v>1516</v>
      </c>
      <c r="X78" s="13" t="s">
        <v>38</v>
      </c>
      <c r="Y78" s="13" t="s">
        <v>38</v>
      </c>
      <c r="Z78" s="13" t="s">
        <v>1554</v>
      </c>
    </row>
    <row r="79" customFormat="false" ht="15" hidden="false" customHeight="true" outlineLevel="0" collapsed="false">
      <c r="A79" s="10" t="s">
        <v>1726</v>
      </c>
      <c r="B79" s="10" t="s">
        <v>1727</v>
      </c>
      <c r="C79" s="10" t="s">
        <v>1541</v>
      </c>
      <c r="D79" s="10" t="s">
        <v>1501</v>
      </c>
      <c r="E79" s="22" t="n">
        <v>8</v>
      </c>
      <c r="F79" s="22" t="n">
        <v>5</v>
      </c>
      <c r="G79" s="23" t="n">
        <f aca="false">IFERROR(F79/E79,0)</f>
        <v>0.625</v>
      </c>
      <c r="H79" s="10" t="str">
        <f aca="false">IF(E79&lt;=8,"$25",IF(E79&lt;=20,"$30",IF(E79&lt;=199,"$35","$50")))</f>
        <v>$25</v>
      </c>
      <c r="I79" s="10" t="str">
        <f aca="false">IF(E79&lt;=19,"Cal-COBRA","Federal COBRA")</f>
        <v>Cal-COBRA</v>
      </c>
      <c r="J79" s="10" t="s">
        <v>1521</v>
      </c>
      <c r="K79" s="10" t="s">
        <v>1563</v>
      </c>
      <c r="L79" s="10" t="s">
        <v>1701</v>
      </c>
      <c r="M79" s="10" t="s">
        <v>1514</v>
      </c>
      <c r="N79" s="10" t="s">
        <v>1567</v>
      </c>
      <c r="O79" s="10" t="n">
        <v>2</v>
      </c>
      <c r="P79" s="10" t="n">
        <v>1</v>
      </c>
      <c r="Q79" s="10" t="n">
        <v>1</v>
      </c>
      <c r="R79" s="19" t="n">
        <f aca="false">IFERROR(O79/F79*100,0)</f>
        <v>40</v>
      </c>
      <c r="S79" s="24" t="n">
        <f aca="false">F79*'Distribution Targets'!$C$34</f>
        <v>2430</v>
      </c>
      <c r="T79" s="25" t="str">
        <f aca="false">IF(M79="ER",IF(G79&lt;0.7,"BELOW 70% (P-18)",IF(G79&lt;0.75,"Near 70% threshold","OK")),IF(E79&lt;=9,IF(F79&lt;2,"BELOW 2–9 minimum (P-24)",IF(F79=2,"At 2–9 minimum","OK")),IF(F79&lt;5,"BELOW 10–500 minimum (P-23)",IF(F79&lt;7,"Near 10–500 minimum","OK"))))</f>
        <v>OK</v>
      </c>
      <c r="U79" s="25" t="str">
        <f aca="false">IF(O79&gt;=28,"A — anchor",IF(O79&gt;=10,"B — heavy",IF(O79&gt;=4,"C — moderate","D — tail")))</f>
        <v>D — tail</v>
      </c>
      <c r="V79" s="11" t="s">
        <v>1507</v>
      </c>
      <c r="W79" s="11" t="s">
        <v>38</v>
      </c>
      <c r="X79" s="11" t="s">
        <v>38</v>
      </c>
      <c r="Y79" s="11" t="s">
        <v>1271</v>
      </c>
      <c r="Z79" s="11" t="s">
        <v>1554</v>
      </c>
    </row>
    <row r="80" customFormat="false" ht="15" hidden="false" customHeight="true" outlineLevel="0" collapsed="false">
      <c r="A80" s="12" t="s">
        <v>1728</v>
      </c>
      <c r="B80" s="12" t="s">
        <v>1729</v>
      </c>
      <c r="C80" s="12" t="s">
        <v>1519</v>
      </c>
      <c r="D80" s="12" t="s">
        <v>1520</v>
      </c>
      <c r="E80" s="26" t="n">
        <v>7</v>
      </c>
      <c r="F80" s="26" t="n">
        <v>5</v>
      </c>
      <c r="G80" s="27" t="n">
        <f aca="false">IFERROR(F80/E80,0)</f>
        <v>0.714285714285714</v>
      </c>
      <c r="H80" s="12" t="str">
        <f aca="false">IF(E80&lt;=8,"$25",IF(E80&lt;=20,"$30",IF(E80&lt;=199,"$35","$50")))</f>
        <v>$25</v>
      </c>
      <c r="I80" s="12" t="str">
        <f aca="false">IF(E80&lt;=19,"Cal-COBRA","Federal COBRA")</f>
        <v>Cal-COBRA</v>
      </c>
      <c r="J80" s="12" t="s">
        <v>1530</v>
      </c>
      <c r="K80" s="12" t="s">
        <v>1570</v>
      </c>
      <c r="L80" s="12" t="s">
        <v>1576</v>
      </c>
      <c r="M80" s="12" t="s">
        <v>1505</v>
      </c>
      <c r="N80" s="12" t="s">
        <v>1564</v>
      </c>
      <c r="O80" s="12" t="n">
        <v>2</v>
      </c>
      <c r="P80" s="12" t="n">
        <v>1</v>
      </c>
      <c r="Q80" s="12" t="n">
        <v>1</v>
      </c>
      <c r="R80" s="20" t="n">
        <f aca="false">IFERROR(O80/F80*100,0)</f>
        <v>40</v>
      </c>
      <c r="S80" s="24" t="n">
        <f aca="false">F80*'Distribution Targets'!$C$34</f>
        <v>2430</v>
      </c>
      <c r="T80" s="25" t="str">
        <f aca="false">IF(M80="ER",IF(G80&lt;0.7,"BELOW 70% (P-18)",IF(G80&lt;0.75,"Near 70% threshold","OK")),IF(E80&lt;=9,IF(F80&lt;2,"BELOW 2–9 minimum (P-24)",IF(F80=2,"At 2–9 minimum","OK")),IF(F80&lt;5,"BELOW 10–500 minimum (P-23)",IF(F80&lt;7,"Near 10–500 minimum","OK"))))</f>
        <v>Near 70% threshold</v>
      </c>
      <c r="U80" s="25" t="str">
        <f aca="false">IF(O80&gt;=28,"A — anchor",IF(O80&gt;=10,"B — heavy",IF(O80&gt;=4,"C — moderate","D — tail")))</f>
        <v>D — tail</v>
      </c>
      <c r="V80" s="13" t="s">
        <v>1549</v>
      </c>
      <c r="W80" s="13" t="s">
        <v>1508</v>
      </c>
      <c r="X80" s="13" t="s">
        <v>1572</v>
      </c>
      <c r="Y80" s="13" t="s">
        <v>1271</v>
      </c>
      <c r="Z80" s="13" t="s">
        <v>1554</v>
      </c>
    </row>
    <row r="81" customFormat="false" ht="15" hidden="false" customHeight="true" outlineLevel="0" collapsed="false">
      <c r="A81" s="10" t="s">
        <v>1730</v>
      </c>
      <c r="B81" s="10" t="s">
        <v>1731</v>
      </c>
      <c r="C81" s="10" t="s">
        <v>1535</v>
      </c>
      <c r="D81" s="10" t="s">
        <v>1520</v>
      </c>
      <c r="E81" s="22" t="n">
        <v>7</v>
      </c>
      <c r="F81" s="22" t="n">
        <v>3</v>
      </c>
      <c r="G81" s="23" t="n">
        <f aca="false">IFERROR(F81/E81,0)</f>
        <v>0.428571428571429</v>
      </c>
      <c r="H81" s="10" t="str">
        <f aca="false">IF(E81&lt;=8,"$25",IF(E81&lt;=20,"$30",IF(E81&lt;=199,"$35","$50")))</f>
        <v>$25</v>
      </c>
      <c r="I81" s="10" t="str">
        <f aca="false">IF(E81&lt;=19,"Cal-COBRA","Federal COBRA")</f>
        <v>Cal-COBRA</v>
      </c>
      <c r="J81" s="10" t="s">
        <v>1536</v>
      </c>
      <c r="K81" s="10" t="s">
        <v>1575</v>
      </c>
      <c r="L81" s="10" t="s">
        <v>1580</v>
      </c>
      <c r="M81" s="10" t="s">
        <v>1514</v>
      </c>
      <c r="N81" s="10" t="s">
        <v>1524</v>
      </c>
      <c r="O81" s="10" t="n">
        <v>2</v>
      </c>
      <c r="P81" s="10" t="n">
        <v>1</v>
      </c>
      <c r="Q81" s="10" t="n">
        <v>1</v>
      </c>
      <c r="R81" s="19" t="n">
        <f aca="false">IFERROR(O81/F81*100,0)</f>
        <v>66.6666666666667</v>
      </c>
      <c r="S81" s="24" t="n">
        <f aca="false">F81*'Distribution Targets'!$C$34</f>
        <v>1458</v>
      </c>
      <c r="T81" s="25" t="str">
        <f aca="false">IF(M81="ER",IF(G81&lt;0.7,"BELOW 70% (P-18)",IF(G81&lt;0.75,"Near 70% threshold","OK")),IF(E81&lt;=9,IF(F81&lt;2,"BELOW 2–9 minimum (P-24)",IF(F81=2,"At 2–9 minimum","OK")),IF(F81&lt;5,"BELOW 10–500 minimum (P-23)",IF(F81&lt;7,"Near 10–500 minimum","OK"))))</f>
        <v>OK</v>
      </c>
      <c r="U81" s="25" t="str">
        <f aca="false">IF(O81&gt;=28,"A — anchor",IF(O81&gt;=10,"B — heavy",IF(O81&gt;=4,"C — moderate","D — tail")))</f>
        <v>D — tail</v>
      </c>
      <c r="V81" s="11" t="s">
        <v>1549</v>
      </c>
      <c r="W81" s="11" t="s">
        <v>1508</v>
      </c>
      <c r="X81" s="11" t="s">
        <v>38</v>
      </c>
      <c r="Y81" s="11" t="s">
        <v>38</v>
      </c>
      <c r="Z81" s="11" t="s">
        <v>1554</v>
      </c>
    </row>
    <row r="82" customFormat="false" ht="15" hidden="false" customHeight="true" outlineLevel="0" collapsed="false">
      <c r="A82" s="12" t="s">
        <v>1732</v>
      </c>
      <c r="B82" s="12" t="s">
        <v>1733</v>
      </c>
      <c r="C82" s="12" t="s">
        <v>1579</v>
      </c>
      <c r="D82" s="12" t="s">
        <v>1520</v>
      </c>
      <c r="E82" s="26" t="n">
        <v>7</v>
      </c>
      <c r="F82" s="26" t="n">
        <v>3</v>
      </c>
      <c r="G82" s="27" t="n">
        <f aca="false">IFERROR(F82/E82,0)</f>
        <v>0.428571428571429</v>
      </c>
      <c r="H82" s="12" t="str">
        <f aca="false">IF(E82&lt;=8,"$25",IF(E82&lt;=20,"$30",IF(E82&lt;=199,"$35","$50")))</f>
        <v>$25</v>
      </c>
      <c r="I82" s="12" t="str">
        <f aca="false">IF(E82&lt;=19,"Cal-COBRA","Federal COBRA")</f>
        <v>Cal-COBRA</v>
      </c>
      <c r="J82" s="12" t="s">
        <v>1542</v>
      </c>
      <c r="K82" s="12" t="s">
        <v>1583</v>
      </c>
      <c r="L82" s="12" t="s">
        <v>1523</v>
      </c>
      <c r="M82" s="12" t="s">
        <v>1514</v>
      </c>
      <c r="N82" s="12" t="s">
        <v>1544</v>
      </c>
      <c r="O82" s="12" t="n">
        <v>2</v>
      </c>
      <c r="P82" s="12" t="n">
        <v>1</v>
      </c>
      <c r="Q82" s="12" t="n">
        <v>1</v>
      </c>
      <c r="R82" s="20" t="n">
        <f aca="false">IFERROR(O82/F82*100,0)</f>
        <v>66.6666666666667</v>
      </c>
      <c r="S82" s="24" t="n">
        <f aca="false">F82*'Distribution Targets'!$C$34</f>
        <v>1458</v>
      </c>
      <c r="T82" s="25" t="str">
        <f aca="false">IF(M82="ER",IF(G82&lt;0.7,"BELOW 70% (P-18)",IF(G82&lt;0.75,"Near 70% threshold","OK")),IF(E82&lt;=9,IF(F82&lt;2,"BELOW 2–9 minimum (P-24)",IF(F82=2,"At 2–9 minimum","OK")),IF(F82&lt;5,"BELOW 10–500 minimum (P-23)",IF(F82&lt;7,"Near 10–500 minimum","OK"))))</f>
        <v>OK</v>
      </c>
      <c r="U82" s="25" t="str">
        <f aca="false">IF(O82&gt;=28,"A — anchor",IF(O82&gt;=10,"B — heavy",IF(O82&gt;=4,"C — moderate","D — tail")))</f>
        <v>D — tail</v>
      </c>
      <c r="V82" s="13" t="s">
        <v>1515</v>
      </c>
      <c r="W82" s="13" t="s">
        <v>38</v>
      </c>
      <c r="X82" s="13" t="s">
        <v>38</v>
      </c>
      <c r="Y82" s="13" t="s">
        <v>38</v>
      </c>
      <c r="Z82" s="13" t="s">
        <v>1509</v>
      </c>
    </row>
    <row r="83" customFormat="false" ht="15" hidden="false" customHeight="true" outlineLevel="0" collapsed="false">
      <c r="A83" s="10" t="s">
        <v>1734</v>
      </c>
      <c r="B83" s="10" t="s">
        <v>1735</v>
      </c>
      <c r="C83" s="10" t="s">
        <v>1547</v>
      </c>
      <c r="D83" s="10" t="s">
        <v>1520</v>
      </c>
      <c r="E83" s="22" t="n">
        <v>6</v>
      </c>
      <c r="F83" s="22" t="n">
        <v>5</v>
      </c>
      <c r="G83" s="23" t="n">
        <f aca="false">IFERROR(F83/E83,0)</f>
        <v>0.833333333333333</v>
      </c>
      <c r="H83" s="10" t="str">
        <f aca="false">IF(E83&lt;=8,"$25",IF(E83&lt;=20,"$30",IF(E83&lt;=199,"$35","$50")))</f>
        <v>$25</v>
      </c>
      <c r="I83" s="10" t="str">
        <f aca="false">IF(E83&lt;=19,"Cal-COBRA","Federal COBRA")</f>
        <v>Cal-COBRA</v>
      </c>
      <c r="J83" s="10" t="s">
        <v>1502</v>
      </c>
      <c r="K83" s="10" t="s">
        <v>1587</v>
      </c>
      <c r="L83" s="10" t="s">
        <v>1588</v>
      </c>
      <c r="M83" s="10" t="s">
        <v>1505</v>
      </c>
      <c r="N83" s="10" t="s">
        <v>1571</v>
      </c>
      <c r="O83" s="10" t="n">
        <v>2</v>
      </c>
      <c r="P83" s="10" t="n">
        <v>1</v>
      </c>
      <c r="Q83" s="10" t="n">
        <v>1</v>
      </c>
      <c r="R83" s="19" t="n">
        <f aca="false">IFERROR(O83/F83*100,0)</f>
        <v>40</v>
      </c>
      <c r="S83" s="24" t="n">
        <f aca="false">F83*'Distribution Targets'!$C$34</f>
        <v>2430</v>
      </c>
      <c r="T83" s="25" t="str">
        <f aca="false">IF(M83="ER",IF(G83&lt;0.7,"BELOW 70% (P-18)",IF(G83&lt;0.75,"Near 70% threshold","OK")),IF(E83&lt;=9,IF(F83&lt;2,"BELOW 2–9 minimum (P-24)",IF(F83=2,"At 2–9 minimum","OK")),IF(F83&lt;5,"BELOW 10–500 minimum (P-23)",IF(F83&lt;7,"Near 10–500 minimum","OK"))))</f>
        <v>OK</v>
      </c>
      <c r="U83" s="25" t="str">
        <f aca="false">IF(O83&gt;=28,"A — anchor",IF(O83&gt;=10,"B — heavy",IF(O83&gt;=4,"C — moderate","D — tail")))</f>
        <v>D — tail</v>
      </c>
      <c r="V83" s="11" t="s">
        <v>1549</v>
      </c>
      <c r="W83" s="11" t="s">
        <v>1516</v>
      </c>
      <c r="X83" s="11" t="s">
        <v>1550</v>
      </c>
      <c r="Y83" s="11" t="s">
        <v>38</v>
      </c>
      <c r="Z83" s="11" t="s">
        <v>1554</v>
      </c>
    </row>
    <row r="84" customFormat="false" ht="15" hidden="false" customHeight="true" outlineLevel="0" collapsed="false">
      <c r="A84" s="12" t="s">
        <v>1736</v>
      </c>
      <c r="B84" s="12" t="s">
        <v>1737</v>
      </c>
      <c r="C84" s="12" t="s">
        <v>1528</v>
      </c>
      <c r="D84" s="12" t="s">
        <v>1529</v>
      </c>
      <c r="E84" s="26" t="n">
        <v>6</v>
      </c>
      <c r="F84" s="26" t="n">
        <v>3</v>
      </c>
      <c r="G84" s="27" t="n">
        <f aca="false">IFERROR(F84/E84,0)</f>
        <v>0.5</v>
      </c>
      <c r="H84" s="12" t="str">
        <f aca="false">IF(E84&lt;=8,"$25",IF(E84&lt;=20,"$30",IF(E84&lt;=199,"$35","$50")))</f>
        <v>$25</v>
      </c>
      <c r="I84" s="12" t="str">
        <f aca="false">IF(E84&lt;=19,"Cal-COBRA","Federal COBRA")</f>
        <v>Cal-COBRA</v>
      </c>
      <c r="J84" s="12" t="s">
        <v>1513</v>
      </c>
      <c r="K84" s="12" t="s">
        <v>1594</v>
      </c>
      <c r="L84" s="12" t="s">
        <v>1627</v>
      </c>
      <c r="M84" s="12" t="s">
        <v>1514</v>
      </c>
      <c r="N84" s="12" t="s">
        <v>1506</v>
      </c>
      <c r="O84" s="12" t="n">
        <v>2</v>
      </c>
      <c r="P84" s="12" t="n">
        <v>1</v>
      </c>
      <c r="Q84" s="12" t="n">
        <v>1</v>
      </c>
      <c r="R84" s="20" t="n">
        <f aca="false">IFERROR(O84/F84*100,0)</f>
        <v>66.6666666666667</v>
      </c>
      <c r="S84" s="24" t="n">
        <f aca="false">F84*'Distribution Targets'!$C$34</f>
        <v>1458</v>
      </c>
      <c r="T84" s="25" t="str">
        <f aca="false">IF(M84="ER",IF(G84&lt;0.7,"BELOW 70% (P-18)",IF(G84&lt;0.75,"Near 70% threshold","OK")),IF(E84&lt;=9,IF(F84&lt;2,"BELOW 2–9 minimum (P-24)",IF(F84=2,"At 2–9 minimum","OK")),IF(F84&lt;5,"BELOW 10–500 minimum (P-23)",IF(F84&lt;7,"Near 10–500 minimum","OK"))))</f>
        <v>OK</v>
      </c>
      <c r="U84" s="25" t="str">
        <f aca="false">IF(O84&gt;=28,"A — anchor",IF(O84&gt;=10,"B — heavy",IF(O84&gt;=4,"C — moderate","D — tail")))</f>
        <v>D — tail</v>
      </c>
      <c r="V84" s="13" t="s">
        <v>1515</v>
      </c>
      <c r="W84" s="13" t="s">
        <v>1516</v>
      </c>
      <c r="X84" s="13" t="s">
        <v>38</v>
      </c>
      <c r="Y84" s="13" t="s">
        <v>1271</v>
      </c>
      <c r="Z84" s="13" t="s">
        <v>1509</v>
      </c>
    </row>
    <row r="85" customFormat="false" ht="15" hidden="false" customHeight="true" outlineLevel="0" collapsed="false">
      <c r="A85" s="10" t="s">
        <v>1738</v>
      </c>
      <c r="B85" s="10" t="s">
        <v>1739</v>
      </c>
      <c r="C85" s="10" t="s">
        <v>1557</v>
      </c>
      <c r="D85" s="10" t="s">
        <v>1529</v>
      </c>
      <c r="E85" s="22" t="n">
        <v>6</v>
      </c>
      <c r="F85" s="22" t="n">
        <v>4</v>
      </c>
      <c r="G85" s="23" t="n">
        <f aca="false">IFERROR(F85/E85,0)</f>
        <v>0.666666666666667</v>
      </c>
      <c r="H85" s="10" t="str">
        <f aca="false">IF(E85&lt;=8,"$25",IF(E85&lt;=20,"$30",IF(E85&lt;=199,"$35","$50")))</f>
        <v>$25</v>
      </c>
      <c r="I85" s="10" t="str">
        <f aca="false">IF(E85&lt;=19,"Cal-COBRA","Federal COBRA")</f>
        <v>Cal-COBRA</v>
      </c>
      <c r="J85" s="10" t="s">
        <v>1521</v>
      </c>
      <c r="K85" s="10" t="s">
        <v>1598</v>
      </c>
      <c r="L85" s="10" t="s">
        <v>1630</v>
      </c>
      <c r="M85" s="10" t="s">
        <v>1514</v>
      </c>
      <c r="N85" s="10" t="s">
        <v>1567</v>
      </c>
      <c r="O85" s="10" t="n">
        <v>2</v>
      </c>
      <c r="P85" s="10" t="n">
        <v>1</v>
      </c>
      <c r="Q85" s="10" t="n">
        <v>1</v>
      </c>
      <c r="R85" s="19" t="n">
        <f aca="false">IFERROR(O85/F85*100,0)</f>
        <v>50</v>
      </c>
      <c r="S85" s="24" t="n">
        <f aca="false">F85*'Distribution Targets'!$C$34</f>
        <v>1944</v>
      </c>
      <c r="T85" s="25" t="str">
        <f aca="false">IF(M85="ER",IF(G85&lt;0.7,"BELOW 70% (P-18)",IF(G85&lt;0.75,"Near 70% threshold","OK")),IF(E85&lt;=9,IF(F85&lt;2,"BELOW 2–9 minimum (P-24)",IF(F85=2,"At 2–9 minimum","OK")),IF(F85&lt;5,"BELOW 10–500 minimum (P-23)",IF(F85&lt;7,"Near 10–500 minimum","OK"))))</f>
        <v>OK</v>
      </c>
      <c r="U85" s="25" t="str">
        <f aca="false">IF(O85&gt;=28,"A — anchor",IF(O85&gt;=10,"B — heavy",IF(O85&gt;=4,"C — moderate","D — tail")))</f>
        <v>D — tail</v>
      </c>
      <c r="V85" s="11" t="s">
        <v>1525</v>
      </c>
      <c r="W85" s="11" t="s">
        <v>38</v>
      </c>
      <c r="X85" s="11" t="s">
        <v>38</v>
      </c>
      <c r="Y85" s="11" t="s">
        <v>1271</v>
      </c>
      <c r="Z85" s="11" t="s">
        <v>1554</v>
      </c>
    </row>
    <row r="86" customFormat="false" ht="15" hidden="false" customHeight="true" outlineLevel="0" collapsed="false">
      <c r="A86" s="12" t="s">
        <v>1740</v>
      </c>
      <c r="B86" s="12" t="s">
        <v>1741</v>
      </c>
      <c r="C86" s="12" t="s">
        <v>1500</v>
      </c>
      <c r="D86" s="12" t="s">
        <v>1501</v>
      </c>
      <c r="E86" s="26" t="n">
        <v>5</v>
      </c>
      <c r="F86" s="26" t="n">
        <v>4</v>
      </c>
      <c r="G86" s="27" t="n">
        <f aca="false">IFERROR(F86/E86,0)</f>
        <v>0.8</v>
      </c>
      <c r="H86" s="12" t="str">
        <f aca="false">IF(E86&lt;=8,"$25",IF(E86&lt;=20,"$30",IF(E86&lt;=199,"$35","$50")))</f>
        <v>$25</v>
      </c>
      <c r="I86" s="12" t="str">
        <f aca="false">IF(E86&lt;=19,"Cal-COBRA","Federal COBRA")</f>
        <v>Cal-COBRA</v>
      </c>
      <c r="J86" s="12" t="s">
        <v>1530</v>
      </c>
      <c r="K86" s="12" t="s">
        <v>1503</v>
      </c>
      <c r="L86" s="12" t="s">
        <v>1633</v>
      </c>
      <c r="M86" s="12" t="s">
        <v>1505</v>
      </c>
      <c r="N86" s="12" t="s">
        <v>1524</v>
      </c>
      <c r="O86" s="12" t="n">
        <v>2</v>
      </c>
      <c r="P86" s="12" t="n">
        <v>1</v>
      </c>
      <c r="Q86" s="12" t="n">
        <v>1</v>
      </c>
      <c r="R86" s="20" t="n">
        <f aca="false">IFERROR(O86/F86*100,0)</f>
        <v>50</v>
      </c>
      <c r="S86" s="24" t="n">
        <f aca="false">F86*'Distribution Targets'!$C$34</f>
        <v>1944</v>
      </c>
      <c r="T86" s="25" t="str">
        <f aca="false">IF(M86="ER",IF(G86&lt;0.7,"BELOW 70% (P-18)",IF(G86&lt;0.75,"Near 70% threshold","OK")),IF(E86&lt;=9,IF(F86&lt;2,"BELOW 2–9 minimum (P-24)",IF(F86=2,"At 2–9 minimum","OK")),IF(F86&lt;5,"BELOW 10–500 minimum (P-23)",IF(F86&lt;7,"Near 10–500 minimum","OK"))))</f>
        <v>OK</v>
      </c>
      <c r="U86" s="25" t="str">
        <f aca="false">IF(O86&gt;=28,"A — anchor",IF(O86&gt;=10,"B — heavy",IF(O86&gt;=4,"C — moderate","D — tail")))</f>
        <v>D — tail</v>
      </c>
      <c r="V86" s="13" t="s">
        <v>1507</v>
      </c>
      <c r="W86" s="13" t="s">
        <v>1516</v>
      </c>
      <c r="X86" s="13" t="s">
        <v>38</v>
      </c>
      <c r="Y86" s="13" t="s">
        <v>38</v>
      </c>
      <c r="Z86" s="13" t="s">
        <v>1554</v>
      </c>
    </row>
    <row r="87" customFormat="false" ht="15" hidden="false" customHeight="true" outlineLevel="0" collapsed="false">
      <c r="A87" s="10" t="s">
        <v>1742</v>
      </c>
      <c r="B87" s="10" t="s">
        <v>1743</v>
      </c>
      <c r="C87" s="10" t="s">
        <v>1512</v>
      </c>
      <c r="D87" s="10" t="s">
        <v>1501</v>
      </c>
      <c r="E87" s="22" t="n">
        <v>5</v>
      </c>
      <c r="F87" s="22" t="n">
        <v>3</v>
      </c>
      <c r="G87" s="23" t="n">
        <f aca="false">IFERROR(F87/E87,0)</f>
        <v>0.6</v>
      </c>
      <c r="H87" s="10" t="str">
        <f aca="false">IF(E87&lt;=8,"$25",IF(E87&lt;=20,"$30",IF(E87&lt;=199,"$35","$50")))</f>
        <v>$25</v>
      </c>
      <c r="I87" s="10" t="str">
        <f aca="false">IF(E87&lt;=19,"Cal-COBRA","Federal COBRA")</f>
        <v>Cal-COBRA</v>
      </c>
      <c r="J87" s="10" t="s">
        <v>1536</v>
      </c>
      <c r="K87" s="10" t="s">
        <v>1537</v>
      </c>
      <c r="L87" s="10" t="s">
        <v>1636</v>
      </c>
      <c r="M87" s="10" t="s">
        <v>1514</v>
      </c>
      <c r="N87" s="10" t="s">
        <v>1524</v>
      </c>
      <c r="O87" s="10" t="n">
        <v>2</v>
      </c>
      <c r="P87" s="10" t="n">
        <v>1</v>
      </c>
      <c r="Q87" s="10" t="n">
        <v>1</v>
      </c>
      <c r="R87" s="19" t="n">
        <f aca="false">IFERROR(O87/F87*100,0)</f>
        <v>66.6666666666667</v>
      </c>
      <c r="S87" s="24" t="n">
        <f aca="false">F87*'Distribution Targets'!$C$34</f>
        <v>1458</v>
      </c>
      <c r="T87" s="25" t="str">
        <f aca="false">IF(M87="ER",IF(G87&lt;0.7,"BELOW 70% (P-18)",IF(G87&lt;0.75,"Near 70% threshold","OK")),IF(E87&lt;=9,IF(F87&lt;2,"BELOW 2–9 minimum (P-24)",IF(F87=2,"At 2–9 minimum","OK")),IF(F87&lt;5,"BELOW 10–500 minimum (P-23)",IF(F87&lt;7,"Near 10–500 minimum","OK"))))</f>
        <v>OK</v>
      </c>
      <c r="U87" s="25" t="str">
        <f aca="false">IF(O87&gt;=28,"A — anchor",IF(O87&gt;=10,"B — heavy",IF(O87&gt;=4,"C — moderate","D — tail")))</f>
        <v>D — tail</v>
      </c>
      <c r="V87" s="11" t="s">
        <v>1507</v>
      </c>
      <c r="W87" s="11" t="s">
        <v>1508</v>
      </c>
      <c r="X87" s="11" t="s">
        <v>38</v>
      </c>
      <c r="Y87" s="11" t="s">
        <v>38</v>
      </c>
      <c r="Z87" s="11" t="s">
        <v>1554</v>
      </c>
    </row>
    <row r="88" customFormat="false" ht="15" hidden="false" customHeight="true" outlineLevel="0" collapsed="false">
      <c r="A88" s="12" t="s">
        <v>1744</v>
      </c>
      <c r="B88" s="12" t="s">
        <v>1745</v>
      </c>
      <c r="C88" s="12" t="s">
        <v>1541</v>
      </c>
      <c r="D88" s="12" t="s">
        <v>1501</v>
      </c>
      <c r="E88" s="26" t="n">
        <v>5</v>
      </c>
      <c r="F88" s="26" t="n">
        <v>3</v>
      </c>
      <c r="G88" s="27" t="n">
        <f aca="false">IFERROR(F88/E88,0)</f>
        <v>0.6</v>
      </c>
      <c r="H88" s="12" t="str">
        <f aca="false">IF(E88&lt;=8,"$25",IF(E88&lt;=20,"$30",IF(E88&lt;=199,"$35","$50")))</f>
        <v>$25</v>
      </c>
      <c r="I88" s="12" t="str">
        <f aca="false">IF(E88&lt;=19,"Cal-COBRA","Federal COBRA")</f>
        <v>Cal-COBRA</v>
      </c>
      <c r="J88" s="12" t="s">
        <v>1542</v>
      </c>
      <c r="K88" s="12" t="s">
        <v>1522</v>
      </c>
      <c r="L88" s="12" t="s">
        <v>1639</v>
      </c>
      <c r="M88" s="12" t="s">
        <v>1514</v>
      </c>
      <c r="N88" s="12" t="s">
        <v>1524</v>
      </c>
      <c r="O88" s="12" t="n">
        <v>2</v>
      </c>
      <c r="P88" s="12" t="n">
        <v>1</v>
      </c>
      <c r="Q88" s="12" t="n">
        <v>1</v>
      </c>
      <c r="R88" s="20" t="n">
        <f aca="false">IFERROR(O88/F88*100,0)</f>
        <v>66.6666666666667</v>
      </c>
      <c r="S88" s="24" t="n">
        <f aca="false">F88*'Distribution Targets'!$C$34</f>
        <v>1458</v>
      </c>
      <c r="T88" s="25" t="str">
        <f aca="false">IF(M88="ER",IF(G88&lt;0.7,"BELOW 70% (P-18)",IF(G88&lt;0.75,"Near 70% threshold","OK")),IF(E88&lt;=9,IF(F88&lt;2,"BELOW 2–9 minimum (P-24)",IF(F88=2,"At 2–9 minimum","OK")),IF(F88&lt;5,"BELOW 10–500 minimum (P-23)",IF(F88&lt;7,"Near 10–500 minimum","OK"))))</f>
        <v>OK</v>
      </c>
      <c r="U88" s="25" t="str">
        <f aca="false">IF(O88&gt;=28,"A — anchor",IF(O88&gt;=10,"B — heavy",IF(O88&gt;=4,"C — moderate","D — tail")))</f>
        <v>D — tail</v>
      </c>
      <c r="V88" s="13" t="s">
        <v>1525</v>
      </c>
      <c r="W88" s="13" t="s">
        <v>1508</v>
      </c>
      <c r="X88" s="13" t="s">
        <v>38</v>
      </c>
      <c r="Y88" s="13" t="s">
        <v>38</v>
      </c>
      <c r="Z88" s="13" t="s">
        <v>1554</v>
      </c>
    </row>
    <row r="89" customFormat="false" ht="15" hidden="false" customHeight="true" outlineLevel="0" collapsed="false">
      <c r="A89" s="10" t="s">
        <v>1746</v>
      </c>
      <c r="B89" s="10" t="s">
        <v>1747</v>
      </c>
      <c r="C89" s="10" t="s">
        <v>1519</v>
      </c>
      <c r="D89" s="10" t="s">
        <v>1520</v>
      </c>
      <c r="E89" s="22" t="n">
        <v>4</v>
      </c>
      <c r="F89" s="22" t="n">
        <v>3</v>
      </c>
      <c r="G89" s="23" t="n">
        <f aca="false">IFERROR(F89/E89,0)</f>
        <v>0.75</v>
      </c>
      <c r="H89" s="10" t="str">
        <f aca="false">IF(E89&lt;=8,"$25",IF(E89&lt;=20,"$30",IF(E89&lt;=199,"$35","$50")))</f>
        <v>$25</v>
      </c>
      <c r="I89" s="10" t="str">
        <f aca="false">IF(E89&lt;=19,"Cal-COBRA","Federal COBRA")</f>
        <v>Cal-COBRA</v>
      </c>
      <c r="J89" s="10" t="s">
        <v>1502</v>
      </c>
      <c r="K89" s="10" t="s">
        <v>1553</v>
      </c>
      <c r="L89" s="10" t="s">
        <v>1591</v>
      </c>
      <c r="M89" s="10" t="s">
        <v>1505</v>
      </c>
      <c r="N89" s="10" t="s">
        <v>1567</v>
      </c>
      <c r="O89" s="10" t="n">
        <v>2</v>
      </c>
      <c r="P89" s="10" t="n">
        <v>1</v>
      </c>
      <c r="Q89" s="10" t="n">
        <v>1</v>
      </c>
      <c r="R89" s="19" t="n">
        <f aca="false">IFERROR(O89/F89*100,0)</f>
        <v>66.6666666666667</v>
      </c>
      <c r="S89" s="24" t="n">
        <f aca="false">F89*'Distribution Targets'!$C$34</f>
        <v>1458</v>
      </c>
      <c r="T89" s="25" t="str">
        <f aca="false">IF(M89="ER",IF(G89&lt;0.7,"BELOW 70% (P-18)",IF(G89&lt;0.75,"Near 70% threshold","OK")),IF(E89&lt;=9,IF(F89&lt;2,"BELOW 2–9 minimum (P-24)",IF(F89=2,"At 2–9 minimum","OK")),IF(F89&lt;5,"BELOW 10–500 minimum (P-23)",IF(F89&lt;7,"Near 10–500 minimum","OK"))))</f>
        <v>OK</v>
      </c>
      <c r="U89" s="25" t="str">
        <f aca="false">IF(O89&gt;=28,"A — anchor",IF(O89&gt;=10,"B — heavy",IF(O89&gt;=4,"C — moderate","D — tail")))</f>
        <v>D — tail</v>
      </c>
      <c r="V89" s="11" t="s">
        <v>1525</v>
      </c>
      <c r="W89" s="11" t="s">
        <v>38</v>
      </c>
      <c r="X89" s="11" t="s">
        <v>38</v>
      </c>
      <c r="Y89" s="11" t="s">
        <v>1271</v>
      </c>
      <c r="Z89" s="11" t="s">
        <v>1554</v>
      </c>
    </row>
    <row r="90" customFormat="false" ht="15" hidden="false" customHeight="true" outlineLevel="0" collapsed="false">
      <c r="A90" s="12" t="s">
        <v>1748</v>
      </c>
      <c r="B90" s="12" t="s">
        <v>1749</v>
      </c>
      <c r="C90" s="12" t="s">
        <v>1535</v>
      </c>
      <c r="D90" s="12" t="s">
        <v>1520</v>
      </c>
      <c r="E90" s="26" t="n">
        <v>4</v>
      </c>
      <c r="F90" s="26" t="n">
        <v>3</v>
      </c>
      <c r="G90" s="27" t="n">
        <f aca="false">IFERROR(F90/E90,0)</f>
        <v>0.75</v>
      </c>
      <c r="H90" s="12" t="str">
        <f aca="false">IF(E90&lt;=8,"$25",IF(E90&lt;=20,"$30",IF(E90&lt;=199,"$35","$50")))</f>
        <v>$25</v>
      </c>
      <c r="I90" s="12" t="str">
        <f aca="false">IF(E90&lt;=19,"Cal-COBRA","Federal COBRA")</f>
        <v>Cal-COBRA</v>
      </c>
      <c r="J90" s="12" t="s">
        <v>1513</v>
      </c>
      <c r="K90" s="12" t="s">
        <v>1560</v>
      </c>
      <c r="L90" s="12" t="s">
        <v>1595</v>
      </c>
      <c r="M90" s="12" t="s">
        <v>1514</v>
      </c>
      <c r="N90" s="12" t="s">
        <v>1544</v>
      </c>
      <c r="O90" s="12" t="n">
        <v>2</v>
      </c>
      <c r="P90" s="12" t="n">
        <v>1</v>
      </c>
      <c r="Q90" s="12" t="n">
        <v>1</v>
      </c>
      <c r="R90" s="20" t="n">
        <f aca="false">IFERROR(O90/F90*100,0)</f>
        <v>66.6666666666667</v>
      </c>
      <c r="S90" s="24" t="n">
        <f aca="false">F90*'Distribution Targets'!$C$34</f>
        <v>1458</v>
      </c>
      <c r="T90" s="25" t="str">
        <f aca="false">IF(M90="ER",IF(G90&lt;0.7,"BELOW 70% (P-18)",IF(G90&lt;0.75,"Near 70% threshold","OK")),IF(E90&lt;=9,IF(F90&lt;2,"BELOW 2–9 minimum (P-24)",IF(F90=2,"At 2–9 minimum","OK")),IF(F90&lt;5,"BELOW 10–500 minimum (P-23)",IF(F90&lt;7,"Near 10–500 minimum","OK"))))</f>
        <v>OK</v>
      </c>
      <c r="U90" s="25" t="str">
        <f aca="false">IF(O90&gt;=28,"A — anchor",IF(O90&gt;=10,"B — heavy",IF(O90&gt;=4,"C — moderate","D — tail")))</f>
        <v>D — tail</v>
      </c>
      <c r="V90" s="13" t="s">
        <v>1515</v>
      </c>
      <c r="W90" s="13" t="s">
        <v>38</v>
      </c>
      <c r="X90" s="13" t="s">
        <v>38</v>
      </c>
      <c r="Y90" s="13" t="s">
        <v>38</v>
      </c>
      <c r="Z90" s="13" t="s">
        <v>1554</v>
      </c>
    </row>
    <row r="91" customFormat="false" ht="15" hidden="false" customHeight="true" outlineLevel="0" collapsed="false">
      <c r="A91" s="10" t="s">
        <v>1750</v>
      </c>
      <c r="B91" s="10" t="s">
        <v>1751</v>
      </c>
      <c r="C91" s="10" t="s">
        <v>1579</v>
      </c>
      <c r="D91" s="10" t="s">
        <v>1520</v>
      </c>
      <c r="E91" s="22" t="n">
        <v>4</v>
      </c>
      <c r="F91" s="22" t="n">
        <v>3</v>
      </c>
      <c r="G91" s="23" t="n">
        <f aca="false">IFERROR(F91/E91,0)</f>
        <v>0.75</v>
      </c>
      <c r="H91" s="10" t="str">
        <f aca="false">IF(E91&lt;=8,"$25",IF(E91&lt;=20,"$30",IF(E91&lt;=199,"$35","$50")))</f>
        <v>$25</v>
      </c>
      <c r="I91" s="10" t="str">
        <f aca="false">IF(E91&lt;=19,"Cal-COBRA","Federal COBRA")</f>
        <v>Cal-COBRA</v>
      </c>
      <c r="J91" s="10" t="s">
        <v>1521</v>
      </c>
      <c r="K91" s="10" t="s">
        <v>1563</v>
      </c>
      <c r="L91" s="10" t="s">
        <v>1531</v>
      </c>
      <c r="M91" s="10" t="s">
        <v>1514</v>
      </c>
      <c r="N91" s="10" t="s">
        <v>1506</v>
      </c>
      <c r="O91" s="10" t="n">
        <v>2</v>
      </c>
      <c r="P91" s="10" t="n">
        <v>1</v>
      </c>
      <c r="Q91" s="10" t="n">
        <v>1</v>
      </c>
      <c r="R91" s="19" t="n">
        <f aca="false">IFERROR(O91/F91*100,0)</f>
        <v>66.6666666666667</v>
      </c>
      <c r="S91" s="24" t="n">
        <f aca="false">F91*'Distribution Targets'!$C$34</f>
        <v>1458</v>
      </c>
      <c r="T91" s="25" t="str">
        <f aca="false">IF(M91="ER",IF(G91&lt;0.7,"BELOW 70% (P-18)",IF(G91&lt;0.75,"Near 70% threshold","OK")),IF(E91&lt;=9,IF(F91&lt;2,"BELOW 2–9 minimum (P-24)",IF(F91=2,"At 2–9 minimum","OK")),IF(F91&lt;5,"BELOW 10–500 minimum (P-23)",IF(F91&lt;7,"Near 10–500 minimum","OK"))))</f>
        <v>OK</v>
      </c>
      <c r="U91" s="25" t="str">
        <f aca="false">IF(O91&gt;=28,"A — anchor",IF(O91&gt;=10,"B — heavy",IF(O91&gt;=4,"C — moderate","D — tail")))</f>
        <v>D — tail</v>
      </c>
      <c r="V91" s="11" t="s">
        <v>1515</v>
      </c>
      <c r="W91" s="11" t="s">
        <v>1508</v>
      </c>
      <c r="X91" s="11" t="s">
        <v>38</v>
      </c>
      <c r="Y91" s="11" t="s">
        <v>1271</v>
      </c>
      <c r="Z91" s="11" t="s">
        <v>1554</v>
      </c>
    </row>
    <row r="92" customFormat="false" ht="15" hidden="false" customHeight="true" outlineLevel="0" collapsed="false">
      <c r="A92" s="12" t="s">
        <v>1752</v>
      </c>
      <c r="B92" s="12" t="s">
        <v>1753</v>
      </c>
      <c r="C92" s="12" t="s">
        <v>1547</v>
      </c>
      <c r="D92" s="12" t="s">
        <v>1520</v>
      </c>
      <c r="E92" s="26" t="n">
        <v>3</v>
      </c>
      <c r="F92" s="26" t="n">
        <v>3</v>
      </c>
      <c r="G92" s="27" t="n">
        <f aca="false">IFERROR(F92/E92,0)</f>
        <v>1</v>
      </c>
      <c r="H92" s="12" t="str">
        <f aca="false">IF(E92&lt;=8,"$25",IF(E92&lt;=20,"$30",IF(E92&lt;=199,"$35","$50")))</f>
        <v>$25</v>
      </c>
      <c r="I92" s="12" t="str">
        <f aca="false">IF(E92&lt;=19,"Cal-COBRA","Federal COBRA")</f>
        <v>Cal-COBRA</v>
      </c>
      <c r="J92" s="12" t="s">
        <v>1530</v>
      </c>
      <c r="K92" s="12" t="s">
        <v>1570</v>
      </c>
      <c r="L92" s="12" t="s">
        <v>1618</v>
      </c>
      <c r="M92" s="12" t="s">
        <v>1505</v>
      </c>
      <c r="N92" s="12" t="s">
        <v>1571</v>
      </c>
      <c r="O92" s="12" t="n">
        <v>2</v>
      </c>
      <c r="P92" s="12" t="n">
        <v>1</v>
      </c>
      <c r="Q92" s="12" t="n">
        <v>1</v>
      </c>
      <c r="R92" s="20" t="n">
        <f aca="false">IFERROR(O92/F92*100,0)</f>
        <v>66.6666666666667</v>
      </c>
      <c r="S92" s="24" t="n">
        <f aca="false">F92*'Distribution Targets'!$C$34</f>
        <v>1458</v>
      </c>
      <c r="T92" s="25" t="str">
        <f aca="false">IF(M92="ER",IF(G92&lt;0.7,"BELOW 70% (P-18)",IF(G92&lt;0.75,"Near 70% threshold","OK")),IF(E92&lt;=9,IF(F92&lt;2,"BELOW 2–9 minimum (P-24)",IF(F92=2,"At 2–9 minimum","OK")),IF(F92&lt;5,"BELOW 10–500 minimum (P-23)",IF(F92&lt;7,"Near 10–500 minimum","OK"))))</f>
        <v>OK</v>
      </c>
      <c r="U92" s="25" t="str">
        <f aca="false">IF(O92&gt;=28,"A — anchor",IF(O92&gt;=10,"B — heavy",IF(O92&gt;=4,"C — moderate","D — tail")))</f>
        <v>D — tail</v>
      </c>
      <c r="V92" s="13" t="s">
        <v>1525</v>
      </c>
      <c r="W92" s="13" t="s">
        <v>1516</v>
      </c>
      <c r="X92" s="13" t="s">
        <v>1572</v>
      </c>
      <c r="Y92" s="13" t="s">
        <v>38</v>
      </c>
      <c r="Z92" s="13" t="s">
        <v>1554</v>
      </c>
    </row>
    <row r="93" customFormat="false" ht="15" hidden="false" customHeight="true" outlineLevel="0" collapsed="false">
      <c r="A93" s="10" t="s">
        <v>1754</v>
      </c>
      <c r="B93" s="10" t="s">
        <v>1755</v>
      </c>
      <c r="C93" s="10" t="s">
        <v>1528</v>
      </c>
      <c r="D93" s="10" t="s">
        <v>1529</v>
      </c>
      <c r="E93" s="22" t="n">
        <v>3</v>
      </c>
      <c r="F93" s="22" t="n">
        <v>3</v>
      </c>
      <c r="G93" s="23" t="n">
        <f aca="false">IFERROR(F93/E93,0)</f>
        <v>1</v>
      </c>
      <c r="H93" s="10" t="str">
        <f aca="false">IF(E93&lt;=8,"$25",IF(E93&lt;=20,"$30",IF(E93&lt;=199,"$35","$50")))</f>
        <v>$25</v>
      </c>
      <c r="I93" s="10" t="str">
        <f aca="false">IF(E93&lt;=19,"Cal-COBRA","Federal COBRA")</f>
        <v>Cal-COBRA</v>
      </c>
      <c r="J93" s="10" t="s">
        <v>1536</v>
      </c>
      <c r="K93" s="10" t="s">
        <v>1575</v>
      </c>
      <c r="L93" s="10" t="s">
        <v>1621</v>
      </c>
      <c r="M93" s="10" t="s">
        <v>1514</v>
      </c>
      <c r="N93" s="10" t="s">
        <v>1567</v>
      </c>
      <c r="O93" s="10" t="n">
        <v>2</v>
      </c>
      <c r="P93" s="10" t="n">
        <v>1</v>
      </c>
      <c r="Q93" s="10" t="n">
        <v>1</v>
      </c>
      <c r="R93" s="19" t="n">
        <f aca="false">IFERROR(O93/F93*100,0)</f>
        <v>66.6666666666667</v>
      </c>
      <c r="S93" s="24" t="n">
        <f aca="false">F93*'Distribution Targets'!$C$34</f>
        <v>1458</v>
      </c>
      <c r="T93" s="25" t="str">
        <f aca="false">IF(M93="ER",IF(G93&lt;0.7,"BELOW 70% (P-18)",IF(G93&lt;0.75,"Near 70% threshold","OK")),IF(E93&lt;=9,IF(F93&lt;2,"BELOW 2–9 minimum (P-24)",IF(F93=2,"At 2–9 minimum","OK")),IF(F93&lt;5,"BELOW 10–500 minimum (P-23)",IF(F93&lt;7,"Near 10–500 minimum","OK"))))</f>
        <v>OK</v>
      </c>
      <c r="U93" s="25" t="str">
        <f aca="false">IF(O93&gt;=28,"A — anchor",IF(O93&gt;=10,"B — heavy",IF(O93&gt;=4,"C — moderate","D — tail")))</f>
        <v>D — tail</v>
      </c>
      <c r="V93" s="11" t="s">
        <v>1525</v>
      </c>
      <c r="W93" s="11" t="s">
        <v>38</v>
      </c>
      <c r="X93" s="11" t="s">
        <v>38</v>
      </c>
      <c r="Y93" s="11" t="s">
        <v>1271</v>
      </c>
      <c r="Z93" s="11" t="s">
        <v>1554</v>
      </c>
    </row>
    <row r="94" customFormat="false" ht="15" hidden="false" customHeight="true" outlineLevel="0" collapsed="false">
      <c r="A94" s="12" t="s">
        <v>1756</v>
      </c>
      <c r="B94" s="12" t="s">
        <v>1757</v>
      </c>
      <c r="C94" s="12" t="s">
        <v>1557</v>
      </c>
      <c r="D94" s="12" t="s">
        <v>1529</v>
      </c>
      <c r="E94" s="26" t="n">
        <v>3</v>
      </c>
      <c r="F94" s="26" t="n">
        <v>3</v>
      </c>
      <c r="G94" s="27" t="n">
        <f aca="false">IFERROR(F94/E94,0)</f>
        <v>1</v>
      </c>
      <c r="H94" s="12" t="str">
        <f aca="false">IF(E94&lt;=8,"$25",IF(E94&lt;=20,"$30",IF(E94&lt;=199,"$35","$50")))</f>
        <v>$25</v>
      </c>
      <c r="I94" s="12" t="str">
        <f aca="false">IF(E94&lt;=19,"Cal-COBRA","Federal COBRA")</f>
        <v>Cal-COBRA</v>
      </c>
      <c r="J94" s="12" t="s">
        <v>1542</v>
      </c>
      <c r="K94" s="12" t="s">
        <v>1583</v>
      </c>
      <c r="L94" s="12" t="s">
        <v>1624</v>
      </c>
      <c r="M94" s="12" t="s">
        <v>1514</v>
      </c>
      <c r="N94" s="12" t="s">
        <v>1544</v>
      </c>
      <c r="O94" s="12" t="n">
        <v>2</v>
      </c>
      <c r="P94" s="12" t="n">
        <v>1</v>
      </c>
      <c r="Q94" s="12" t="n">
        <v>1</v>
      </c>
      <c r="R94" s="20" t="n">
        <f aca="false">IFERROR(O94/F94*100,0)</f>
        <v>66.6666666666667</v>
      </c>
      <c r="S94" s="24" t="n">
        <f aca="false">F94*'Distribution Targets'!$C$34</f>
        <v>1458</v>
      </c>
      <c r="T94" s="25" t="str">
        <f aca="false">IF(M94="ER",IF(G94&lt;0.7,"BELOW 70% (P-18)",IF(G94&lt;0.75,"Near 70% threshold","OK")),IF(E94&lt;=9,IF(F94&lt;2,"BELOW 2–9 minimum (P-24)",IF(F94=2,"At 2–9 minimum","OK")),IF(F94&lt;5,"BELOW 10–500 minimum (P-23)",IF(F94&lt;7,"Near 10–500 minimum","OK"))))</f>
        <v>OK</v>
      </c>
      <c r="U94" s="25" t="str">
        <f aca="false">IF(O94&gt;=28,"A — anchor",IF(O94&gt;=10,"B — heavy",IF(O94&gt;=4,"C — moderate","D — tail")))</f>
        <v>D — tail</v>
      </c>
      <c r="V94" s="13" t="s">
        <v>1507</v>
      </c>
      <c r="W94" s="13" t="s">
        <v>38</v>
      </c>
      <c r="X94" s="13" t="s">
        <v>38</v>
      </c>
      <c r="Y94" s="13" t="s">
        <v>38</v>
      </c>
      <c r="Z94" s="13" t="s">
        <v>1554</v>
      </c>
    </row>
    <row r="95" customFormat="false" ht="15" hidden="false" customHeight="true" outlineLevel="0" collapsed="false">
      <c r="A95" s="10" t="s">
        <v>1758</v>
      </c>
      <c r="B95" s="10" t="s">
        <v>1759</v>
      </c>
      <c r="C95" s="10" t="s">
        <v>1500</v>
      </c>
      <c r="D95" s="10" t="s">
        <v>1501</v>
      </c>
      <c r="E95" s="22" t="n">
        <v>2</v>
      </c>
      <c r="F95" s="22" t="n">
        <v>2</v>
      </c>
      <c r="G95" s="23" t="n">
        <f aca="false">IFERROR(F95/E95,0)</f>
        <v>1</v>
      </c>
      <c r="H95" s="10" t="str">
        <f aca="false">IF(E95&lt;=8,"$25",IF(E95&lt;=20,"$30",IF(E95&lt;=199,"$35","$50")))</f>
        <v>$25</v>
      </c>
      <c r="I95" s="10" t="str">
        <f aca="false">IF(E95&lt;=19,"Cal-COBRA","Federal COBRA")</f>
        <v>Cal-COBRA</v>
      </c>
      <c r="J95" s="10" t="s">
        <v>1502</v>
      </c>
      <c r="K95" s="10" t="s">
        <v>1587</v>
      </c>
      <c r="L95" s="10" t="s">
        <v>1695</v>
      </c>
      <c r="M95" s="10" t="s">
        <v>1505</v>
      </c>
      <c r="N95" s="10" t="s">
        <v>1544</v>
      </c>
      <c r="O95" s="10" t="n">
        <v>2</v>
      </c>
      <c r="P95" s="10" t="n">
        <v>1</v>
      </c>
      <c r="Q95" s="10" t="n">
        <v>1</v>
      </c>
      <c r="R95" s="19" t="n">
        <f aca="false">IFERROR(O95/F95*100,0)</f>
        <v>100</v>
      </c>
      <c r="S95" s="24" t="n">
        <f aca="false">F95*'Distribution Targets'!$C$34</f>
        <v>972</v>
      </c>
      <c r="T95" s="25" t="str">
        <f aca="false">IF(M95="ER",IF(G95&lt;0.7,"BELOW 70% (P-18)",IF(G95&lt;0.75,"Near 70% threshold","OK")),IF(E95&lt;=9,IF(F95&lt;2,"BELOW 2–9 minimum (P-24)",IF(F95=2,"At 2–9 minimum","OK")),IF(F95&lt;5,"BELOW 10–500 minimum (P-23)",IF(F95&lt;7,"Near 10–500 minimum","OK"))))</f>
        <v>OK</v>
      </c>
      <c r="U95" s="25" t="str">
        <f aca="false">IF(O95&gt;=28,"A — anchor",IF(O95&gt;=10,"B — heavy",IF(O95&gt;=4,"C — moderate","D — tail")))</f>
        <v>D — tail</v>
      </c>
      <c r="V95" s="11" t="s">
        <v>1549</v>
      </c>
      <c r="W95" s="11" t="s">
        <v>38</v>
      </c>
      <c r="X95" s="11" t="s">
        <v>38</v>
      </c>
      <c r="Y95" s="11" t="s">
        <v>38</v>
      </c>
      <c r="Z95" s="11" t="s">
        <v>1554</v>
      </c>
    </row>
    <row r="96" customFormat="false" ht="15" hidden="false" customHeight="true" outlineLevel="0" collapsed="false">
      <c r="A96" s="12" t="s">
        <v>1760</v>
      </c>
      <c r="B96" s="12" t="s">
        <v>1761</v>
      </c>
      <c r="C96" s="12" t="s">
        <v>1512</v>
      </c>
      <c r="D96" s="12" t="s">
        <v>1501</v>
      </c>
      <c r="E96" s="26" t="n">
        <v>2</v>
      </c>
      <c r="F96" s="26" t="n">
        <v>2</v>
      </c>
      <c r="G96" s="27" t="n">
        <f aca="false">IFERROR(F96/E96,0)</f>
        <v>1</v>
      </c>
      <c r="H96" s="12" t="str">
        <f aca="false">IF(E96&lt;=8,"$25",IF(E96&lt;=20,"$30",IF(E96&lt;=199,"$35","$50")))</f>
        <v>$25</v>
      </c>
      <c r="I96" s="12" t="str">
        <f aca="false">IF(E96&lt;=19,"Cal-COBRA","Federal COBRA")</f>
        <v>Cal-COBRA</v>
      </c>
      <c r="J96" s="12" t="s">
        <v>1513</v>
      </c>
      <c r="K96" s="12" t="s">
        <v>1594</v>
      </c>
      <c r="L96" s="12" t="s">
        <v>1698</v>
      </c>
      <c r="M96" s="12" t="s">
        <v>1514</v>
      </c>
      <c r="N96" s="12" t="s">
        <v>1506</v>
      </c>
      <c r="O96" s="12" t="n">
        <v>2</v>
      </c>
      <c r="P96" s="12" t="n">
        <v>1</v>
      </c>
      <c r="Q96" s="12" t="n">
        <v>1</v>
      </c>
      <c r="R96" s="20" t="n">
        <f aca="false">IFERROR(O96/F96*100,0)</f>
        <v>100</v>
      </c>
      <c r="S96" s="24" t="n">
        <f aca="false">F96*'Distribution Targets'!$C$34</f>
        <v>972</v>
      </c>
      <c r="T96" s="25" t="str">
        <f aca="false">IF(M96="ER",IF(G96&lt;0.7,"BELOW 70% (P-18)",IF(G96&lt;0.75,"Near 70% threshold","OK")),IF(E96&lt;=9,IF(F96&lt;2,"BELOW 2–9 minimum (P-24)",IF(F96=2,"At 2–9 minimum","OK")),IF(F96&lt;5,"BELOW 10–500 minimum (P-23)",IF(F96&lt;7,"Near 10–500 minimum","OK"))))</f>
        <v>At 2–9 minimum</v>
      </c>
      <c r="U96" s="25" t="str">
        <f aca="false">IF(O96&gt;=28,"A — anchor",IF(O96&gt;=10,"B — heavy",IF(O96&gt;=4,"C — moderate","D — tail")))</f>
        <v>D — tail</v>
      </c>
      <c r="V96" s="13" t="s">
        <v>1525</v>
      </c>
      <c r="W96" s="13" t="s">
        <v>1508</v>
      </c>
      <c r="X96" s="13" t="s">
        <v>38</v>
      </c>
      <c r="Y96" s="13" t="s">
        <v>1271</v>
      </c>
      <c r="Z96" s="13" t="s">
        <v>1554</v>
      </c>
    </row>
    <row r="97" customFormat="false" ht="15" hidden="false" customHeight="true" outlineLevel="0" collapsed="false">
      <c r="A97" s="10" t="s">
        <v>1762</v>
      </c>
      <c r="B97" s="10" t="s">
        <v>1763</v>
      </c>
      <c r="C97" s="10" t="s">
        <v>1541</v>
      </c>
      <c r="D97" s="10" t="s">
        <v>1501</v>
      </c>
      <c r="E97" s="22" t="n">
        <v>2</v>
      </c>
      <c r="F97" s="22" t="n">
        <v>2</v>
      </c>
      <c r="G97" s="23" t="n">
        <f aca="false">IFERROR(F97/E97,0)</f>
        <v>1</v>
      </c>
      <c r="H97" s="10" t="str">
        <f aca="false">IF(E97&lt;=8,"$25",IF(E97&lt;=20,"$30",IF(E97&lt;=199,"$35","$50")))</f>
        <v>$25</v>
      </c>
      <c r="I97" s="10" t="str">
        <f aca="false">IF(E97&lt;=19,"Cal-COBRA","Federal COBRA")</f>
        <v>Cal-COBRA</v>
      </c>
      <c r="J97" s="10" t="s">
        <v>1521</v>
      </c>
      <c r="K97" s="10" t="s">
        <v>1598</v>
      </c>
      <c r="L97" s="10" t="s">
        <v>1701</v>
      </c>
      <c r="M97" s="10" t="s">
        <v>1514</v>
      </c>
      <c r="N97" s="10" t="s">
        <v>1524</v>
      </c>
      <c r="O97" s="10" t="n">
        <v>2</v>
      </c>
      <c r="P97" s="10" t="n">
        <v>1</v>
      </c>
      <c r="Q97" s="10" t="n">
        <v>1</v>
      </c>
      <c r="R97" s="19" t="n">
        <f aca="false">IFERROR(O97/F97*100,0)</f>
        <v>100</v>
      </c>
      <c r="S97" s="24" t="n">
        <f aca="false">F97*'Distribution Targets'!$C$34</f>
        <v>972</v>
      </c>
      <c r="T97" s="25" t="str">
        <f aca="false">IF(M97="ER",IF(G97&lt;0.7,"BELOW 70% (P-18)",IF(G97&lt;0.75,"Near 70% threshold","OK")),IF(E97&lt;=9,IF(F97&lt;2,"BELOW 2–9 minimum (P-24)",IF(F97=2,"At 2–9 minimum","OK")),IF(F97&lt;5,"BELOW 10–500 minimum (P-23)",IF(F97&lt;7,"Near 10–500 minimum","OK"))))</f>
        <v>At 2–9 minimum</v>
      </c>
      <c r="U97" s="25" t="str">
        <f aca="false">IF(O97&gt;=28,"A — anchor",IF(O97&gt;=10,"B — heavy",IF(O97&gt;=4,"C — moderate","D — tail")))</f>
        <v>D — tail</v>
      </c>
      <c r="V97" s="11" t="s">
        <v>1549</v>
      </c>
      <c r="W97" s="11" t="s">
        <v>1516</v>
      </c>
      <c r="X97" s="11" t="s">
        <v>38</v>
      </c>
      <c r="Y97" s="11" t="s">
        <v>38</v>
      </c>
      <c r="Z97" s="11" t="s">
        <v>1554</v>
      </c>
    </row>
    <row r="98" customFormat="false" ht="15" hidden="false" customHeight="true" outlineLevel="0" collapsed="false">
      <c r="A98" s="12" t="s">
        <v>1764</v>
      </c>
      <c r="B98" s="12" t="s">
        <v>1765</v>
      </c>
      <c r="C98" s="12" t="s">
        <v>1519</v>
      </c>
      <c r="D98" s="12" t="s">
        <v>1520</v>
      </c>
      <c r="E98" s="26" t="n">
        <v>6</v>
      </c>
      <c r="F98" s="26" t="n">
        <v>5</v>
      </c>
      <c r="G98" s="27" t="n">
        <f aca="false">IFERROR(F98/E98,0)</f>
        <v>0.833333333333333</v>
      </c>
      <c r="H98" s="12" t="str">
        <f aca="false">IF(E98&lt;=8,"$25",IF(E98&lt;=20,"$30",IF(E98&lt;=199,"$35","$50")))</f>
        <v>$25</v>
      </c>
      <c r="I98" s="12" t="str">
        <f aca="false">IF(E98&lt;=19,"Cal-COBRA","Federal COBRA")</f>
        <v>Cal-COBRA</v>
      </c>
      <c r="J98" s="12" t="s">
        <v>1530</v>
      </c>
      <c r="K98" s="12" t="s">
        <v>1503</v>
      </c>
      <c r="L98" s="12" t="s">
        <v>1718</v>
      </c>
      <c r="M98" s="12" t="s">
        <v>1505</v>
      </c>
      <c r="N98" s="12" t="s">
        <v>1524</v>
      </c>
      <c r="O98" s="12" t="n">
        <v>2</v>
      </c>
      <c r="P98" s="12" t="n">
        <v>1</v>
      </c>
      <c r="Q98" s="12" t="n">
        <v>1</v>
      </c>
      <c r="R98" s="20" t="n">
        <f aca="false">IFERROR(O98/F98*100,0)</f>
        <v>40</v>
      </c>
      <c r="S98" s="24" t="n">
        <f aca="false">F98*'Distribution Targets'!$C$34</f>
        <v>2430</v>
      </c>
      <c r="T98" s="25" t="str">
        <f aca="false">IF(M98="ER",IF(G98&lt;0.7,"BELOW 70% (P-18)",IF(G98&lt;0.75,"Near 70% threshold","OK")),IF(E98&lt;=9,IF(F98&lt;2,"BELOW 2–9 minimum (P-24)",IF(F98=2,"At 2–9 minimum","OK")),IF(F98&lt;5,"BELOW 10–500 minimum (P-23)",IF(F98&lt;7,"Near 10–500 minimum","OK"))))</f>
        <v>OK</v>
      </c>
      <c r="U98" s="25" t="str">
        <f aca="false">IF(O98&gt;=28,"A — anchor",IF(O98&gt;=10,"B — heavy",IF(O98&gt;=4,"C — moderate","D — tail")))</f>
        <v>D — tail</v>
      </c>
      <c r="V98" s="13" t="s">
        <v>1525</v>
      </c>
      <c r="W98" s="13" t="s">
        <v>1508</v>
      </c>
      <c r="X98" s="13" t="s">
        <v>38</v>
      </c>
      <c r="Y98" s="13" t="s">
        <v>38</v>
      </c>
      <c r="Z98" s="13" t="s">
        <v>1554</v>
      </c>
    </row>
    <row r="99" customFormat="false" ht="15" hidden="false" customHeight="true" outlineLevel="0" collapsed="false">
      <c r="A99" s="10" t="s">
        <v>1766</v>
      </c>
      <c r="B99" s="10" t="s">
        <v>1767</v>
      </c>
      <c r="C99" s="10" t="s">
        <v>1535</v>
      </c>
      <c r="D99" s="10" t="s">
        <v>1520</v>
      </c>
      <c r="E99" s="22" t="n">
        <v>5</v>
      </c>
      <c r="F99" s="22" t="n">
        <v>3</v>
      </c>
      <c r="G99" s="23" t="n">
        <f aca="false">IFERROR(F99/E99,0)</f>
        <v>0.6</v>
      </c>
      <c r="H99" s="10" t="str">
        <f aca="false">IF(E99&lt;=8,"$25",IF(E99&lt;=20,"$30",IF(E99&lt;=199,"$35","$50")))</f>
        <v>$25</v>
      </c>
      <c r="I99" s="10" t="str">
        <f aca="false">IF(E99&lt;=19,"Cal-COBRA","Federal COBRA")</f>
        <v>Cal-COBRA</v>
      </c>
      <c r="J99" s="10" t="s">
        <v>1536</v>
      </c>
      <c r="K99" s="10" t="s">
        <v>1537</v>
      </c>
      <c r="L99" s="10" t="s">
        <v>1721</v>
      </c>
      <c r="M99" s="10" t="s">
        <v>1514</v>
      </c>
      <c r="N99" s="10" t="s">
        <v>1544</v>
      </c>
      <c r="O99" s="10" t="n">
        <v>2</v>
      </c>
      <c r="P99" s="10" t="n">
        <v>1</v>
      </c>
      <c r="Q99" s="10" t="n">
        <v>1</v>
      </c>
      <c r="R99" s="19" t="n">
        <f aca="false">IFERROR(O99/F99*100,0)</f>
        <v>66.6666666666667</v>
      </c>
      <c r="S99" s="24" t="n">
        <f aca="false">F99*'Distribution Targets'!$C$34</f>
        <v>1458</v>
      </c>
      <c r="T99" s="25" t="str">
        <f aca="false">IF(M99="ER",IF(G99&lt;0.7,"BELOW 70% (P-18)",IF(G99&lt;0.75,"Near 70% threshold","OK")),IF(E99&lt;=9,IF(F99&lt;2,"BELOW 2–9 minimum (P-24)",IF(F99=2,"At 2–9 minimum","OK")),IF(F99&lt;5,"BELOW 10–500 minimum (P-23)",IF(F99&lt;7,"Near 10–500 minimum","OK"))))</f>
        <v>OK</v>
      </c>
      <c r="U99" s="25" t="str">
        <f aca="false">IF(O99&gt;=28,"A — anchor",IF(O99&gt;=10,"B — heavy",IF(O99&gt;=4,"C — moderate","D — tail")))</f>
        <v>D — tail</v>
      </c>
      <c r="V99" s="11" t="s">
        <v>1507</v>
      </c>
      <c r="W99" s="11" t="s">
        <v>38</v>
      </c>
      <c r="X99" s="11" t="s">
        <v>38</v>
      </c>
      <c r="Y99" s="11" t="s">
        <v>38</v>
      </c>
      <c r="Z99" s="11" t="s">
        <v>1554</v>
      </c>
    </row>
    <row r="100" customFormat="false" ht="15" hidden="false" customHeight="true" outlineLevel="0" collapsed="false">
      <c r="A100" s="28" t="s">
        <v>1470</v>
      </c>
      <c r="B100" s="12"/>
      <c r="C100" s="12"/>
      <c r="D100" s="12"/>
      <c r="E100" s="29" t="n">
        <f aca="false">SUM(E5:E99)</f>
        <v>6564</v>
      </c>
      <c r="F100" s="29" t="n">
        <f aca="false">SUM(F5:F99)</f>
        <v>4160</v>
      </c>
      <c r="G100" s="12"/>
      <c r="H100" s="12"/>
      <c r="I100" s="12"/>
      <c r="J100" s="12"/>
      <c r="K100" s="12"/>
      <c r="L100" s="12"/>
      <c r="M100" s="12"/>
      <c r="N100" s="12"/>
      <c r="O100" s="29" t="n">
        <f aca="false">SUM(O5:O99)</f>
        <v>600</v>
      </c>
      <c r="P100" s="29" t="n">
        <f aca="false">SUM(P5:P99)</f>
        <v>390</v>
      </c>
      <c r="Q100" s="29" t="n">
        <f aca="false">SUM(Q5:Q99)</f>
        <v>210</v>
      </c>
      <c r="R100" s="12"/>
      <c r="S100" s="30" t="n">
        <f aca="false">SUM(S5:S99)</f>
        <v>2021760</v>
      </c>
    </row>
    <row r="102" customFormat="false" ht="15" hidden="false" customHeight="true" outlineLevel="0" collapsed="false">
      <c r="A102" s="14" t="s">
        <v>1471</v>
      </c>
      <c r="B102" s="21" t="str">
        <f aca="false">IF(O100=600,"OK — planned calls sum to 600","VARIANCE: "&amp;TEXT(O100-600,"+0;-0"))</f>
        <v>OK — planned calls sum to 600</v>
      </c>
    </row>
    <row r="104" customFormat="false" ht="15" hidden="false" customHeight="true" outlineLevel="0" collapsed="false">
      <c r="A104" s="16" t="s">
        <v>1768</v>
      </c>
    </row>
    <row r="105" customFormat="false" ht="34.5" hidden="false" customHeight="true" outlineLevel="0" collapsed="false">
      <c r="A105" s="9" t="s">
        <v>1769</v>
      </c>
      <c r="B105" s="9" t="s">
        <v>1770</v>
      </c>
      <c r="C105" s="9" t="s">
        <v>1771</v>
      </c>
      <c r="D105" s="9" t="s">
        <v>1481</v>
      </c>
      <c r="E105" s="9" t="s">
        <v>1772</v>
      </c>
      <c r="F105" s="9" t="s">
        <v>1773</v>
      </c>
    </row>
    <row r="106" customFormat="false" ht="31.5" hidden="false" customHeight="true" outlineLevel="0" collapsed="false">
      <c r="A106" s="11" t="s">
        <v>1774</v>
      </c>
      <c r="B106" s="11" t="n">
        <f aca="false">COUNTIFS($E$5:$E$99,"&gt;=2",$E$5:$E$99,"&lt;=8")</f>
        <v>22</v>
      </c>
      <c r="C106" s="11" t="s">
        <v>1775</v>
      </c>
      <c r="D106" s="11" t="s">
        <v>1114</v>
      </c>
      <c r="E106" s="11" t="s">
        <v>1776</v>
      </c>
      <c r="F106" s="11" t="s">
        <v>1777</v>
      </c>
    </row>
    <row r="107" customFormat="false" ht="31.5" hidden="false" customHeight="true" outlineLevel="0" collapsed="false">
      <c r="A107" s="13" t="s">
        <v>1778</v>
      </c>
      <c r="B107" s="13" t="n">
        <f aca="false">COUNTIFS($E$5:$E$99,"&gt;=9",$E$5:$E$99,"&lt;=19")</f>
        <v>22</v>
      </c>
      <c r="C107" s="13" t="s">
        <v>1779</v>
      </c>
      <c r="D107" s="13" t="s">
        <v>1114</v>
      </c>
      <c r="E107" s="13" t="s">
        <v>1780</v>
      </c>
      <c r="F107" s="13" t="s">
        <v>1781</v>
      </c>
    </row>
    <row r="108" customFormat="false" ht="31.5" hidden="false" customHeight="true" outlineLevel="0" collapsed="false">
      <c r="A108" s="11" t="s">
        <v>1782</v>
      </c>
      <c r="B108" s="11" t="n">
        <f aca="false">COUNTIF($E$5:$E$99,20)</f>
        <v>2</v>
      </c>
      <c r="C108" s="11" t="s">
        <v>1779</v>
      </c>
      <c r="D108" s="11" t="s">
        <v>1783</v>
      </c>
      <c r="E108" s="11" t="s">
        <v>1784</v>
      </c>
      <c r="F108" s="11" t="s">
        <v>1785</v>
      </c>
    </row>
    <row r="109" customFormat="false" ht="31.5" hidden="false" customHeight="true" outlineLevel="0" collapsed="false">
      <c r="A109" s="13" t="s">
        <v>1786</v>
      </c>
      <c r="B109" s="13" t="n">
        <f aca="false">COUNTIFS($E$5:$E$99,"&gt;=21",$E$5:$E$99,"&lt;=199")</f>
        <v>38</v>
      </c>
      <c r="C109" s="13" t="s">
        <v>1787</v>
      </c>
      <c r="D109" s="13" t="s">
        <v>1783</v>
      </c>
      <c r="E109" s="13" t="s">
        <v>1788</v>
      </c>
      <c r="F109" s="13" t="s">
        <v>1789</v>
      </c>
    </row>
    <row r="110" customFormat="false" ht="31.5" hidden="false" customHeight="true" outlineLevel="0" collapsed="false">
      <c r="A110" s="11" t="s">
        <v>1790</v>
      </c>
      <c r="B110" s="11" t="n">
        <f aca="false">COUNTIFS($E$5:$E$99,"&gt;=200")</f>
        <v>11</v>
      </c>
      <c r="C110" s="11" t="s">
        <v>1791</v>
      </c>
      <c r="D110" s="11" t="s">
        <v>1783</v>
      </c>
      <c r="E110" s="11" t="s">
        <v>1792</v>
      </c>
      <c r="F110" s="11" t="s">
        <v>1793</v>
      </c>
    </row>
    <row r="111" customFormat="false" ht="15" hidden="false" customHeight="true" outlineLevel="0" collapsed="false">
      <c r="A111" s="14" t="s">
        <v>1794</v>
      </c>
      <c r="B111" s="16" t="n">
        <f aca="false">SUM(B106:B110)</f>
        <v>95</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4"/>
    <col collapsed="false" customWidth="true" hidden="false" outlineLevel="0" max="3" min="3" style="1" width="7"/>
    <col collapsed="false" customWidth="true" hidden="false" outlineLevel="0" max="4" min="4" style="1" width="11"/>
    <col collapsed="false" customWidth="true" hidden="false" outlineLevel="0" max="5" min="5" style="1" width="28"/>
    <col collapsed="false" customWidth="true" hidden="false" outlineLevel="0" max="6" min="6" style="1" width="12"/>
    <col collapsed="false" customWidth="true" hidden="false" outlineLevel="0" max="7" min="7" style="1" width="14"/>
    <col collapsed="false" customWidth="true" hidden="false" outlineLevel="0" max="9" min="8" style="1" width="12"/>
  </cols>
  <sheetData>
    <row r="1" customFormat="false" ht="21.75" hidden="false" customHeight="true" outlineLevel="0" collapsed="false">
      <c r="A1" s="7" t="s">
        <v>1795</v>
      </c>
    </row>
    <row r="2" customFormat="false" ht="74.25" hidden="false" customHeight="true" outlineLevel="0" collapsed="false">
      <c r="A2" s="8" t="s">
        <v>1796</v>
      </c>
      <c r="B2" s="8"/>
      <c r="C2" s="8"/>
      <c r="D2" s="8"/>
      <c r="E2" s="8"/>
      <c r="F2" s="8"/>
      <c r="G2" s="8"/>
    </row>
    <row r="3" customFormat="false" ht="6" hidden="false" customHeight="true" outlineLevel="0" collapsed="false"/>
    <row r="4" customFormat="false" ht="31.5" hidden="false" customHeight="true" outlineLevel="0" collapsed="false">
      <c r="A4" s="9" t="s">
        <v>1797</v>
      </c>
      <c r="B4" s="9" t="s">
        <v>1798</v>
      </c>
      <c r="C4" s="9" t="s">
        <v>1799</v>
      </c>
      <c r="D4" s="9" t="s">
        <v>1474</v>
      </c>
      <c r="E4" s="9" t="s">
        <v>1475</v>
      </c>
      <c r="F4" s="9" t="s">
        <v>1800</v>
      </c>
      <c r="G4" s="9" t="s">
        <v>1801</v>
      </c>
      <c r="H4" s="9" t="s">
        <v>1439</v>
      </c>
      <c r="I4" s="9" t="s">
        <v>1802</v>
      </c>
    </row>
    <row r="5" customFormat="false" ht="15" hidden="false" customHeight="true" outlineLevel="0" collapsed="false">
      <c r="A5" s="10" t="s">
        <v>1803</v>
      </c>
      <c r="B5" s="10" t="s">
        <v>1804</v>
      </c>
      <c r="C5" s="10" t="n">
        <v>52</v>
      </c>
      <c r="D5" s="10" t="s">
        <v>1498</v>
      </c>
      <c r="E5" s="10" t="s">
        <v>1499</v>
      </c>
      <c r="F5" s="10" t="str">
        <f aca="false">IFERROR(INDEX('Employer Master'!$L$5:$L$99,MATCH(D5,'Employer Master'!$A$5:$A$99,0)),"")</f>
        <v>BRK-02</v>
      </c>
      <c r="G5" s="10" t="s">
        <v>1805</v>
      </c>
      <c r="H5" s="10" t="n">
        <v>2</v>
      </c>
      <c r="I5" s="10" t="str">
        <f aca="false">IF(H5&gt;1,"yes","")</f>
        <v>yes</v>
      </c>
    </row>
    <row r="6" customFormat="false" ht="15" hidden="false" customHeight="true" outlineLevel="0" collapsed="false">
      <c r="A6" s="12" t="s">
        <v>1806</v>
      </c>
      <c r="B6" s="12" t="s">
        <v>1807</v>
      </c>
      <c r="C6" s="12" t="n">
        <v>23</v>
      </c>
      <c r="D6" s="12" t="s">
        <v>1498</v>
      </c>
      <c r="E6" s="12" t="s">
        <v>1499</v>
      </c>
      <c r="F6" s="12" t="str">
        <f aca="false">IFERROR(INDEX('Employer Master'!$L$5:$L$99,MATCH(D6,'Employer Master'!$A$5:$A$99,0)),"")</f>
        <v>BRK-02</v>
      </c>
      <c r="G6" s="12" t="s">
        <v>1808</v>
      </c>
      <c r="H6" s="12" t="n">
        <v>2</v>
      </c>
      <c r="I6" s="12" t="str">
        <f aca="false">IF(H6&gt;1,"yes","")</f>
        <v>yes</v>
      </c>
    </row>
    <row r="7" customFormat="false" ht="15" hidden="false" customHeight="true" outlineLevel="0" collapsed="false">
      <c r="A7" s="10" t="s">
        <v>1809</v>
      </c>
      <c r="B7" s="10" t="s">
        <v>1810</v>
      </c>
      <c r="C7" s="10" t="n">
        <v>27</v>
      </c>
      <c r="D7" s="10" t="s">
        <v>1498</v>
      </c>
      <c r="E7" s="10" t="s">
        <v>1499</v>
      </c>
      <c r="F7" s="10" t="str">
        <f aca="false">IFERROR(INDEX('Employer Master'!$L$5:$L$99,MATCH(D7,'Employer Master'!$A$5:$A$99,0)),"")</f>
        <v>BRK-02</v>
      </c>
      <c r="G7" s="10" t="s">
        <v>1544</v>
      </c>
      <c r="H7" s="10" t="n">
        <v>2</v>
      </c>
      <c r="I7" s="10" t="str">
        <f aca="false">IF(H7&gt;1,"yes","")</f>
        <v>yes</v>
      </c>
    </row>
    <row r="8" customFormat="false" ht="15" hidden="false" customHeight="true" outlineLevel="0" collapsed="false">
      <c r="A8" s="12" t="s">
        <v>1811</v>
      </c>
      <c r="B8" s="12" t="s">
        <v>1812</v>
      </c>
      <c r="C8" s="12" t="n">
        <v>53</v>
      </c>
      <c r="D8" s="12" t="s">
        <v>1498</v>
      </c>
      <c r="E8" s="12" t="s">
        <v>1499</v>
      </c>
      <c r="F8" s="12" t="str">
        <f aca="false">IFERROR(INDEX('Employer Master'!$L$5:$L$99,MATCH(D8,'Employer Master'!$A$5:$A$99,0)),"")</f>
        <v>BRK-02</v>
      </c>
      <c r="G8" s="12" t="s">
        <v>1808</v>
      </c>
      <c r="H8" s="12" t="n">
        <v>2</v>
      </c>
      <c r="I8" s="12" t="str">
        <f aca="false">IF(H8&gt;1,"yes","")</f>
        <v>yes</v>
      </c>
    </row>
    <row r="9" customFormat="false" ht="15" hidden="false" customHeight="true" outlineLevel="0" collapsed="false">
      <c r="A9" s="10" t="s">
        <v>1813</v>
      </c>
      <c r="B9" s="10" t="s">
        <v>1814</v>
      </c>
      <c r="C9" s="10" t="n">
        <v>55</v>
      </c>
      <c r="D9" s="10" t="s">
        <v>1498</v>
      </c>
      <c r="E9" s="10" t="s">
        <v>1499</v>
      </c>
      <c r="F9" s="10" t="str">
        <f aca="false">IFERROR(INDEX('Employer Master'!$L$5:$L$99,MATCH(D9,'Employer Master'!$A$5:$A$99,0)),"")</f>
        <v>BRK-02</v>
      </c>
      <c r="G9" s="10" t="s">
        <v>1808</v>
      </c>
      <c r="H9" s="10" t="n">
        <v>2</v>
      </c>
      <c r="I9" s="10" t="str">
        <f aca="false">IF(H9&gt;1,"yes","")</f>
        <v>yes</v>
      </c>
    </row>
    <row r="10" customFormat="false" ht="15" hidden="false" customHeight="true" outlineLevel="0" collapsed="false">
      <c r="A10" s="12" t="s">
        <v>1815</v>
      </c>
      <c r="B10" s="12" t="s">
        <v>1816</v>
      </c>
      <c r="C10" s="12" t="n">
        <v>57</v>
      </c>
      <c r="D10" s="12" t="s">
        <v>1498</v>
      </c>
      <c r="E10" s="12" t="s">
        <v>1499</v>
      </c>
      <c r="F10" s="12" t="str">
        <f aca="false">IFERROR(INDEX('Employer Master'!$L$5:$L$99,MATCH(D10,'Employer Master'!$A$5:$A$99,0)),"")</f>
        <v>BRK-02</v>
      </c>
      <c r="G10" s="12" t="s">
        <v>1805</v>
      </c>
      <c r="H10" s="12" t="n">
        <v>2</v>
      </c>
      <c r="I10" s="12" t="str">
        <f aca="false">IF(H10&gt;1,"yes","")</f>
        <v>yes</v>
      </c>
    </row>
    <row r="11" customFormat="false" ht="15" hidden="false" customHeight="true" outlineLevel="0" collapsed="false">
      <c r="A11" s="10" t="s">
        <v>1817</v>
      </c>
      <c r="B11" s="10" t="s">
        <v>1818</v>
      </c>
      <c r="C11" s="10" t="n">
        <v>30</v>
      </c>
      <c r="D11" s="10" t="s">
        <v>1498</v>
      </c>
      <c r="E11" s="10" t="s">
        <v>1499</v>
      </c>
      <c r="F11" s="10" t="str">
        <f aca="false">IFERROR(INDEX('Employer Master'!$L$5:$L$99,MATCH(D11,'Employer Master'!$A$5:$A$99,0)),"")</f>
        <v>BRK-02</v>
      </c>
      <c r="G11" s="10" t="s">
        <v>1544</v>
      </c>
      <c r="H11" s="10" t="n">
        <v>2</v>
      </c>
      <c r="I11" s="10" t="str">
        <f aca="false">IF(H11&gt;1,"yes","")</f>
        <v>yes</v>
      </c>
    </row>
    <row r="12" customFormat="false" ht="15" hidden="false" customHeight="true" outlineLevel="0" collapsed="false">
      <c r="A12" s="12" t="s">
        <v>1819</v>
      </c>
      <c r="B12" s="12" t="s">
        <v>1820</v>
      </c>
      <c r="C12" s="12" t="n">
        <v>51</v>
      </c>
      <c r="D12" s="12" t="s">
        <v>1498</v>
      </c>
      <c r="E12" s="12" t="s">
        <v>1499</v>
      </c>
      <c r="F12" s="12" t="str">
        <f aca="false">IFERROR(INDEX('Employer Master'!$L$5:$L$99,MATCH(D12,'Employer Master'!$A$5:$A$99,0)),"")</f>
        <v>BRK-02</v>
      </c>
      <c r="G12" s="12" t="s">
        <v>1544</v>
      </c>
      <c r="H12" s="12" t="n">
        <v>1</v>
      </c>
      <c r="I12" s="12" t="str">
        <f aca="false">IF(H12&gt;1,"yes","")</f>
        <v/>
      </c>
    </row>
    <row r="13" customFormat="false" ht="15" hidden="false" customHeight="true" outlineLevel="0" collapsed="false">
      <c r="A13" s="10" t="s">
        <v>1821</v>
      </c>
      <c r="B13" s="10" t="s">
        <v>1822</v>
      </c>
      <c r="C13" s="10" t="n">
        <v>38</v>
      </c>
      <c r="D13" s="10" t="s">
        <v>1498</v>
      </c>
      <c r="E13" s="10" t="s">
        <v>1499</v>
      </c>
      <c r="F13" s="10" t="str">
        <f aca="false">IFERROR(INDEX('Employer Master'!$L$5:$L$99,MATCH(D13,'Employer Master'!$A$5:$A$99,0)),"")</f>
        <v>BRK-02</v>
      </c>
      <c r="G13" s="10" t="s">
        <v>1805</v>
      </c>
      <c r="H13" s="10" t="n">
        <v>1</v>
      </c>
      <c r="I13" s="10" t="str">
        <f aca="false">IF(H13&gt;1,"yes","")</f>
        <v/>
      </c>
    </row>
    <row r="14" customFormat="false" ht="15" hidden="false" customHeight="true" outlineLevel="0" collapsed="false">
      <c r="A14" s="12" t="s">
        <v>1823</v>
      </c>
      <c r="B14" s="12" t="s">
        <v>1824</v>
      </c>
      <c r="C14" s="12" t="n">
        <v>37</v>
      </c>
      <c r="D14" s="12" t="s">
        <v>1498</v>
      </c>
      <c r="E14" s="12" t="s">
        <v>1499</v>
      </c>
      <c r="F14" s="12" t="str">
        <f aca="false">IFERROR(INDEX('Employer Master'!$L$5:$L$99,MATCH(D14,'Employer Master'!$A$5:$A$99,0)),"")</f>
        <v>BRK-02</v>
      </c>
      <c r="G14" s="12" t="s">
        <v>1805</v>
      </c>
      <c r="H14" s="12" t="n">
        <v>1</v>
      </c>
      <c r="I14" s="12" t="str">
        <f aca="false">IF(H14&gt;1,"yes","")</f>
        <v/>
      </c>
    </row>
    <row r="15" customFormat="false" ht="15" hidden="false" customHeight="true" outlineLevel="0" collapsed="false">
      <c r="A15" s="10" t="s">
        <v>1825</v>
      </c>
      <c r="B15" s="10" t="s">
        <v>1826</v>
      </c>
      <c r="C15" s="10" t="n">
        <v>39</v>
      </c>
      <c r="D15" s="10" t="s">
        <v>1498</v>
      </c>
      <c r="E15" s="10" t="s">
        <v>1499</v>
      </c>
      <c r="F15" s="10" t="str">
        <f aca="false">IFERROR(INDEX('Employer Master'!$L$5:$L$99,MATCH(D15,'Employer Master'!$A$5:$A$99,0)),"")</f>
        <v>BRK-02</v>
      </c>
      <c r="G15" s="10" t="s">
        <v>1808</v>
      </c>
      <c r="H15" s="10" t="n">
        <v>1</v>
      </c>
      <c r="I15" s="10" t="str">
        <f aca="false">IF(H15&gt;1,"yes","")</f>
        <v/>
      </c>
    </row>
    <row r="16" customFormat="false" ht="15" hidden="false" customHeight="true" outlineLevel="0" collapsed="false">
      <c r="A16" s="12" t="s">
        <v>1827</v>
      </c>
      <c r="B16" s="12" t="s">
        <v>1828</v>
      </c>
      <c r="C16" s="12" t="n">
        <v>26</v>
      </c>
      <c r="D16" s="12" t="s">
        <v>1498</v>
      </c>
      <c r="E16" s="12" t="s">
        <v>1499</v>
      </c>
      <c r="F16" s="12" t="str">
        <f aca="false">IFERROR(INDEX('Employer Master'!$L$5:$L$99,MATCH(D16,'Employer Master'!$A$5:$A$99,0)),"")</f>
        <v>BRK-02</v>
      </c>
      <c r="G16" s="12" t="s">
        <v>1805</v>
      </c>
      <c r="H16" s="12" t="n">
        <v>1</v>
      </c>
      <c r="I16" s="12" t="str">
        <f aca="false">IF(H16&gt;1,"yes","")</f>
        <v/>
      </c>
    </row>
    <row r="17" customFormat="false" ht="15" hidden="false" customHeight="true" outlineLevel="0" collapsed="false">
      <c r="A17" s="10" t="s">
        <v>1829</v>
      </c>
      <c r="B17" s="10" t="s">
        <v>1830</v>
      </c>
      <c r="C17" s="10" t="n">
        <v>43</v>
      </c>
      <c r="D17" s="10" t="s">
        <v>1498</v>
      </c>
      <c r="E17" s="10" t="s">
        <v>1499</v>
      </c>
      <c r="F17" s="10" t="str">
        <f aca="false">IFERROR(INDEX('Employer Master'!$L$5:$L$99,MATCH(D17,'Employer Master'!$A$5:$A$99,0)),"")</f>
        <v>BRK-02</v>
      </c>
      <c r="G17" s="10" t="s">
        <v>1544</v>
      </c>
      <c r="H17" s="10" t="n">
        <v>1</v>
      </c>
      <c r="I17" s="10" t="str">
        <f aca="false">IF(H17&gt;1,"yes","")</f>
        <v/>
      </c>
    </row>
    <row r="18" customFormat="false" ht="15" hidden="false" customHeight="true" outlineLevel="0" collapsed="false">
      <c r="A18" s="12" t="s">
        <v>1831</v>
      </c>
      <c r="B18" s="12" t="s">
        <v>1832</v>
      </c>
      <c r="C18" s="12" t="n">
        <v>61</v>
      </c>
      <c r="D18" s="12" t="s">
        <v>1498</v>
      </c>
      <c r="E18" s="12" t="s">
        <v>1499</v>
      </c>
      <c r="F18" s="12" t="str">
        <f aca="false">IFERROR(INDEX('Employer Master'!$L$5:$L$99,MATCH(D18,'Employer Master'!$A$5:$A$99,0)),"")</f>
        <v>BRK-02</v>
      </c>
      <c r="G18" s="12" t="s">
        <v>1544</v>
      </c>
      <c r="H18" s="12" t="n">
        <v>1</v>
      </c>
      <c r="I18" s="12" t="str">
        <f aca="false">IF(H18&gt;1,"yes","")</f>
        <v/>
      </c>
    </row>
    <row r="19" customFormat="false" ht="15" hidden="false" customHeight="true" outlineLevel="0" collapsed="false">
      <c r="A19" s="10" t="s">
        <v>1833</v>
      </c>
      <c r="B19" s="10" t="s">
        <v>1834</v>
      </c>
      <c r="C19" s="10" t="n">
        <v>51</v>
      </c>
      <c r="D19" s="10" t="s">
        <v>1498</v>
      </c>
      <c r="E19" s="10" t="s">
        <v>1499</v>
      </c>
      <c r="F19" s="10" t="str">
        <f aca="false">IFERROR(INDEX('Employer Master'!$L$5:$L$99,MATCH(D19,'Employer Master'!$A$5:$A$99,0)),"")</f>
        <v>BRK-02</v>
      </c>
      <c r="G19" s="10" t="s">
        <v>1805</v>
      </c>
      <c r="H19" s="10" t="n">
        <v>1</v>
      </c>
      <c r="I19" s="10" t="str">
        <f aca="false">IF(H19&gt;1,"yes","")</f>
        <v/>
      </c>
    </row>
    <row r="20" customFormat="false" ht="15" hidden="false" customHeight="true" outlineLevel="0" collapsed="false">
      <c r="A20" s="12" t="s">
        <v>1835</v>
      </c>
      <c r="B20" s="12" t="s">
        <v>1836</v>
      </c>
      <c r="C20" s="12" t="n">
        <v>27</v>
      </c>
      <c r="D20" s="12" t="s">
        <v>1498</v>
      </c>
      <c r="E20" s="12" t="s">
        <v>1499</v>
      </c>
      <c r="F20" s="12" t="str">
        <f aca="false">IFERROR(INDEX('Employer Master'!$L$5:$L$99,MATCH(D20,'Employer Master'!$A$5:$A$99,0)),"")</f>
        <v>BRK-02</v>
      </c>
      <c r="G20" s="12" t="s">
        <v>1544</v>
      </c>
      <c r="H20" s="12" t="n">
        <v>1</v>
      </c>
      <c r="I20" s="12" t="str">
        <f aca="false">IF(H20&gt;1,"yes","")</f>
        <v/>
      </c>
    </row>
    <row r="21" customFormat="false" ht="15" hidden="false" customHeight="true" outlineLevel="0" collapsed="false">
      <c r="A21" s="10" t="s">
        <v>1837</v>
      </c>
      <c r="B21" s="10" t="s">
        <v>1838</v>
      </c>
      <c r="C21" s="10" t="n">
        <v>63</v>
      </c>
      <c r="D21" s="10" t="s">
        <v>1498</v>
      </c>
      <c r="E21" s="10" t="s">
        <v>1499</v>
      </c>
      <c r="F21" s="10" t="str">
        <f aca="false">IFERROR(INDEX('Employer Master'!$L$5:$L$99,MATCH(D21,'Employer Master'!$A$5:$A$99,0)),"")</f>
        <v>BRK-02</v>
      </c>
      <c r="G21" s="10" t="s">
        <v>1805</v>
      </c>
      <c r="H21" s="10" t="n">
        <v>1</v>
      </c>
      <c r="I21" s="10" t="str">
        <f aca="false">IF(H21&gt;1,"yes","")</f>
        <v/>
      </c>
    </row>
    <row r="22" customFormat="false" ht="15" hidden="false" customHeight="true" outlineLevel="0" collapsed="false">
      <c r="A22" s="12" t="s">
        <v>1839</v>
      </c>
      <c r="B22" s="12" t="s">
        <v>1840</v>
      </c>
      <c r="C22" s="12" t="n">
        <v>38</v>
      </c>
      <c r="D22" s="12" t="s">
        <v>1510</v>
      </c>
      <c r="E22" s="12" t="s">
        <v>1511</v>
      </c>
      <c r="F22" s="12" t="str">
        <f aca="false">IFERROR(INDEX('Employer Master'!$L$5:$L$99,MATCH(D22,'Employer Master'!$A$5:$A$99,0)),"")</f>
        <v>BRK-02</v>
      </c>
      <c r="G22" s="12" t="s">
        <v>1805</v>
      </c>
      <c r="H22" s="12" t="n">
        <v>2</v>
      </c>
      <c r="I22" s="12" t="str">
        <f aca="false">IF(H22&gt;1,"yes","")</f>
        <v>yes</v>
      </c>
    </row>
    <row r="23" customFormat="false" ht="15" hidden="false" customHeight="true" outlineLevel="0" collapsed="false">
      <c r="A23" s="10" t="s">
        <v>1841</v>
      </c>
      <c r="B23" s="10" t="s">
        <v>1842</v>
      </c>
      <c r="C23" s="10" t="n">
        <v>42</v>
      </c>
      <c r="D23" s="10" t="s">
        <v>1510</v>
      </c>
      <c r="E23" s="10" t="s">
        <v>1511</v>
      </c>
      <c r="F23" s="10" t="str">
        <f aca="false">IFERROR(INDEX('Employer Master'!$L$5:$L$99,MATCH(D23,'Employer Master'!$A$5:$A$99,0)),"")</f>
        <v>BRK-02</v>
      </c>
      <c r="G23" s="10" t="s">
        <v>1544</v>
      </c>
      <c r="H23" s="10" t="n">
        <v>2</v>
      </c>
      <c r="I23" s="10" t="str">
        <f aca="false">IF(H23&gt;1,"yes","")</f>
        <v>yes</v>
      </c>
    </row>
    <row r="24" customFormat="false" ht="15" hidden="false" customHeight="true" outlineLevel="0" collapsed="false">
      <c r="A24" s="12" t="s">
        <v>1843</v>
      </c>
      <c r="B24" s="12" t="s">
        <v>1844</v>
      </c>
      <c r="C24" s="12" t="n">
        <v>43</v>
      </c>
      <c r="D24" s="12" t="s">
        <v>1510</v>
      </c>
      <c r="E24" s="12" t="s">
        <v>1511</v>
      </c>
      <c r="F24" s="12" t="str">
        <f aca="false">IFERROR(INDEX('Employer Master'!$L$5:$L$99,MATCH(D24,'Employer Master'!$A$5:$A$99,0)),"")</f>
        <v>BRK-02</v>
      </c>
      <c r="G24" s="12" t="s">
        <v>1805</v>
      </c>
      <c r="H24" s="12" t="n">
        <v>2</v>
      </c>
      <c r="I24" s="12" t="str">
        <f aca="false">IF(H24&gt;1,"yes","")</f>
        <v>yes</v>
      </c>
    </row>
    <row r="25" customFormat="false" ht="15" hidden="false" customHeight="true" outlineLevel="0" collapsed="false">
      <c r="A25" s="10" t="s">
        <v>1845</v>
      </c>
      <c r="B25" s="10" t="s">
        <v>1846</v>
      </c>
      <c r="C25" s="10" t="n">
        <v>60</v>
      </c>
      <c r="D25" s="10" t="s">
        <v>1510</v>
      </c>
      <c r="E25" s="10" t="s">
        <v>1511</v>
      </c>
      <c r="F25" s="10" t="str">
        <f aca="false">IFERROR(INDEX('Employer Master'!$L$5:$L$99,MATCH(D25,'Employer Master'!$A$5:$A$99,0)),"")</f>
        <v>BRK-02</v>
      </c>
      <c r="G25" s="10" t="s">
        <v>1808</v>
      </c>
      <c r="H25" s="10" t="n">
        <v>2</v>
      </c>
      <c r="I25" s="10" t="str">
        <f aca="false">IF(H25&gt;1,"yes","")</f>
        <v>yes</v>
      </c>
    </row>
    <row r="26" customFormat="false" ht="15" hidden="false" customHeight="true" outlineLevel="0" collapsed="false">
      <c r="A26" s="12" t="s">
        <v>1847</v>
      </c>
      <c r="B26" s="12" t="s">
        <v>1848</v>
      </c>
      <c r="C26" s="12" t="n">
        <v>55</v>
      </c>
      <c r="D26" s="12" t="s">
        <v>1510</v>
      </c>
      <c r="E26" s="12" t="s">
        <v>1511</v>
      </c>
      <c r="F26" s="12" t="str">
        <f aca="false">IFERROR(INDEX('Employer Master'!$L$5:$L$99,MATCH(D26,'Employer Master'!$A$5:$A$99,0)),"")</f>
        <v>BRK-02</v>
      </c>
      <c r="G26" s="12" t="s">
        <v>1805</v>
      </c>
      <c r="H26" s="12" t="n">
        <v>2</v>
      </c>
      <c r="I26" s="12" t="str">
        <f aca="false">IF(H26&gt;1,"yes","")</f>
        <v>yes</v>
      </c>
    </row>
    <row r="27" customFormat="false" ht="15" hidden="false" customHeight="true" outlineLevel="0" collapsed="false">
      <c r="A27" s="10" t="s">
        <v>1849</v>
      </c>
      <c r="B27" s="10" t="s">
        <v>1850</v>
      </c>
      <c r="C27" s="10" t="n">
        <v>38</v>
      </c>
      <c r="D27" s="10" t="s">
        <v>1510</v>
      </c>
      <c r="E27" s="10" t="s">
        <v>1511</v>
      </c>
      <c r="F27" s="10" t="str">
        <f aca="false">IFERROR(INDEX('Employer Master'!$L$5:$L$99,MATCH(D27,'Employer Master'!$A$5:$A$99,0)),"")</f>
        <v>BRK-02</v>
      </c>
      <c r="G27" s="10" t="s">
        <v>1808</v>
      </c>
      <c r="H27" s="10" t="n">
        <v>2</v>
      </c>
      <c r="I27" s="10" t="str">
        <f aca="false">IF(H27&gt;1,"yes","")</f>
        <v>yes</v>
      </c>
    </row>
    <row r="28" customFormat="false" ht="15" hidden="false" customHeight="true" outlineLevel="0" collapsed="false">
      <c r="A28" s="12" t="s">
        <v>1851</v>
      </c>
      <c r="B28" s="12" t="s">
        <v>1852</v>
      </c>
      <c r="C28" s="12" t="n">
        <v>61</v>
      </c>
      <c r="D28" s="12" t="s">
        <v>1510</v>
      </c>
      <c r="E28" s="12" t="s">
        <v>1511</v>
      </c>
      <c r="F28" s="12" t="str">
        <f aca="false">IFERROR(INDEX('Employer Master'!$L$5:$L$99,MATCH(D28,'Employer Master'!$A$5:$A$99,0)),"")</f>
        <v>BRK-02</v>
      </c>
      <c r="G28" s="12" t="s">
        <v>1805</v>
      </c>
      <c r="H28" s="12" t="n">
        <v>1</v>
      </c>
      <c r="I28" s="12" t="str">
        <f aca="false">IF(H28&gt;1,"yes","")</f>
        <v/>
      </c>
    </row>
    <row r="29" customFormat="false" ht="15" hidden="false" customHeight="true" outlineLevel="0" collapsed="false">
      <c r="A29" s="10" t="s">
        <v>1853</v>
      </c>
      <c r="B29" s="10" t="s">
        <v>1854</v>
      </c>
      <c r="C29" s="10" t="n">
        <v>49</v>
      </c>
      <c r="D29" s="10" t="s">
        <v>1510</v>
      </c>
      <c r="E29" s="10" t="s">
        <v>1511</v>
      </c>
      <c r="F29" s="10" t="str">
        <f aca="false">IFERROR(INDEX('Employer Master'!$L$5:$L$99,MATCH(D29,'Employer Master'!$A$5:$A$99,0)),"")</f>
        <v>BRK-02</v>
      </c>
      <c r="G29" s="10" t="s">
        <v>1808</v>
      </c>
      <c r="H29" s="10" t="n">
        <v>1</v>
      </c>
      <c r="I29" s="10" t="str">
        <f aca="false">IF(H29&gt;1,"yes","")</f>
        <v/>
      </c>
    </row>
    <row r="30" customFormat="false" ht="15" hidden="false" customHeight="true" outlineLevel="0" collapsed="false">
      <c r="A30" s="12" t="s">
        <v>1855</v>
      </c>
      <c r="B30" s="12" t="s">
        <v>1856</v>
      </c>
      <c r="C30" s="12" t="n">
        <v>36</v>
      </c>
      <c r="D30" s="12" t="s">
        <v>1510</v>
      </c>
      <c r="E30" s="12" t="s">
        <v>1511</v>
      </c>
      <c r="F30" s="12" t="str">
        <f aca="false">IFERROR(INDEX('Employer Master'!$L$5:$L$99,MATCH(D30,'Employer Master'!$A$5:$A$99,0)),"")</f>
        <v>BRK-02</v>
      </c>
      <c r="G30" s="12" t="s">
        <v>1805</v>
      </c>
      <c r="H30" s="12" t="n">
        <v>1</v>
      </c>
      <c r="I30" s="12" t="str">
        <f aca="false">IF(H30&gt;1,"yes","")</f>
        <v/>
      </c>
    </row>
    <row r="31" customFormat="false" ht="15" hidden="false" customHeight="true" outlineLevel="0" collapsed="false">
      <c r="A31" s="10" t="s">
        <v>1857</v>
      </c>
      <c r="B31" s="10" t="s">
        <v>1858</v>
      </c>
      <c r="C31" s="10" t="n">
        <v>54</v>
      </c>
      <c r="D31" s="10" t="s">
        <v>1510</v>
      </c>
      <c r="E31" s="10" t="s">
        <v>1511</v>
      </c>
      <c r="F31" s="10" t="str">
        <f aca="false">IFERROR(INDEX('Employer Master'!$L$5:$L$99,MATCH(D31,'Employer Master'!$A$5:$A$99,0)),"")</f>
        <v>BRK-02</v>
      </c>
      <c r="G31" s="10" t="s">
        <v>1544</v>
      </c>
      <c r="H31" s="10" t="n">
        <v>1</v>
      </c>
      <c r="I31" s="10" t="str">
        <f aca="false">IF(H31&gt;1,"yes","")</f>
        <v/>
      </c>
    </row>
    <row r="32" customFormat="false" ht="15" hidden="false" customHeight="true" outlineLevel="0" collapsed="false">
      <c r="A32" s="12" t="s">
        <v>1859</v>
      </c>
      <c r="B32" s="12" t="s">
        <v>1860</v>
      </c>
      <c r="C32" s="12" t="n">
        <v>32</v>
      </c>
      <c r="D32" s="12" t="s">
        <v>1510</v>
      </c>
      <c r="E32" s="12" t="s">
        <v>1511</v>
      </c>
      <c r="F32" s="12" t="str">
        <f aca="false">IFERROR(INDEX('Employer Master'!$L$5:$L$99,MATCH(D32,'Employer Master'!$A$5:$A$99,0)),"")</f>
        <v>BRK-02</v>
      </c>
      <c r="G32" s="12" t="s">
        <v>1544</v>
      </c>
      <c r="H32" s="12" t="n">
        <v>1</v>
      </c>
      <c r="I32" s="12" t="str">
        <f aca="false">IF(H32&gt;1,"yes","")</f>
        <v/>
      </c>
    </row>
    <row r="33" customFormat="false" ht="15" hidden="false" customHeight="true" outlineLevel="0" collapsed="false">
      <c r="A33" s="10" t="s">
        <v>1861</v>
      </c>
      <c r="B33" s="10" t="s">
        <v>1862</v>
      </c>
      <c r="C33" s="10" t="n">
        <v>25</v>
      </c>
      <c r="D33" s="10" t="s">
        <v>1510</v>
      </c>
      <c r="E33" s="10" t="s">
        <v>1511</v>
      </c>
      <c r="F33" s="10" t="str">
        <f aca="false">IFERROR(INDEX('Employer Master'!$L$5:$L$99,MATCH(D33,'Employer Master'!$A$5:$A$99,0)),"")</f>
        <v>BRK-02</v>
      </c>
      <c r="G33" s="10" t="s">
        <v>1805</v>
      </c>
      <c r="H33" s="10" t="n">
        <v>1</v>
      </c>
      <c r="I33" s="10" t="str">
        <f aca="false">IF(H33&gt;1,"yes","")</f>
        <v/>
      </c>
    </row>
    <row r="34" customFormat="false" ht="15" hidden="false" customHeight="true" outlineLevel="0" collapsed="false">
      <c r="A34" s="12" t="s">
        <v>1863</v>
      </c>
      <c r="B34" s="12" t="s">
        <v>1864</v>
      </c>
      <c r="C34" s="12" t="n">
        <v>56</v>
      </c>
      <c r="D34" s="12" t="s">
        <v>1510</v>
      </c>
      <c r="E34" s="12" t="s">
        <v>1511</v>
      </c>
      <c r="F34" s="12" t="str">
        <f aca="false">IFERROR(INDEX('Employer Master'!$L$5:$L$99,MATCH(D34,'Employer Master'!$A$5:$A$99,0)),"")</f>
        <v>BRK-02</v>
      </c>
      <c r="G34" s="12" t="s">
        <v>1808</v>
      </c>
      <c r="H34" s="12" t="n">
        <v>1</v>
      </c>
      <c r="I34" s="12" t="str">
        <f aca="false">IF(H34&gt;1,"yes","")</f>
        <v/>
      </c>
    </row>
    <row r="35" customFormat="false" ht="15" hidden="false" customHeight="true" outlineLevel="0" collapsed="false">
      <c r="A35" s="10" t="s">
        <v>1865</v>
      </c>
      <c r="B35" s="10" t="s">
        <v>1866</v>
      </c>
      <c r="C35" s="10" t="n">
        <v>58</v>
      </c>
      <c r="D35" s="10" t="s">
        <v>1510</v>
      </c>
      <c r="E35" s="10" t="s">
        <v>1511</v>
      </c>
      <c r="F35" s="10" t="str">
        <f aca="false">IFERROR(INDEX('Employer Master'!$L$5:$L$99,MATCH(D35,'Employer Master'!$A$5:$A$99,0)),"")</f>
        <v>BRK-02</v>
      </c>
      <c r="G35" s="10" t="s">
        <v>1808</v>
      </c>
      <c r="H35" s="10" t="n">
        <v>1</v>
      </c>
      <c r="I35" s="10" t="str">
        <f aca="false">IF(H35&gt;1,"yes","")</f>
        <v/>
      </c>
    </row>
    <row r="36" customFormat="false" ht="15" hidden="false" customHeight="true" outlineLevel="0" collapsed="false">
      <c r="A36" s="12" t="s">
        <v>1867</v>
      </c>
      <c r="B36" s="12" t="s">
        <v>1868</v>
      </c>
      <c r="C36" s="12" t="n">
        <v>27</v>
      </c>
      <c r="D36" s="12" t="s">
        <v>1510</v>
      </c>
      <c r="E36" s="12" t="s">
        <v>1511</v>
      </c>
      <c r="F36" s="12" t="str">
        <f aca="false">IFERROR(INDEX('Employer Master'!$L$5:$L$99,MATCH(D36,'Employer Master'!$A$5:$A$99,0)),"")</f>
        <v>BRK-02</v>
      </c>
      <c r="G36" s="12" t="s">
        <v>1808</v>
      </c>
      <c r="H36" s="12" t="n">
        <v>1</v>
      </c>
      <c r="I36" s="12" t="str">
        <f aca="false">IF(H36&gt;1,"yes","")</f>
        <v/>
      </c>
    </row>
    <row r="37" customFormat="false" ht="15" hidden="false" customHeight="true" outlineLevel="0" collapsed="false">
      <c r="A37" s="10" t="s">
        <v>1869</v>
      </c>
      <c r="B37" s="10" t="s">
        <v>1870</v>
      </c>
      <c r="C37" s="10" t="n">
        <v>41</v>
      </c>
      <c r="D37" s="10" t="s">
        <v>1510</v>
      </c>
      <c r="E37" s="10" t="s">
        <v>1511</v>
      </c>
      <c r="F37" s="10" t="str">
        <f aca="false">IFERROR(INDEX('Employer Master'!$L$5:$L$99,MATCH(D37,'Employer Master'!$A$5:$A$99,0)),"")</f>
        <v>BRK-02</v>
      </c>
      <c r="G37" s="10" t="s">
        <v>1544</v>
      </c>
      <c r="H37" s="10" t="n">
        <v>1</v>
      </c>
      <c r="I37" s="10" t="str">
        <f aca="false">IF(H37&gt;1,"yes","")</f>
        <v/>
      </c>
    </row>
    <row r="38" customFormat="false" ht="15" hidden="false" customHeight="true" outlineLevel="0" collapsed="false">
      <c r="A38" s="12" t="s">
        <v>1871</v>
      </c>
      <c r="B38" s="12" t="s">
        <v>1872</v>
      </c>
      <c r="C38" s="12" t="n">
        <v>38</v>
      </c>
      <c r="D38" s="12" t="s">
        <v>1510</v>
      </c>
      <c r="E38" s="12" t="s">
        <v>1511</v>
      </c>
      <c r="F38" s="12" t="str">
        <f aca="false">IFERROR(INDEX('Employer Master'!$L$5:$L$99,MATCH(D38,'Employer Master'!$A$5:$A$99,0)),"")</f>
        <v>BRK-02</v>
      </c>
      <c r="G38" s="12" t="s">
        <v>1805</v>
      </c>
      <c r="H38" s="12" t="n">
        <v>1</v>
      </c>
      <c r="I38" s="12" t="str">
        <f aca="false">IF(H38&gt;1,"yes","")</f>
        <v/>
      </c>
    </row>
    <row r="39" customFormat="false" ht="15" hidden="false" customHeight="true" outlineLevel="0" collapsed="false">
      <c r="A39" s="10" t="s">
        <v>1873</v>
      </c>
      <c r="B39" s="10" t="s">
        <v>1874</v>
      </c>
      <c r="C39" s="10" t="n">
        <v>37</v>
      </c>
      <c r="D39" s="10" t="s">
        <v>1517</v>
      </c>
      <c r="E39" s="10" t="s">
        <v>1518</v>
      </c>
      <c r="F39" s="10" t="str">
        <f aca="false">IFERROR(INDEX('Employer Master'!$L$5:$L$99,MATCH(D39,'Employer Master'!$A$5:$A$99,0)),"")</f>
        <v>BRK-09</v>
      </c>
      <c r="G39" s="10" t="s">
        <v>1544</v>
      </c>
      <c r="H39" s="10" t="n">
        <v>2</v>
      </c>
      <c r="I39" s="10" t="str">
        <f aca="false">IF(H39&gt;1,"yes","")</f>
        <v>yes</v>
      </c>
    </row>
    <row r="40" customFormat="false" ht="15" hidden="false" customHeight="true" outlineLevel="0" collapsed="false">
      <c r="A40" s="12" t="s">
        <v>1875</v>
      </c>
      <c r="B40" s="12" t="s">
        <v>1876</v>
      </c>
      <c r="C40" s="12" t="n">
        <v>62</v>
      </c>
      <c r="D40" s="12" t="s">
        <v>1517</v>
      </c>
      <c r="E40" s="12" t="s">
        <v>1518</v>
      </c>
      <c r="F40" s="12" t="str">
        <f aca="false">IFERROR(INDEX('Employer Master'!$L$5:$L$99,MATCH(D40,'Employer Master'!$A$5:$A$99,0)),"")</f>
        <v>BRK-09</v>
      </c>
      <c r="G40" s="12" t="s">
        <v>1808</v>
      </c>
      <c r="H40" s="12" t="n">
        <v>2</v>
      </c>
      <c r="I40" s="12" t="str">
        <f aca="false">IF(H40&gt;1,"yes","")</f>
        <v>yes</v>
      </c>
    </row>
    <row r="41" customFormat="false" ht="15" hidden="false" customHeight="true" outlineLevel="0" collapsed="false">
      <c r="A41" s="10" t="s">
        <v>1877</v>
      </c>
      <c r="B41" s="10" t="s">
        <v>1878</v>
      </c>
      <c r="C41" s="10" t="n">
        <v>48</v>
      </c>
      <c r="D41" s="10" t="s">
        <v>1517</v>
      </c>
      <c r="E41" s="10" t="s">
        <v>1518</v>
      </c>
      <c r="F41" s="10" t="str">
        <f aca="false">IFERROR(INDEX('Employer Master'!$L$5:$L$99,MATCH(D41,'Employer Master'!$A$5:$A$99,0)),"")</f>
        <v>BRK-09</v>
      </c>
      <c r="G41" s="10" t="s">
        <v>1544</v>
      </c>
      <c r="H41" s="10" t="n">
        <v>2</v>
      </c>
      <c r="I41" s="10" t="str">
        <f aca="false">IF(H41&gt;1,"yes","")</f>
        <v>yes</v>
      </c>
    </row>
    <row r="42" customFormat="false" ht="15" hidden="false" customHeight="true" outlineLevel="0" collapsed="false">
      <c r="A42" s="12" t="s">
        <v>1879</v>
      </c>
      <c r="B42" s="12" t="s">
        <v>1880</v>
      </c>
      <c r="C42" s="12" t="n">
        <v>59</v>
      </c>
      <c r="D42" s="12" t="s">
        <v>1517</v>
      </c>
      <c r="E42" s="12" t="s">
        <v>1518</v>
      </c>
      <c r="F42" s="12" t="str">
        <f aca="false">IFERROR(INDEX('Employer Master'!$L$5:$L$99,MATCH(D42,'Employer Master'!$A$5:$A$99,0)),"")</f>
        <v>BRK-09</v>
      </c>
      <c r="G42" s="12" t="s">
        <v>1808</v>
      </c>
      <c r="H42" s="12" t="n">
        <v>2</v>
      </c>
      <c r="I42" s="12" t="str">
        <f aca="false">IF(H42&gt;1,"yes","")</f>
        <v>yes</v>
      </c>
    </row>
    <row r="43" customFormat="false" ht="15" hidden="false" customHeight="true" outlineLevel="0" collapsed="false">
      <c r="A43" s="10" t="s">
        <v>1881</v>
      </c>
      <c r="B43" s="10" t="s">
        <v>1882</v>
      </c>
      <c r="C43" s="10" t="n">
        <v>52</v>
      </c>
      <c r="D43" s="10" t="s">
        <v>1517</v>
      </c>
      <c r="E43" s="10" t="s">
        <v>1518</v>
      </c>
      <c r="F43" s="10" t="str">
        <f aca="false">IFERROR(INDEX('Employer Master'!$L$5:$L$99,MATCH(D43,'Employer Master'!$A$5:$A$99,0)),"")</f>
        <v>BRK-09</v>
      </c>
      <c r="G43" s="10" t="s">
        <v>1544</v>
      </c>
      <c r="H43" s="10" t="n">
        <v>2</v>
      </c>
      <c r="I43" s="10" t="str">
        <f aca="false">IF(H43&gt;1,"yes","")</f>
        <v>yes</v>
      </c>
    </row>
    <row r="44" customFormat="false" ht="15" hidden="false" customHeight="true" outlineLevel="0" collapsed="false">
      <c r="A44" s="12" t="s">
        <v>1883</v>
      </c>
      <c r="B44" s="12" t="s">
        <v>1884</v>
      </c>
      <c r="C44" s="12" t="n">
        <v>47</v>
      </c>
      <c r="D44" s="12" t="s">
        <v>1517</v>
      </c>
      <c r="E44" s="12" t="s">
        <v>1518</v>
      </c>
      <c r="F44" s="12" t="str">
        <f aca="false">IFERROR(INDEX('Employer Master'!$L$5:$L$99,MATCH(D44,'Employer Master'!$A$5:$A$99,0)),"")</f>
        <v>BRK-09</v>
      </c>
      <c r="G44" s="12" t="s">
        <v>1808</v>
      </c>
      <c r="H44" s="12" t="n">
        <v>2</v>
      </c>
      <c r="I44" s="12" t="str">
        <f aca="false">IF(H44&gt;1,"yes","")</f>
        <v>yes</v>
      </c>
    </row>
    <row r="45" customFormat="false" ht="15" hidden="false" customHeight="true" outlineLevel="0" collapsed="false">
      <c r="A45" s="10" t="s">
        <v>1885</v>
      </c>
      <c r="B45" s="10" t="s">
        <v>1886</v>
      </c>
      <c r="C45" s="10" t="n">
        <v>45</v>
      </c>
      <c r="D45" s="10" t="s">
        <v>1517</v>
      </c>
      <c r="E45" s="10" t="s">
        <v>1518</v>
      </c>
      <c r="F45" s="10" t="str">
        <f aca="false">IFERROR(INDEX('Employer Master'!$L$5:$L$99,MATCH(D45,'Employer Master'!$A$5:$A$99,0)),"")</f>
        <v>BRK-09</v>
      </c>
      <c r="G45" s="10" t="s">
        <v>1808</v>
      </c>
      <c r="H45" s="10" t="n">
        <v>1</v>
      </c>
      <c r="I45" s="10" t="str">
        <f aca="false">IF(H45&gt;1,"yes","")</f>
        <v/>
      </c>
    </row>
    <row r="46" customFormat="false" ht="15" hidden="false" customHeight="true" outlineLevel="0" collapsed="false">
      <c r="A46" s="12" t="s">
        <v>1887</v>
      </c>
      <c r="B46" s="12" t="s">
        <v>1888</v>
      </c>
      <c r="C46" s="12" t="n">
        <v>53</v>
      </c>
      <c r="D46" s="12" t="s">
        <v>1517</v>
      </c>
      <c r="E46" s="12" t="s">
        <v>1518</v>
      </c>
      <c r="F46" s="12" t="str">
        <f aca="false">IFERROR(INDEX('Employer Master'!$L$5:$L$99,MATCH(D46,'Employer Master'!$A$5:$A$99,0)),"")</f>
        <v>BRK-09</v>
      </c>
      <c r="G46" s="12" t="s">
        <v>1544</v>
      </c>
      <c r="H46" s="12" t="n">
        <v>1</v>
      </c>
      <c r="I46" s="12" t="str">
        <f aca="false">IF(H46&gt;1,"yes","")</f>
        <v/>
      </c>
    </row>
    <row r="47" customFormat="false" ht="15" hidden="false" customHeight="true" outlineLevel="0" collapsed="false">
      <c r="A47" s="10" t="s">
        <v>1889</v>
      </c>
      <c r="B47" s="10" t="s">
        <v>1890</v>
      </c>
      <c r="C47" s="10" t="n">
        <v>61</v>
      </c>
      <c r="D47" s="10" t="s">
        <v>1517</v>
      </c>
      <c r="E47" s="10" t="s">
        <v>1518</v>
      </c>
      <c r="F47" s="10" t="str">
        <f aca="false">IFERROR(INDEX('Employer Master'!$L$5:$L$99,MATCH(D47,'Employer Master'!$A$5:$A$99,0)),"")</f>
        <v>BRK-09</v>
      </c>
      <c r="G47" s="10" t="s">
        <v>1544</v>
      </c>
      <c r="H47" s="10" t="n">
        <v>1</v>
      </c>
      <c r="I47" s="10" t="str">
        <f aca="false">IF(H47&gt;1,"yes","")</f>
        <v/>
      </c>
    </row>
    <row r="48" customFormat="false" ht="15" hidden="false" customHeight="true" outlineLevel="0" collapsed="false">
      <c r="A48" s="12" t="s">
        <v>1891</v>
      </c>
      <c r="B48" s="12" t="s">
        <v>1892</v>
      </c>
      <c r="C48" s="12" t="n">
        <v>51</v>
      </c>
      <c r="D48" s="12" t="s">
        <v>1517</v>
      </c>
      <c r="E48" s="12" t="s">
        <v>1518</v>
      </c>
      <c r="F48" s="12" t="str">
        <f aca="false">IFERROR(INDEX('Employer Master'!$L$5:$L$99,MATCH(D48,'Employer Master'!$A$5:$A$99,0)),"")</f>
        <v>BRK-09</v>
      </c>
      <c r="G48" s="12" t="s">
        <v>1808</v>
      </c>
      <c r="H48" s="12" t="n">
        <v>1</v>
      </c>
      <c r="I48" s="12" t="str">
        <f aca="false">IF(H48&gt;1,"yes","")</f>
        <v/>
      </c>
    </row>
    <row r="49" customFormat="false" ht="15" hidden="false" customHeight="true" outlineLevel="0" collapsed="false">
      <c r="A49" s="10" t="s">
        <v>1893</v>
      </c>
      <c r="B49" s="10" t="s">
        <v>1894</v>
      </c>
      <c r="C49" s="10" t="n">
        <v>36</v>
      </c>
      <c r="D49" s="10" t="s">
        <v>1517</v>
      </c>
      <c r="E49" s="10" t="s">
        <v>1518</v>
      </c>
      <c r="F49" s="10" t="str">
        <f aca="false">IFERROR(INDEX('Employer Master'!$L$5:$L$99,MATCH(D49,'Employer Master'!$A$5:$A$99,0)),"")</f>
        <v>BRK-09</v>
      </c>
      <c r="G49" s="10" t="s">
        <v>1808</v>
      </c>
      <c r="H49" s="10" t="n">
        <v>1</v>
      </c>
      <c r="I49" s="10" t="str">
        <f aca="false">IF(H49&gt;1,"yes","")</f>
        <v/>
      </c>
    </row>
    <row r="50" customFormat="false" ht="15" hidden="false" customHeight="true" outlineLevel="0" collapsed="false">
      <c r="A50" s="12" t="s">
        <v>1895</v>
      </c>
      <c r="B50" s="12" t="s">
        <v>1896</v>
      </c>
      <c r="C50" s="12" t="n">
        <v>27</v>
      </c>
      <c r="D50" s="12" t="s">
        <v>1517</v>
      </c>
      <c r="E50" s="12" t="s">
        <v>1518</v>
      </c>
      <c r="F50" s="12" t="str">
        <f aca="false">IFERROR(INDEX('Employer Master'!$L$5:$L$99,MATCH(D50,'Employer Master'!$A$5:$A$99,0)),"")</f>
        <v>BRK-09</v>
      </c>
      <c r="G50" s="12" t="s">
        <v>1808</v>
      </c>
      <c r="H50" s="12" t="n">
        <v>1</v>
      </c>
      <c r="I50" s="12" t="str">
        <f aca="false">IF(H50&gt;1,"yes","")</f>
        <v/>
      </c>
    </row>
    <row r="51" customFormat="false" ht="15" hidden="false" customHeight="true" outlineLevel="0" collapsed="false">
      <c r="A51" s="10" t="s">
        <v>1897</v>
      </c>
      <c r="B51" s="10" t="s">
        <v>1898</v>
      </c>
      <c r="C51" s="10" t="n">
        <v>40</v>
      </c>
      <c r="D51" s="10" t="s">
        <v>1517</v>
      </c>
      <c r="E51" s="10" t="s">
        <v>1518</v>
      </c>
      <c r="F51" s="10" t="str">
        <f aca="false">IFERROR(INDEX('Employer Master'!$L$5:$L$99,MATCH(D51,'Employer Master'!$A$5:$A$99,0)),"")</f>
        <v>BRK-09</v>
      </c>
      <c r="G51" s="10" t="s">
        <v>1808</v>
      </c>
      <c r="H51" s="10" t="n">
        <v>1</v>
      </c>
      <c r="I51" s="10" t="str">
        <f aca="false">IF(H51&gt;1,"yes","")</f>
        <v/>
      </c>
    </row>
    <row r="52" customFormat="false" ht="15" hidden="false" customHeight="true" outlineLevel="0" collapsed="false">
      <c r="A52" s="12" t="s">
        <v>1899</v>
      </c>
      <c r="B52" s="12" t="s">
        <v>1900</v>
      </c>
      <c r="C52" s="12" t="n">
        <v>39</v>
      </c>
      <c r="D52" s="12" t="s">
        <v>1517</v>
      </c>
      <c r="E52" s="12" t="s">
        <v>1518</v>
      </c>
      <c r="F52" s="12" t="str">
        <f aca="false">IFERROR(INDEX('Employer Master'!$L$5:$L$99,MATCH(D52,'Employer Master'!$A$5:$A$99,0)),"")</f>
        <v>BRK-09</v>
      </c>
      <c r="G52" s="12" t="s">
        <v>1544</v>
      </c>
      <c r="H52" s="12" t="n">
        <v>1</v>
      </c>
      <c r="I52" s="12" t="str">
        <f aca="false">IF(H52&gt;1,"yes","")</f>
        <v/>
      </c>
    </row>
    <row r="53" customFormat="false" ht="15" hidden="false" customHeight="true" outlineLevel="0" collapsed="false">
      <c r="A53" s="10" t="s">
        <v>1901</v>
      </c>
      <c r="B53" s="10" t="s">
        <v>1902</v>
      </c>
      <c r="C53" s="10" t="n">
        <v>40</v>
      </c>
      <c r="D53" s="10" t="s">
        <v>1517</v>
      </c>
      <c r="E53" s="10" t="s">
        <v>1518</v>
      </c>
      <c r="F53" s="10" t="str">
        <f aca="false">IFERROR(INDEX('Employer Master'!$L$5:$L$99,MATCH(D53,'Employer Master'!$A$5:$A$99,0)),"")</f>
        <v>BRK-09</v>
      </c>
      <c r="G53" s="10" t="s">
        <v>1544</v>
      </c>
      <c r="H53" s="10" t="n">
        <v>1</v>
      </c>
      <c r="I53" s="10" t="str">
        <f aca="false">IF(H53&gt;1,"yes","")</f>
        <v/>
      </c>
    </row>
    <row r="54" customFormat="false" ht="15" hidden="false" customHeight="true" outlineLevel="0" collapsed="false">
      <c r="A54" s="12" t="s">
        <v>1903</v>
      </c>
      <c r="B54" s="12" t="s">
        <v>1904</v>
      </c>
      <c r="C54" s="12" t="n">
        <v>32</v>
      </c>
      <c r="D54" s="12" t="s">
        <v>1526</v>
      </c>
      <c r="E54" s="12" t="s">
        <v>1527</v>
      </c>
      <c r="F54" s="12" t="str">
        <f aca="false">IFERROR(INDEX('Employer Master'!$L$5:$L$99,MATCH(D54,'Employer Master'!$A$5:$A$99,0)),"")</f>
        <v>BRK-06</v>
      </c>
      <c r="G54" s="12" t="s">
        <v>1544</v>
      </c>
      <c r="H54" s="12" t="n">
        <v>2</v>
      </c>
      <c r="I54" s="12" t="str">
        <f aca="false">IF(H54&gt;1,"yes","")</f>
        <v>yes</v>
      </c>
    </row>
    <row r="55" customFormat="false" ht="15" hidden="false" customHeight="true" outlineLevel="0" collapsed="false">
      <c r="A55" s="10" t="s">
        <v>1905</v>
      </c>
      <c r="B55" s="10" t="s">
        <v>1906</v>
      </c>
      <c r="C55" s="10" t="n">
        <v>38</v>
      </c>
      <c r="D55" s="10" t="s">
        <v>1526</v>
      </c>
      <c r="E55" s="10" t="s">
        <v>1527</v>
      </c>
      <c r="F55" s="10" t="str">
        <f aca="false">IFERROR(INDEX('Employer Master'!$L$5:$L$99,MATCH(D55,'Employer Master'!$A$5:$A$99,0)),"")</f>
        <v>BRK-06</v>
      </c>
      <c r="G55" s="10" t="s">
        <v>1544</v>
      </c>
      <c r="H55" s="10" t="n">
        <v>2</v>
      </c>
      <c r="I55" s="10" t="str">
        <f aca="false">IF(H55&gt;1,"yes","")</f>
        <v>yes</v>
      </c>
    </row>
    <row r="56" customFormat="false" ht="15" hidden="false" customHeight="true" outlineLevel="0" collapsed="false">
      <c r="A56" s="12" t="s">
        <v>1907</v>
      </c>
      <c r="B56" s="12" t="s">
        <v>1908</v>
      </c>
      <c r="C56" s="12" t="n">
        <v>43</v>
      </c>
      <c r="D56" s="12" t="s">
        <v>1526</v>
      </c>
      <c r="E56" s="12" t="s">
        <v>1527</v>
      </c>
      <c r="F56" s="12" t="str">
        <f aca="false">IFERROR(INDEX('Employer Master'!$L$5:$L$99,MATCH(D56,'Employer Master'!$A$5:$A$99,0)),"")</f>
        <v>BRK-06</v>
      </c>
      <c r="G56" s="12" t="s">
        <v>1544</v>
      </c>
      <c r="H56" s="12" t="n">
        <v>2</v>
      </c>
      <c r="I56" s="12" t="str">
        <f aca="false">IF(H56&gt;1,"yes","")</f>
        <v>yes</v>
      </c>
    </row>
    <row r="57" customFormat="false" ht="15" hidden="false" customHeight="true" outlineLevel="0" collapsed="false">
      <c r="A57" s="10" t="s">
        <v>1909</v>
      </c>
      <c r="B57" s="10" t="s">
        <v>1910</v>
      </c>
      <c r="C57" s="10" t="n">
        <v>47</v>
      </c>
      <c r="D57" s="10" t="s">
        <v>1526</v>
      </c>
      <c r="E57" s="10" t="s">
        <v>1527</v>
      </c>
      <c r="F57" s="10" t="str">
        <f aca="false">IFERROR(INDEX('Employer Master'!$L$5:$L$99,MATCH(D57,'Employer Master'!$A$5:$A$99,0)),"")</f>
        <v>BRK-06</v>
      </c>
      <c r="G57" s="10" t="s">
        <v>1544</v>
      </c>
      <c r="H57" s="10" t="n">
        <v>2</v>
      </c>
      <c r="I57" s="10" t="str">
        <f aca="false">IF(H57&gt;1,"yes","")</f>
        <v>yes</v>
      </c>
    </row>
    <row r="58" customFormat="false" ht="15" hidden="false" customHeight="true" outlineLevel="0" collapsed="false">
      <c r="A58" s="12" t="s">
        <v>1911</v>
      </c>
      <c r="B58" s="12" t="s">
        <v>1912</v>
      </c>
      <c r="C58" s="12" t="n">
        <v>42</v>
      </c>
      <c r="D58" s="12" t="s">
        <v>1526</v>
      </c>
      <c r="E58" s="12" t="s">
        <v>1527</v>
      </c>
      <c r="F58" s="12" t="str">
        <f aca="false">IFERROR(INDEX('Employer Master'!$L$5:$L$99,MATCH(D58,'Employer Master'!$A$5:$A$99,0)),"")</f>
        <v>BRK-06</v>
      </c>
      <c r="G58" s="12" t="s">
        <v>1544</v>
      </c>
      <c r="H58" s="12" t="n">
        <v>2</v>
      </c>
      <c r="I58" s="12" t="str">
        <f aca="false">IF(H58&gt;1,"yes","")</f>
        <v>yes</v>
      </c>
    </row>
    <row r="59" customFormat="false" ht="15" hidden="false" customHeight="true" outlineLevel="0" collapsed="false">
      <c r="A59" s="10" t="s">
        <v>1913</v>
      </c>
      <c r="B59" s="10" t="s">
        <v>1914</v>
      </c>
      <c r="C59" s="10" t="n">
        <v>54</v>
      </c>
      <c r="D59" s="10" t="s">
        <v>1526</v>
      </c>
      <c r="E59" s="10" t="s">
        <v>1527</v>
      </c>
      <c r="F59" s="10" t="str">
        <f aca="false">IFERROR(INDEX('Employer Master'!$L$5:$L$99,MATCH(D59,'Employer Master'!$A$5:$A$99,0)),"")</f>
        <v>BRK-06</v>
      </c>
      <c r="G59" s="10" t="s">
        <v>1544</v>
      </c>
      <c r="H59" s="10" t="n">
        <v>2</v>
      </c>
      <c r="I59" s="10" t="str">
        <f aca="false">IF(H59&gt;1,"yes","")</f>
        <v>yes</v>
      </c>
    </row>
    <row r="60" customFormat="false" ht="15" hidden="false" customHeight="true" outlineLevel="0" collapsed="false">
      <c r="A60" s="12" t="s">
        <v>1915</v>
      </c>
      <c r="B60" s="12" t="s">
        <v>1916</v>
      </c>
      <c r="C60" s="12" t="n">
        <v>55</v>
      </c>
      <c r="D60" s="12" t="s">
        <v>1526</v>
      </c>
      <c r="E60" s="12" t="s">
        <v>1527</v>
      </c>
      <c r="F60" s="12" t="str">
        <f aca="false">IFERROR(INDEX('Employer Master'!$L$5:$L$99,MATCH(D60,'Employer Master'!$A$5:$A$99,0)),"")</f>
        <v>BRK-06</v>
      </c>
      <c r="G60" s="12" t="s">
        <v>1544</v>
      </c>
      <c r="H60" s="12" t="n">
        <v>1</v>
      </c>
      <c r="I60" s="12" t="str">
        <f aca="false">IF(H60&gt;1,"yes","")</f>
        <v/>
      </c>
    </row>
    <row r="61" customFormat="false" ht="15" hidden="false" customHeight="true" outlineLevel="0" collapsed="false">
      <c r="A61" s="10" t="s">
        <v>1917</v>
      </c>
      <c r="B61" s="10" t="s">
        <v>1918</v>
      </c>
      <c r="C61" s="10" t="n">
        <v>36</v>
      </c>
      <c r="D61" s="10" t="s">
        <v>1526</v>
      </c>
      <c r="E61" s="10" t="s">
        <v>1527</v>
      </c>
      <c r="F61" s="10" t="str">
        <f aca="false">IFERROR(INDEX('Employer Master'!$L$5:$L$99,MATCH(D61,'Employer Master'!$A$5:$A$99,0)),"")</f>
        <v>BRK-06</v>
      </c>
      <c r="G61" s="10" t="s">
        <v>1544</v>
      </c>
      <c r="H61" s="10" t="n">
        <v>1</v>
      </c>
      <c r="I61" s="10" t="str">
        <f aca="false">IF(H61&gt;1,"yes","")</f>
        <v/>
      </c>
    </row>
    <row r="62" customFormat="false" ht="15" hidden="false" customHeight="true" outlineLevel="0" collapsed="false">
      <c r="A62" s="12" t="s">
        <v>1919</v>
      </c>
      <c r="B62" s="12" t="s">
        <v>1920</v>
      </c>
      <c r="C62" s="12" t="n">
        <v>53</v>
      </c>
      <c r="D62" s="12" t="s">
        <v>1526</v>
      </c>
      <c r="E62" s="12" t="s">
        <v>1527</v>
      </c>
      <c r="F62" s="12" t="str">
        <f aca="false">IFERROR(INDEX('Employer Master'!$L$5:$L$99,MATCH(D62,'Employer Master'!$A$5:$A$99,0)),"")</f>
        <v>BRK-06</v>
      </c>
      <c r="G62" s="12" t="s">
        <v>1808</v>
      </c>
      <c r="H62" s="12" t="n">
        <v>1</v>
      </c>
      <c r="I62" s="12" t="str">
        <f aca="false">IF(H62&gt;1,"yes","")</f>
        <v/>
      </c>
    </row>
    <row r="63" customFormat="false" ht="15" hidden="false" customHeight="true" outlineLevel="0" collapsed="false">
      <c r="A63" s="10" t="s">
        <v>1921</v>
      </c>
      <c r="B63" s="10" t="s">
        <v>1922</v>
      </c>
      <c r="C63" s="10" t="n">
        <v>43</v>
      </c>
      <c r="D63" s="10" t="s">
        <v>1526</v>
      </c>
      <c r="E63" s="10" t="s">
        <v>1527</v>
      </c>
      <c r="F63" s="10" t="str">
        <f aca="false">IFERROR(INDEX('Employer Master'!$L$5:$L$99,MATCH(D63,'Employer Master'!$A$5:$A$99,0)),"")</f>
        <v>BRK-06</v>
      </c>
      <c r="G63" s="10" t="s">
        <v>1808</v>
      </c>
      <c r="H63" s="10" t="n">
        <v>1</v>
      </c>
      <c r="I63" s="10" t="str">
        <f aca="false">IF(H63&gt;1,"yes","")</f>
        <v/>
      </c>
    </row>
    <row r="64" customFormat="false" ht="15" hidden="false" customHeight="true" outlineLevel="0" collapsed="false">
      <c r="A64" s="12" t="s">
        <v>1923</v>
      </c>
      <c r="B64" s="12" t="s">
        <v>1924</v>
      </c>
      <c r="C64" s="12" t="n">
        <v>32</v>
      </c>
      <c r="D64" s="12" t="s">
        <v>1526</v>
      </c>
      <c r="E64" s="12" t="s">
        <v>1527</v>
      </c>
      <c r="F64" s="12" t="str">
        <f aca="false">IFERROR(INDEX('Employer Master'!$L$5:$L$99,MATCH(D64,'Employer Master'!$A$5:$A$99,0)),"")</f>
        <v>BRK-06</v>
      </c>
      <c r="G64" s="12" t="s">
        <v>1808</v>
      </c>
      <c r="H64" s="12" t="n">
        <v>1</v>
      </c>
      <c r="I64" s="12" t="str">
        <f aca="false">IF(H64&gt;1,"yes","")</f>
        <v/>
      </c>
    </row>
    <row r="65" customFormat="false" ht="15" hidden="false" customHeight="true" outlineLevel="0" collapsed="false">
      <c r="A65" s="10" t="s">
        <v>1925</v>
      </c>
      <c r="B65" s="10" t="s">
        <v>1926</v>
      </c>
      <c r="C65" s="10" t="n">
        <v>48</v>
      </c>
      <c r="D65" s="10" t="s">
        <v>1526</v>
      </c>
      <c r="E65" s="10" t="s">
        <v>1527</v>
      </c>
      <c r="F65" s="10" t="str">
        <f aca="false">IFERROR(INDEX('Employer Master'!$L$5:$L$99,MATCH(D65,'Employer Master'!$A$5:$A$99,0)),"")</f>
        <v>BRK-06</v>
      </c>
      <c r="G65" s="10" t="s">
        <v>1808</v>
      </c>
      <c r="H65" s="10" t="n">
        <v>1</v>
      </c>
      <c r="I65" s="10" t="str">
        <f aca="false">IF(H65&gt;1,"yes","")</f>
        <v/>
      </c>
    </row>
    <row r="66" customFormat="false" ht="15" hidden="false" customHeight="true" outlineLevel="0" collapsed="false">
      <c r="A66" s="12" t="s">
        <v>1927</v>
      </c>
      <c r="B66" s="12" t="s">
        <v>1928</v>
      </c>
      <c r="C66" s="12" t="n">
        <v>37</v>
      </c>
      <c r="D66" s="12" t="s">
        <v>1526</v>
      </c>
      <c r="E66" s="12" t="s">
        <v>1527</v>
      </c>
      <c r="F66" s="12" t="str">
        <f aca="false">IFERROR(INDEX('Employer Master'!$L$5:$L$99,MATCH(D66,'Employer Master'!$A$5:$A$99,0)),"")</f>
        <v>BRK-06</v>
      </c>
      <c r="G66" s="12" t="s">
        <v>1808</v>
      </c>
      <c r="H66" s="12" t="n">
        <v>1</v>
      </c>
      <c r="I66" s="12" t="str">
        <f aca="false">IF(H66&gt;1,"yes","")</f>
        <v/>
      </c>
    </row>
    <row r="67" customFormat="false" ht="15" hidden="false" customHeight="true" outlineLevel="0" collapsed="false">
      <c r="A67" s="10" t="s">
        <v>1929</v>
      </c>
      <c r="B67" s="10" t="s">
        <v>1930</v>
      </c>
      <c r="C67" s="10" t="n">
        <v>45</v>
      </c>
      <c r="D67" s="10" t="s">
        <v>1526</v>
      </c>
      <c r="E67" s="10" t="s">
        <v>1527</v>
      </c>
      <c r="F67" s="10" t="str">
        <f aca="false">IFERROR(INDEX('Employer Master'!$L$5:$L$99,MATCH(D67,'Employer Master'!$A$5:$A$99,0)),"")</f>
        <v>BRK-06</v>
      </c>
      <c r="G67" s="10" t="s">
        <v>1808</v>
      </c>
      <c r="H67" s="10" t="n">
        <v>1</v>
      </c>
      <c r="I67" s="10" t="str">
        <f aca="false">IF(H67&gt;1,"yes","")</f>
        <v/>
      </c>
    </row>
    <row r="68" customFormat="false" ht="15" hidden="false" customHeight="true" outlineLevel="0" collapsed="false">
      <c r="A68" s="12" t="s">
        <v>1931</v>
      </c>
      <c r="B68" s="12" t="s">
        <v>1932</v>
      </c>
      <c r="C68" s="12" t="n">
        <v>25</v>
      </c>
      <c r="D68" s="12" t="s">
        <v>1533</v>
      </c>
      <c r="E68" s="12" t="s">
        <v>1534</v>
      </c>
      <c r="F68" s="12" t="str">
        <f aca="false">IFERROR(INDEX('Employer Master'!$L$5:$L$99,MATCH(D68,'Employer Master'!$A$5:$A$99,0)),"")</f>
        <v>BRK-01</v>
      </c>
      <c r="G68" s="12" t="s">
        <v>1544</v>
      </c>
      <c r="H68" s="12" t="n">
        <v>2</v>
      </c>
      <c r="I68" s="12" t="str">
        <f aca="false">IF(H68&gt;1,"yes","")</f>
        <v>yes</v>
      </c>
    </row>
    <row r="69" customFormat="false" ht="15" hidden="false" customHeight="true" outlineLevel="0" collapsed="false">
      <c r="A69" s="10" t="s">
        <v>1933</v>
      </c>
      <c r="B69" s="10" t="s">
        <v>1934</v>
      </c>
      <c r="C69" s="10" t="n">
        <v>23</v>
      </c>
      <c r="D69" s="10" t="s">
        <v>1533</v>
      </c>
      <c r="E69" s="10" t="s">
        <v>1534</v>
      </c>
      <c r="F69" s="10" t="str">
        <f aca="false">IFERROR(INDEX('Employer Master'!$L$5:$L$99,MATCH(D69,'Employer Master'!$A$5:$A$99,0)),"")</f>
        <v>BRK-01</v>
      </c>
      <c r="G69" s="10" t="s">
        <v>1805</v>
      </c>
      <c r="H69" s="10" t="n">
        <v>2</v>
      </c>
      <c r="I69" s="10" t="str">
        <f aca="false">IF(H69&gt;1,"yes","")</f>
        <v>yes</v>
      </c>
    </row>
    <row r="70" customFormat="false" ht="15" hidden="false" customHeight="true" outlineLevel="0" collapsed="false">
      <c r="A70" s="12" t="s">
        <v>1935</v>
      </c>
      <c r="B70" s="12" t="s">
        <v>1936</v>
      </c>
      <c r="C70" s="12" t="n">
        <v>27</v>
      </c>
      <c r="D70" s="12" t="s">
        <v>1533</v>
      </c>
      <c r="E70" s="12" t="s">
        <v>1534</v>
      </c>
      <c r="F70" s="12" t="str">
        <f aca="false">IFERROR(INDEX('Employer Master'!$L$5:$L$99,MATCH(D70,'Employer Master'!$A$5:$A$99,0)),"")</f>
        <v>BRK-01</v>
      </c>
      <c r="G70" s="12" t="s">
        <v>1805</v>
      </c>
      <c r="H70" s="12" t="n">
        <v>2</v>
      </c>
      <c r="I70" s="12" t="str">
        <f aca="false">IF(H70&gt;1,"yes","")</f>
        <v>yes</v>
      </c>
    </row>
    <row r="71" customFormat="false" ht="15" hidden="false" customHeight="true" outlineLevel="0" collapsed="false">
      <c r="A71" s="10" t="s">
        <v>1937</v>
      </c>
      <c r="B71" s="10" t="s">
        <v>1938</v>
      </c>
      <c r="C71" s="10" t="n">
        <v>45</v>
      </c>
      <c r="D71" s="10" t="s">
        <v>1533</v>
      </c>
      <c r="E71" s="10" t="s">
        <v>1534</v>
      </c>
      <c r="F71" s="10" t="str">
        <f aca="false">IFERROR(INDEX('Employer Master'!$L$5:$L$99,MATCH(D71,'Employer Master'!$A$5:$A$99,0)),"")</f>
        <v>BRK-01</v>
      </c>
      <c r="G71" s="10" t="s">
        <v>1805</v>
      </c>
      <c r="H71" s="10" t="n">
        <v>2</v>
      </c>
      <c r="I71" s="10" t="str">
        <f aca="false">IF(H71&gt;1,"yes","")</f>
        <v>yes</v>
      </c>
    </row>
    <row r="72" customFormat="false" ht="15" hidden="false" customHeight="true" outlineLevel="0" collapsed="false">
      <c r="A72" s="12" t="s">
        <v>1939</v>
      </c>
      <c r="B72" s="12" t="s">
        <v>1940</v>
      </c>
      <c r="C72" s="12" t="n">
        <v>38</v>
      </c>
      <c r="D72" s="12" t="s">
        <v>1533</v>
      </c>
      <c r="E72" s="12" t="s">
        <v>1534</v>
      </c>
      <c r="F72" s="12" t="str">
        <f aca="false">IFERROR(INDEX('Employer Master'!$L$5:$L$99,MATCH(D72,'Employer Master'!$A$5:$A$99,0)),"")</f>
        <v>BRK-01</v>
      </c>
      <c r="G72" s="12" t="s">
        <v>1808</v>
      </c>
      <c r="H72" s="12" t="n">
        <v>2</v>
      </c>
      <c r="I72" s="12" t="str">
        <f aca="false">IF(H72&gt;1,"yes","")</f>
        <v>yes</v>
      </c>
    </row>
    <row r="73" customFormat="false" ht="15" hidden="false" customHeight="true" outlineLevel="0" collapsed="false">
      <c r="A73" s="10" t="s">
        <v>1941</v>
      </c>
      <c r="B73" s="10" t="s">
        <v>1942</v>
      </c>
      <c r="C73" s="10" t="n">
        <v>50</v>
      </c>
      <c r="D73" s="10" t="s">
        <v>1533</v>
      </c>
      <c r="E73" s="10" t="s">
        <v>1534</v>
      </c>
      <c r="F73" s="10" t="str">
        <f aca="false">IFERROR(INDEX('Employer Master'!$L$5:$L$99,MATCH(D73,'Employer Master'!$A$5:$A$99,0)),"")</f>
        <v>BRK-01</v>
      </c>
      <c r="G73" s="10" t="s">
        <v>1544</v>
      </c>
      <c r="H73" s="10" t="n">
        <v>1</v>
      </c>
      <c r="I73" s="10" t="str">
        <f aca="false">IF(H73&gt;1,"yes","")</f>
        <v/>
      </c>
    </row>
    <row r="74" customFormat="false" ht="15" hidden="false" customHeight="true" outlineLevel="0" collapsed="false">
      <c r="A74" s="12" t="s">
        <v>1943</v>
      </c>
      <c r="B74" s="12" t="s">
        <v>1944</v>
      </c>
      <c r="C74" s="12" t="n">
        <v>26</v>
      </c>
      <c r="D74" s="12" t="s">
        <v>1533</v>
      </c>
      <c r="E74" s="12" t="s">
        <v>1534</v>
      </c>
      <c r="F74" s="12" t="str">
        <f aca="false">IFERROR(INDEX('Employer Master'!$L$5:$L$99,MATCH(D74,'Employer Master'!$A$5:$A$99,0)),"")</f>
        <v>BRK-01</v>
      </c>
      <c r="G74" s="12" t="s">
        <v>1808</v>
      </c>
      <c r="H74" s="12" t="n">
        <v>1</v>
      </c>
      <c r="I74" s="12" t="str">
        <f aca="false">IF(H74&gt;1,"yes","")</f>
        <v/>
      </c>
    </row>
    <row r="75" customFormat="false" ht="15" hidden="false" customHeight="true" outlineLevel="0" collapsed="false">
      <c r="A75" s="10" t="s">
        <v>1945</v>
      </c>
      <c r="B75" s="10" t="s">
        <v>1946</v>
      </c>
      <c r="C75" s="10" t="n">
        <v>41</v>
      </c>
      <c r="D75" s="10" t="s">
        <v>1533</v>
      </c>
      <c r="E75" s="10" t="s">
        <v>1534</v>
      </c>
      <c r="F75" s="10" t="str">
        <f aca="false">IFERROR(INDEX('Employer Master'!$L$5:$L$99,MATCH(D75,'Employer Master'!$A$5:$A$99,0)),"")</f>
        <v>BRK-01</v>
      </c>
      <c r="G75" s="10" t="s">
        <v>1808</v>
      </c>
      <c r="H75" s="10" t="n">
        <v>1</v>
      </c>
      <c r="I75" s="10" t="str">
        <f aca="false">IF(H75&gt;1,"yes","")</f>
        <v/>
      </c>
    </row>
    <row r="76" customFormat="false" ht="15" hidden="false" customHeight="true" outlineLevel="0" collapsed="false">
      <c r="A76" s="12" t="s">
        <v>1947</v>
      </c>
      <c r="B76" s="12" t="s">
        <v>1948</v>
      </c>
      <c r="C76" s="12" t="n">
        <v>33</v>
      </c>
      <c r="D76" s="12" t="s">
        <v>1533</v>
      </c>
      <c r="E76" s="12" t="s">
        <v>1534</v>
      </c>
      <c r="F76" s="12" t="str">
        <f aca="false">IFERROR(INDEX('Employer Master'!$L$5:$L$99,MATCH(D76,'Employer Master'!$A$5:$A$99,0)),"")</f>
        <v>BRK-01</v>
      </c>
      <c r="G76" s="12" t="s">
        <v>1544</v>
      </c>
      <c r="H76" s="12" t="n">
        <v>1</v>
      </c>
      <c r="I76" s="12" t="str">
        <f aca="false">IF(H76&gt;1,"yes","")</f>
        <v/>
      </c>
    </row>
    <row r="77" customFormat="false" ht="15" hidden="false" customHeight="true" outlineLevel="0" collapsed="false">
      <c r="A77" s="10" t="s">
        <v>1949</v>
      </c>
      <c r="B77" s="10" t="s">
        <v>1950</v>
      </c>
      <c r="C77" s="10" t="n">
        <v>33</v>
      </c>
      <c r="D77" s="10" t="s">
        <v>1533</v>
      </c>
      <c r="E77" s="10" t="s">
        <v>1534</v>
      </c>
      <c r="F77" s="10" t="str">
        <f aca="false">IFERROR(INDEX('Employer Master'!$L$5:$L$99,MATCH(D77,'Employer Master'!$A$5:$A$99,0)),"")</f>
        <v>BRK-01</v>
      </c>
      <c r="G77" s="10" t="s">
        <v>1808</v>
      </c>
      <c r="H77" s="10" t="n">
        <v>1</v>
      </c>
      <c r="I77" s="10" t="str">
        <f aca="false">IF(H77&gt;1,"yes","")</f>
        <v/>
      </c>
    </row>
    <row r="78" customFormat="false" ht="15" hidden="false" customHeight="true" outlineLevel="0" collapsed="false">
      <c r="A78" s="12" t="s">
        <v>1951</v>
      </c>
      <c r="B78" s="12" t="s">
        <v>1952</v>
      </c>
      <c r="C78" s="12" t="n">
        <v>28</v>
      </c>
      <c r="D78" s="12" t="s">
        <v>1533</v>
      </c>
      <c r="E78" s="12" t="s">
        <v>1534</v>
      </c>
      <c r="F78" s="12" t="str">
        <f aca="false">IFERROR(INDEX('Employer Master'!$L$5:$L$99,MATCH(D78,'Employer Master'!$A$5:$A$99,0)),"")</f>
        <v>BRK-01</v>
      </c>
      <c r="G78" s="12" t="s">
        <v>1805</v>
      </c>
      <c r="H78" s="12" t="n">
        <v>1</v>
      </c>
      <c r="I78" s="12" t="str">
        <f aca="false">IF(H78&gt;1,"yes","")</f>
        <v/>
      </c>
    </row>
    <row r="79" customFormat="false" ht="15" hidden="false" customHeight="true" outlineLevel="0" collapsed="false">
      <c r="A79" s="10" t="s">
        <v>1953</v>
      </c>
      <c r="B79" s="10" t="s">
        <v>1954</v>
      </c>
      <c r="C79" s="10" t="n">
        <v>32</v>
      </c>
      <c r="D79" s="10" t="s">
        <v>1533</v>
      </c>
      <c r="E79" s="10" t="s">
        <v>1534</v>
      </c>
      <c r="F79" s="10" t="str">
        <f aca="false">IFERROR(INDEX('Employer Master'!$L$5:$L$99,MATCH(D79,'Employer Master'!$A$5:$A$99,0)),"")</f>
        <v>BRK-01</v>
      </c>
      <c r="G79" s="10" t="s">
        <v>1808</v>
      </c>
      <c r="H79" s="10" t="n">
        <v>1</v>
      </c>
      <c r="I79" s="10" t="str">
        <f aca="false">IF(H79&gt;1,"yes","")</f>
        <v/>
      </c>
    </row>
    <row r="80" customFormat="false" ht="15" hidden="false" customHeight="true" outlineLevel="0" collapsed="false">
      <c r="A80" s="12" t="s">
        <v>1955</v>
      </c>
      <c r="B80" s="12" t="s">
        <v>1956</v>
      </c>
      <c r="C80" s="12" t="n">
        <v>58</v>
      </c>
      <c r="D80" s="12" t="s">
        <v>1533</v>
      </c>
      <c r="E80" s="12" t="s">
        <v>1534</v>
      </c>
      <c r="F80" s="12" t="str">
        <f aca="false">IFERROR(INDEX('Employer Master'!$L$5:$L$99,MATCH(D80,'Employer Master'!$A$5:$A$99,0)),"")</f>
        <v>BRK-01</v>
      </c>
      <c r="G80" s="12" t="s">
        <v>1808</v>
      </c>
      <c r="H80" s="12" t="n">
        <v>1</v>
      </c>
      <c r="I80" s="12" t="str">
        <f aca="false">IF(H80&gt;1,"yes","")</f>
        <v/>
      </c>
    </row>
    <row r="81" customFormat="false" ht="15" hidden="false" customHeight="true" outlineLevel="0" collapsed="false">
      <c r="A81" s="10" t="s">
        <v>1957</v>
      </c>
      <c r="B81" s="10" t="s">
        <v>1958</v>
      </c>
      <c r="C81" s="10" t="n">
        <v>30</v>
      </c>
      <c r="D81" s="10" t="s">
        <v>1533</v>
      </c>
      <c r="E81" s="10" t="s">
        <v>1534</v>
      </c>
      <c r="F81" s="10" t="str">
        <f aca="false">IFERROR(INDEX('Employer Master'!$L$5:$L$99,MATCH(D81,'Employer Master'!$A$5:$A$99,0)),"")</f>
        <v>BRK-01</v>
      </c>
      <c r="G81" s="10" t="s">
        <v>1808</v>
      </c>
      <c r="H81" s="10" t="n">
        <v>1</v>
      </c>
      <c r="I81" s="10" t="str">
        <f aca="false">IF(H81&gt;1,"yes","")</f>
        <v/>
      </c>
    </row>
    <row r="82" customFormat="false" ht="15" hidden="false" customHeight="true" outlineLevel="0" collapsed="false">
      <c r="A82" s="12" t="s">
        <v>1959</v>
      </c>
      <c r="B82" s="12" t="s">
        <v>1960</v>
      </c>
      <c r="C82" s="12" t="n">
        <v>40</v>
      </c>
      <c r="D82" s="12" t="s">
        <v>1539</v>
      </c>
      <c r="E82" s="12" t="s">
        <v>1540</v>
      </c>
      <c r="F82" s="12" t="str">
        <f aca="false">IFERROR(INDEX('Employer Master'!$L$5:$L$99,MATCH(D82,'Employer Master'!$A$5:$A$99,0)),"")</f>
        <v>BRK-03</v>
      </c>
      <c r="G82" s="12" t="s">
        <v>1544</v>
      </c>
      <c r="H82" s="12" t="n">
        <v>2</v>
      </c>
      <c r="I82" s="12" t="str">
        <f aca="false">IF(H82&gt;1,"yes","")</f>
        <v>yes</v>
      </c>
    </row>
    <row r="83" customFormat="false" ht="15" hidden="false" customHeight="true" outlineLevel="0" collapsed="false">
      <c r="A83" s="10" t="s">
        <v>1961</v>
      </c>
      <c r="B83" s="10" t="s">
        <v>1962</v>
      </c>
      <c r="C83" s="10" t="n">
        <v>60</v>
      </c>
      <c r="D83" s="10" t="s">
        <v>1539</v>
      </c>
      <c r="E83" s="10" t="s">
        <v>1540</v>
      </c>
      <c r="F83" s="10" t="str">
        <f aca="false">IFERROR(INDEX('Employer Master'!$L$5:$L$99,MATCH(D83,'Employer Master'!$A$5:$A$99,0)),"")</f>
        <v>BRK-03</v>
      </c>
      <c r="G83" s="10" t="s">
        <v>1544</v>
      </c>
      <c r="H83" s="10" t="n">
        <v>2</v>
      </c>
      <c r="I83" s="10" t="str">
        <f aca="false">IF(H83&gt;1,"yes","")</f>
        <v>yes</v>
      </c>
    </row>
    <row r="84" customFormat="false" ht="15" hidden="false" customHeight="true" outlineLevel="0" collapsed="false">
      <c r="A84" s="12" t="s">
        <v>1963</v>
      </c>
      <c r="B84" s="12" t="s">
        <v>1964</v>
      </c>
      <c r="C84" s="12" t="n">
        <v>27</v>
      </c>
      <c r="D84" s="12" t="s">
        <v>1539</v>
      </c>
      <c r="E84" s="12" t="s">
        <v>1540</v>
      </c>
      <c r="F84" s="12" t="str">
        <f aca="false">IFERROR(INDEX('Employer Master'!$L$5:$L$99,MATCH(D84,'Employer Master'!$A$5:$A$99,0)),"")</f>
        <v>BRK-03</v>
      </c>
      <c r="G84" s="12" t="s">
        <v>1544</v>
      </c>
      <c r="H84" s="12" t="n">
        <v>2</v>
      </c>
      <c r="I84" s="12" t="str">
        <f aca="false">IF(H84&gt;1,"yes","")</f>
        <v>yes</v>
      </c>
    </row>
    <row r="85" customFormat="false" ht="15" hidden="false" customHeight="true" outlineLevel="0" collapsed="false">
      <c r="A85" s="10" t="s">
        <v>1965</v>
      </c>
      <c r="B85" s="10" t="s">
        <v>1966</v>
      </c>
      <c r="C85" s="10" t="n">
        <v>43</v>
      </c>
      <c r="D85" s="10" t="s">
        <v>1539</v>
      </c>
      <c r="E85" s="10" t="s">
        <v>1540</v>
      </c>
      <c r="F85" s="10" t="str">
        <f aca="false">IFERROR(INDEX('Employer Master'!$L$5:$L$99,MATCH(D85,'Employer Master'!$A$5:$A$99,0)),"")</f>
        <v>BRK-03</v>
      </c>
      <c r="G85" s="10" t="s">
        <v>1544</v>
      </c>
      <c r="H85" s="10" t="n">
        <v>2</v>
      </c>
      <c r="I85" s="10" t="str">
        <f aca="false">IF(H85&gt;1,"yes","")</f>
        <v>yes</v>
      </c>
    </row>
    <row r="86" customFormat="false" ht="15" hidden="false" customHeight="true" outlineLevel="0" collapsed="false">
      <c r="A86" s="12" t="s">
        <v>1967</v>
      </c>
      <c r="B86" s="12" t="s">
        <v>1968</v>
      </c>
      <c r="C86" s="12" t="n">
        <v>39</v>
      </c>
      <c r="D86" s="12" t="s">
        <v>1539</v>
      </c>
      <c r="E86" s="12" t="s">
        <v>1540</v>
      </c>
      <c r="F86" s="12" t="str">
        <f aca="false">IFERROR(INDEX('Employer Master'!$L$5:$L$99,MATCH(D86,'Employer Master'!$A$5:$A$99,0)),"")</f>
        <v>BRK-03</v>
      </c>
      <c r="G86" s="12" t="s">
        <v>1544</v>
      </c>
      <c r="H86" s="12" t="n">
        <v>2</v>
      </c>
      <c r="I86" s="12" t="str">
        <f aca="false">IF(H86&gt;1,"yes","")</f>
        <v>yes</v>
      </c>
    </row>
    <row r="87" customFormat="false" ht="15" hidden="false" customHeight="true" outlineLevel="0" collapsed="false">
      <c r="A87" s="10" t="s">
        <v>1969</v>
      </c>
      <c r="B87" s="10" t="s">
        <v>1970</v>
      </c>
      <c r="C87" s="10" t="n">
        <v>47</v>
      </c>
      <c r="D87" s="10" t="s">
        <v>1539</v>
      </c>
      <c r="E87" s="10" t="s">
        <v>1540</v>
      </c>
      <c r="F87" s="10" t="str">
        <f aca="false">IFERROR(INDEX('Employer Master'!$L$5:$L$99,MATCH(D87,'Employer Master'!$A$5:$A$99,0)),"")</f>
        <v>BRK-03</v>
      </c>
      <c r="G87" s="10" t="s">
        <v>1544</v>
      </c>
      <c r="H87" s="10" t="n">
        <v>1</v>
      </c>
      <c r="I87" s="10" t="str">
        <f aca="false">IF(H87&gt;1,"yes","")</f>
        <v/>
      </c>
    </row>
    <row r="88" customFormat="false" ht="15" hidden="false" customHeight="true" outlineLevel="0" collapsed="false">
      <c r="A88" s="12" t="s">
        <v>1971</v>
      </c>
      <c r="B88" s="12" t="s">
        <v>1972</v>
      </c>
      <c r="C88" s="12" t="n">
        <v>24</v>
      </c>
      <c r="D88" s="12" t="s">
        <v>1539</v>
      </c>
      <c r="E88" s="12" t="s">
        <v>1540</v>
      </c>
      <c r="F88" s="12" t="str">
        <f aca="false">IFERROR(INDEX('Employer Master'!$L$5:$L$99,MATCH(D88,'Employer Master'!$A$5:$A$99,0)),"")</f>
        <v>BRK-03</v>
      </c>
      <c r="G88" s="12" t="s">
        <v>1544</v>
      </c>
      <c r="H88" s="12" t="n">
        <v>1</v>
      </c>
      <c r="I88" s="12" t="str">
        <f aca="false">IF(H88&gt;1,"yes","")</f>
        <v/>
      </c>
    </row>
    <row r="89" customFormat="false" ht="15" hidden="false" customHeight="true" outlineLevel="0" collapsed="false">
      <c r="A89" s="10" t="s">
        <v>1973</v>
      </c>
      <c r="B89" s="10" t="s">
        <v>1974</v>
      </c>
      <c r="C89" s="10" t="n">
        <v>63</v>
      </c>
      <c r="D89" s="10" t="s">
        <v>1539</v>
      </c>
      <c r="E89" s="10" t="s">
        <v>1540</v>
      </c>
      <c r="F89" s="10" t="str">
        <f aca="false">IFERROR(INDEX('Employer Master'!$L$5:$L$99,MATCH(D89,'Employer Master'!$A$5:$A$99,0)),"")</f>
        <v>BRK-03</v>
      </c>
      <c r="G89" s="10" t="s">
        <v>1544</v>
      </c>
      <c r="H89" s="10" t="n">
        <v>1</v>
      </c>
      <c r="I89" s="10" t="str">
        <f aca="false">IF(H89&gt;1,"yes","")</f>
        <v/>
      </c>
    </row>
    <row r="90" customFormat="false" ht="15" hidden="false" customHeight="true" outlineLevel="0" collapsed="false">
      <c r="A90" s="12" t="s">
        <v>1975</v>
      </c>
      <c r="B90" s="12" t="s">
        <v>1976</v>
      </c>
      <c r="C90" s="12" t="n">
        <v>62</v>
      </c>
      <c r="D90" s="12" t="s">
        <v>1539</v>
      </c>
      <c r="E90" s="12" t="s">
        <v>1540</v>
      </c>
      <c r="F90" s="12" t="str">
        <f aca="false">IFERROR(INDEX('Employer Master'!$L$5:$L$99,MATCH(D90,'Employer Master'!$A$5:$A$99,0)),"")</f>
        <v>BRK-03</v>
      </c>
      <c r="G90" s="12" t="s">
        <v>1544</v>
      </c>
      <c r="H90" s="12" t="n">
        <v>1</v>
      </c>
      <c r="I90" s="12" t="str">
        <f aca="false">IF(H90&gt;1,"yes","")</f>
        <v/>
      </c>
    </row>
    <row r="91" customFormat="false" ht="15" hidden="false" customHeight="true" outlineLevel="0" collapsed="false">
      <c r="A91" s="10" t="s">
        <v>1977</v>
      </c>
      <c r="B91" s="10" t="s">
        <v>1978</v>
      </c>
      <c r="C91" s="10" t="n">
        <v>27</v>
      </c>
      <c r="D91" s="10" t="s">
        <v>1539</v>
      </c>
      <c r="E91" s="10" t="s">
        <v>1540</v>
      </c>
      <c r="F91" s="10" t="str">
        <f aca="false">IFERROR(INDEX('Employer Master'!$L$5:$L$99,MATCH(D91,'Employer Master'!$A$5:$A$99,0)),"")</f>
        <v>BRK-03</v>
      </c>
      <c r="G91" s="10" t="s">
        <v>1544</v>
      </c>
      <c r="H91" s="10" t="n">
        <v>1</v>
      </c>
      <c r="I91" s="10" t="str">
        <f aca="false">IF(H91&gt;1,"yes","")</f>
        <v/>
      </c>
    </row>
    <row r="92" customFormat="false" ht="15" hidden="false" customHeight="true" outlineLevel="0" collapsed="false">
      <c r="A92" s="12" t="s">
        <v>1979</v>
      </c>
      <c r="B92" s="12" t="s">
        <v>1980</v>
      </c>
      <c r="C92" s="12" t="n">
        <v>47</v>
      </c>
      <c r="D92" s="12" t="s">
        <v>1539</v>
      </c>
      <c r="E92" s="12" t="s">
        <v>1540</v>
      </c>
      <c r="F92" s="12" t="str">
        <f aca="false">IFERROR(INDEX('Employer Master'!$L$5:$L$99,MATCH(D92,'Employer Master'!$A$5:$A$99,0)),"")</f>
        <v>BRK-03</v>
      </c>
      <c r="G92" s="12" t="s">
        <v>1544</v>
      </c>
      <c r="H92" s="12" t="n">
        <v>1</v>
      </c>
      <c r="I92" s="12" t="str">
        <f aca="false">IF(H92&gt;1,"yes","")</f>
        <v/>
      </c>
    </row>
    <row r="93" customFormat="false" ht="15" hidden="false" customHeight="true" outlineLevel="0" collapsed="false">
      <c r="A93" s="10" t="s">
        <v>1981</v>
      </c>
      <c r="B93" s="10" t="s">
        <v>1982</v>
      </c>
      <c r="C93" s="10" t="n">
        <v>42</v>
      </c>
      <c r="D93" s="10" t="s">
        <v>1539</v>
      </c>
      <c r="E93" s="10" t="s">
        <v>1540</v>
      </c>
      <c r="F93" s="10" t="str">
        <f aca="false">IFERROR(INDEX('Employer Master'!$L$5:$L$99,MATCH(D93,'Employer Master'!$A$5:$A$99,0)),"")</f>
        <v>BRK-03</v>
      </c>
      <c r="G93" s="10" t="s">
        <v>1544</v>
      </c>
      <c r="H93" s="10" t="n">
        <v>1</v>
      </c>
      <c r="I93" s="10" t="str">
        <f aca="false">IF(H93&gt;1,"yes","")</f>
        <v/>
      </c>
    </row>
    <row r="94" customFormat="false" ht="15" hidden="false" customHeight="true" outlineLevel="0" collapsed="false">
      <c r="A94" s="12" t="s">
        <v>1983</v>
      </c>
      <c r="B94" s="12" t="s">
        <v>1984</v>
      </c>
      <c r="C94" s="12" t="n">
        <v>24</v>
      </c>
      <c r="D94" s="12" t="s">
        <v>1539</v>
      </c>
      <c r="E94" s="12" t="s">
        <v>1540</v>
      </c>
      <c r="F94" s="12" t="str">
        <f aca="false">IFERROR(INDEX('Employer Master'!$L$5:$L$99,MATCH(D94,'Employer Master'!$A$5:$A$99,0)),"")</f>
        <v>BRK-03</v>
      </c>
      <c r="G94" s="12" t="s">
        <v>1544</v>
      </c>
      <c r="H94" s="12" t="n">
        <v>1</v>
      </c>
      <c r="I94" s="12" t="str">
        <f aca="false">IF(H94&gt;1,"yes","")</f>
        <v/>
      </c>
    </row>
    <row r="95" customFormat="false" ht="15" hidden="false" customHeight="true" outlineLevel="0" collapsed="false">
      <c r="A95" s="10" t="s">
        <v>1985</v>
      </c>
      <c r="B95" s="10" t="s">
        <v>1986</v>
      </c>
      <c r="C95" s="10" t="n">
        <v>39</v>
      </c>
      <c r="D95" s="10" t="s">
        <v>1539</v>
      </c>
      <c r="E95" s="10" t="s">
        <v>1540</v>
      </c>
      <c r="F95" s="10" t="str">
        <f aca="false">IFERROR(INDEX('Employer Master'!$L$5:$L$99,MATCH(D95,'Employer Master'!$A$5:$A$99,0)),"")</f>
        <v>BRK-03</v>
      </c>
      <c r="G95" s="10" t="s">
        <v>1544</v>
      </c>
      <c r="H95" s="10" t="n">
        <v>1</v>
      </c>
      <c r="I95" s="10" t="str">
        <f aca="false">IF(H95&gt;1,"yes","")</f>
        <v/>
      </c>
    </row>
    <row r="96" customFormat="false" ht="15" hidden="false" customHeight="true" outlineLevel="0" collapsed="false">
      <c r="A96" s="12" t="s">
        <v>1987</v>
      </c>
      <c r="B96" s="12" t="s">
        <v>1988</v>
      </c>
      <c r="C96" s="12" t="n">
        <v>56</v>
      </c>
      <c r="D96" s="12" t="s">
        <v>1545</v>
      </c>
      <c r="E96" s="12" t="s">
        <v>1546</v>
      </c>
      <c r="F96" s="12" t="str">
        <f aca="false">IFERROR(INDEX('Employer Master'!$L$5:$L$99,MATCH(D96,'Employer Master'!$A$5:$A$99,0)),"")</f>
        <v>BRK-02</v>
      </c>
      <c r="G96" s="12" t="s">
        <v>1544</v>
      </c>
      <c r="H96" s="12" t="n">
        <v>2</v>
      </c>
      <c r="I96" s="12" t="str">
        <f aca="false">IF(H96&gt;1,"yes","")</f>
        <v>yes</v>
      </c>
    </row>
    <row r="97" customFormat="false" ht="15" hidden="false" customHeight="true" outlineLevel="0" collapsed="false">
      <c r="A97" s="10" t="s">
        <v>1989</v>
      </c>
      <c r="B97" s="10" t="s">
        <v>1990</v>
      </c>
      <c r="C97" s="10" t="n">
        <v>23</v>
      </c>
      <c r="D97" s="10" t="s">
        <v>1545</v>
      </c>
      <c r="E97" s="10" t="s">
        <v>1546</v>
      </c>
      <c r="F97" s="10" t="str">
        <f aca="false">IFERROR(INDEX('Employer Master'!$L$5:$L$99,MATCH(D97,'Employer Master'!$A$5:$A$99,0)),"")</f>
        <v>BRK-02</v>
      </c>
      <c r="G97" s="10" t="s">
        <v>1991</v>
      </c>
      <c r="H97" s="10" t="n">
        <v>2</v>
      </c>
      <c r="I97" s="10" t="str">
        <f aca="false">IF(H97&gt;1,"yes","")</f>
        <v>yes</v>
      </c>
    </row>
    <row r="98" customFormat="false" ht="15" hidden="false" customHeight="true" outlineLevel="0" collapsed="false">
      <c r="A98" s="12" t="s">
        <v>1992</v>
      </c>
      <c r="B98" s="12" t="s">
        <v>1993</v>
      </c>
      <c r="C98" s="12" t="n">
        <v>64</v>
      </c>
      <c r="D98" s="12" t="s">
        <v>1545</v>
      </c>
      <c r="E98" s="12" t="s">
        <v>1546</v>
      </c>
      <c r="F98" s="12" t="str">
        <f aca="false">IFERROR(INDEX('Employer Master'!$L$5:$L$99,MATCH(D98,'Employer Master'!$A$5:$A$99,0)),"")</f>
        <v>BRK-02</v>
      </c>
      <c r="G98" s="12" t="s">
        <v>1991</v>
      </c>
      <c r="H98" s="12" t="n">
        <v>2</v>
      </c>
      <c r="I98" s="12" t="str">
        <f aca="false">IF(H98&gt;1,"yes","")</f>
        <v>yes</v>
      </c>
    </row>
    <row r="99" customFormat="false" ht="15" hidden="false" customHeight="true" outlineLevel="0" collapsed="false">
      <c r="A99" s="10" t="s">
        <v>1994</v>
      </c>
      <c r="B99" s="10" t="s">
        <v>1995</v>
      </c>
      <c r="C99" s="10" t="n">
        <v>62</v>
      </c>
      <c r="D99" s="10" t="s">
        <v>1545</v>
      </c>
      <c r="E99" s="10" t="s">
        <v>1546</v>
      </c>
      <c r="F99" s="10" t="str">
        <f aca="false">IFERROR(INDEX('Employer Master'!$L$5:$L$99,MATCH(D99,'Employer Master'!$A$5:$A$99,0)),"")</f>
        <v>BRK-02</v>
      </c>
      <c r="G99" s="10" t="s">
        <v>1544</v>
      </c>
      <c r="H99" s="10" t="n">
        <v>1</v>
      </c>
      <c r="I99" s="10" t="str">
        <f aca="false">IF(H99&gt;1,"yes","")</f>
        <v/>
      </c>
    </row>
    <row r="100" customFormat="false" ht="15" hidden="false" customHeight="true" outlineLevel="0" collapsed="false">
      <c r="A100" s="12" t="s">
        <v>1996</v>
      </c>
      <c r="B100" s="12" t="s">
        <v>1997</v>
      </c>
      <c r="C100" s="12" t="n">
        <v>45</v>
      </c>
      <c r="D100" s="12" t="s">
        <v>1545</v>
      </c>
      <c r="E100" s="12" t="s">
        <v>1546</v>
      </c>
      <c r="F100" s="12" t="str">
        <f aca="false">IFERROR(INDEX('Employer Master'!$L$5:$L$99,MATCH(D100,'Employer Master'!$A$5:$A$99,0)),"")</f>
        <v>BRK-02</v>
      </c>
      <c r="G100" s="12" t="s">
        <v>1991</v>
      </c>
      <c r="H100" s="12" t="n">
        <v>1</v>
      </c>
      <c r="I100" s="12" t="str">
        <f aca="false">IF(H100&gt;1,"yes","")</f>
        <v/>
      </c>
    </row>
    <row r="101" customFormat="false" ht="15" hidden="false" customHeight="true" outlineLevel="0" collapsed="false">
      <c r="A101" s="10" t="s">
        <v>1998</v>
      </c>
      <c r="B101" s="10" t="s">
        <v>1999</v>
      </c>
      <c r="C101" s="10" t="n">
        <v>36</v>
      </c>
      <c r="D101" s="10" t="s">
        <v>1545</v>
      </c>
      <c r="E101" s="10" t="s">
        <v>1546</v>
      </c>
      <c r="F101" s="10" t="str">
        <f aca="false">IFERROR(INDEX('Employer Master'!$L$5:$L$99,MATCH(D101,'Employer Master'!$A$5:$A$99,0)),"")</f>
        <v>BRK-02</v>
      </c>
      <c r="G101" s="10" t="s">
        <v>1991</v>
      </c>
      <c r="H101" s="10" t="n">
        <v>1</v>
      </c>
      <c r="I101" s="10" t="str">
        <f aca="false">IF(H101&gt;1,"yes","")</f>
        <v/>
      </c>
    </row>
    <row r="102" customFormat="false" ht="15" hidden="false" customHeight="true" outlineLevel="0" collapsed="false">
      <c r="A102" s="12" t="s">
        <v>2000</v>
      </c>
      <c r="B102" s="12" t="s">
        <v>2001</v>
      </c>
      <c r="C102" s="12" t="n">
        <v>35</v>
      </c>
      <c r="D102" s="12" t="s">
        <v>1545</v>
      </c>
      <c r="E102" s="12" t="s">
        <v>1546</v>
      </c>
      <c r="F102" s="12" t="str">
        <f aca="false">IFERROR(INDEX('Employer Master'!$L$5:$L$99,MATCH(D102,'Employer Master'!$A$5:$A$99,0)),"")</f>
        <v>BRK-02</v>
      </c>
      <c r="G102" s="12" t="s">
        <v>1544</v>
      </c>
      <c r="H102" s="12" t="n">
        <v>1</v>
      </c>
      <c r="I102" s="12" t="str">
        <f aca="false">IF(H102&gt;1,"yes","")</f>
        <v/>
      </c>
    </row>
    <row r="103" customFormat="false" ht="15" hidden="false" customHeight="true" outlineLevel="0" collapsed="false">
      <c r="A103" s="10" t="s">
        <v>2002</v>
      </c>
      <c r="B103" s="10" t="s">
        <v>2003</v>
      </c>
      <c r="C103" s="10" t="n">
        <v>62</v>
      </c>
      <c r="D103" s="10" t="s">
        <v>1551</v>
      </c>
      <c r="E103" s="10" t="s">
        <v>1552</v>
      </c>
      <c r="F103" s="10" t="str">
        <f aca="false">IFERROR(INDEX('Employer Master'!$L$5:$L$99,MATCH(D103,'Employer Master'!$A$5:$A$99,0)),"")</f>
        <v>BRK-03</v>
      </c>
      <c r="G103" s="10" t="s">
        <v>1808</v>
      </c>
      <c r="H103" s="10" t="n">
        <v>2</v>
      </c>
      <c r="I103" s="10" t="str">
        <f aca="false">IF(H103&gt;1,"yes","")</f>
        <v>yes</v>
      </c>
    </row>
    <row r="104" customFormat="false" ht="15" hidden="false" customHeight="true" outlineLevel="0" collapsed="false">
      <c r="A104" s="12" t="s">
        <v>2004</v>
      </c>
      <c r="B104" s="12" t="s">
        <v>2005</v>
      </c>
      <c r="C104" s="12" t="n">
        <v>46</v>
      </c>
      <c r="D104" s="12" t="s">
        <v>1551</v>
      </c>
      <c r="E104" s="12" t="s">
        <v>1552</v>
      </c>
      <c r="F104" s="12" t="str">
        <f aca="false">IFERROR(INDEX('Employer Master'!$L$5:$L$99,MATCH(D104,'Employer Master'!$A$5:$A$99,0)),"")</f>
        <v>BRK-03</v>
      </c>
      <c r="G104" s="12" t="s">
        <v>1808</v>
      </c>
      <c r="H104" s="12" t="n">
        <v>2</v>
      </c>
      <c r="I104" s="12" t="str">
        <f aca="false">IF(H104&gt;1,"yes","")</f>
        <v>yes</v>
      </c>
    </row>
    <row r="105" customFormat="false" ht="15" hidden="false" customHeight="true" outlineLevel="0" collapsed="false">
      <c r="A105" s="10" t="s">
        <v>2006</v>
      </c>
      <c r="B105" s="10" t="s">
        <v>2007</v>
      </c>
      <c r="C105" s="10" t="n">
        <v>57</v>
      </c>
      <c r="D105" s="10" t="s">
        <v>1551</v>
      </c>
      <c r="E105" s="10" t="s">
        <v>1552</v>
      </c>
      <c r="F105" s="10" t="str">
        <f aca="false">IFERROR(INDEX('Employer Master'!$L$5:$L$99,MATCH(D105,'Employer Master'!$A$5:$A$99,0)),"")</f>
        <v>BRK-03</v>
      </c>
      <c r="G105" s="10" t="s">
        <v>1808</v>
      </c>
      <c r="H105" s="10" t="n">
        <v>2</v>
      </c>
      <c r="I105" s="10" t="str">
        <f aca="false">IF(H105&gt;1,"yes","")</f>
        <v>yes</v>
      </c>
    </row>
    <row r="106" customFormat="false" ht="15" hidden="false" customHeight="true" outlineLevel="0" collapsed="false">
      <c r="A106" s="12" t="s">
        <v>2008</v>
      </c>
      <c r="B106" s="12" t="s">
        <v>2009</v>
      </c>
      <c r="C106" s="12" t="n">
        <v>46</v>
      </c>
      <c r="D106" s="12" t="s">
        <v>1551</v>
      </c>
      <c r="E106" s="12" t="s">
        <v>1552</v>
      </c>
      <c r="F106" s="12" t="str">
        <f aca="false">IFERROR(INDEX('Employer Master'!$L$5:$L$99,MATCH(D106,'Employer Master'!$A$5:$A$99,0)),"")</f>
        <v>BRK-03</v>
      </c>
      <c r="G106" s="12" t="s">
        <v>1544</v>
      </c>
      <c r="H106" s="12" t="n">
        <v>1</v>
      </c>
      <c r="I106" s="12" t="str">
        <f aca="false">IF(H106&gt;1,"yes","")</f>
        <v/>
      </c>
    </row>
    <row r="107" customFormat="false" ht="15" hidden="false" customHeight="true" outlineLevel="0" collapsed="false">
      <c r="A107" s="10" t="s">
        <v>2010</v>
      </c>
      <c r="B107" s="10" t="s">
        <v>2011</v>
      </c>
      <c r="C107" s="10" t="n">
        <v>27</v>
      </c>
      <c r="D107" s="10" t="s">
        <v>1551</v>
      </c>
      <c r="E107" s="10" t="s">
        <v>1552</v>
      </c>
      <c r="F107" s="10" t="str">
        <f aca="false">IFERROR(INDEX('Employer Master'!$L$5:$L$99,MATCH(D107,'Employer Master'!$A$5:$A$99,0)),"")</f>
        <v>BRK-03</v>
      </c>
      <c r="G107" s="10" t="s">
        <v>1544</v>
      </c>
      <c r="H107" s="10" t="n">
        <v>1</v>
      </c>
      <c r="I107" s="10" t="str">
        <f aca="false">IF(H107&gt;1,"yes","")</f>
        <v/>
      </c>
    </row>
    <row r="108" customFormat="false" ht="15" hidden="false" customHeight="true" outlineLevel="0" collapsed="false">
      <c r="A108" s="12" t="s">
        <v>2012</v>
      </c>
      <c r="B108" s="12" t="s">
        <v>2013</v>
      </c>
      <c r="C108" s="12" t="n">
        <v>30</v>
      </c>
      <c r="D108" s="12" t="s">
        <v>1551</v>
      </c>
      <c r="E108" s="12" t="s">
        <v>1552</v>
      </c>
      <c r="F108" s="12" t="str">
        <f aca="false">IFERROR(INDEX('Employer Master'!$L$5:$L$99,MATCH(D108,'Employer Master'!$A$5:$A$99,0)),"")</f>
        <v>BRK-03</v>
      </c>
      <c r="G108" s="12" t="s">
        <v>1808</v>
      </c>
      <c r="H108" s="12" t="n">
        <v>1</v>
      </c>
      <c r="I108" s="12" t="str">
        <f aca="false">IF(H108&gt;1,"yes","")</f>
        <v/>
      </c>
    </row>
    <row r="109" customFormat="false" ht="15" hidden="false" customHeight="true" outlineLevel="0" collapsed="false">
      <c r="A109" s="10" t="s">
        <v>2014</v>
      </c>
      <c r="B109" s="10" t="s">
        <v>2015</v>
      </c>
      <c r="C109" s="10" t="n">
        <v>25</v>
      </c>
      <c r="D109" s="10" t="s">
        <v>1555</v>
      </c>
      <c r="E109" s="10" t="s">
        <v>1556</v>
      </c>
      <c r="F109" s="10" t="str">
        <f aca="false">IFERROR(INDEX('Employer Master'!$L$5:$L$99,MATCH(D109,'Employer Master'!$A$5:$A$99,0)),"")</f>
        <v>BRK-01</v>
      </c>
      <c r="G109" s="10" t="s">
        <v>1544</v>
      </c>
      <c r="H109" s="10" t="n">
        <v>2</v>
      </c>
      <c r="I109" s="10" t="str">
        <f aca="false">IF(H109&gt;1,"yes","")</f>
        <v>yes</v>
      </c>
    </row>
    <row r="110" customFormat="false" ht="15" hidden="false" customHeight="true" outlineLevel="0" collapsed="false">
      <c r="A110" s="12" t="s">
        <v>2016</v>
      </c>
      <c r="B110" s="12" t="s">
        <v>2017</v>
      </c>
      <c r="C110" s="12" t="n">
        <v>53</v>
      </c>
      <c r="D110" s="12" t="s">
        <v>1555</v>
      </c>
      <c r="E110" s="12" t="s">
        <v>1556</v>
      </c>
      <c r="F110" s="12" t="str">
        <f aca="false">IFERROR(INDEX('Employer Master'!$L$5:$L$99,MATCH(D110,'Employer Master'!$A$5:$A$99,0)),"")</f>
        <v>BRK-01</v>
      </c>
      <c r="G110" s="12" t="s">
        <v>1544</v>
      </c>
      <c r="H110" s="12" t="n">
        <v>2</v>
      </c>
      <c r="I110" s="12" t="str">
        <f aca="false">IF(H110&gt;1,"yes","")</f>
        <v>yes</v>
      </c>
    </row>
    <row r="111" customFormat="false" ht="15" hidden="false" customHeight="true" outlineLevel="0" collapsed="false">
      <c r="A111" s="10" t="s">
        <v>2018</v>
      </c>
      <c r="B111" s="10" t="s">
        <v>2019</v>
      </c>
      <c r="C111" s="10" t="n">
        <v>48</v>
      </c>
      <c r="D111" s="10" t="s">
        <v>1555</v>
      </c>
      <c r="E111" s="10" t="s">
        <v>1556</v>
      </c>
      <c r="F111" s="10" t="str">
        <f aca="false">IFERROR(INDEX('Employer Master'!$L$5:$L$99,MATCH(D111,'Employer Master'!$A$5:$A$99,0)),"")</f>
        <v>BRK-01</v>
      </c>
      <c r="G111" s="10" t="s">
        <v>1544</v>
      </c>
      <c r="H111" s="10" t="n">
        <v>2</v>
      </c>
      <c r="I111" s="10" t="str">
        <f aca="false">IF(H111&gt;1,"yes","")</f>
        <v>yes</v>
      </c>
    </row>
    <row r="112" customFormat="false" ht="15" hidden="false" customHeight="true" outlineLevel="0" collapsed="false">
      <c r="A112" s="12" t="s">
        <v>2020</v>
      </c>
      <c r="B112" s="12" t="s">
        <v>2021</v>
      </c>
      <c r="C112" s="12" t="n">
        <v>63</v>
      </c>
      <c r="D112" s="12" t="s">
        <v>1555</v>
      </c>
      <c r="E112" s="12" t="s">
        <v>1556</v>
      </c>
      <c r="F112" s="12" t="str">
        <f aca="false">IFERROR(INDEX('Employer Master'!$L$5:$L$99,MATCH(D112,'Employer Master'!$A$5:$A$99,0)),"")</f>
        <v>BRK-01</v>
      </c>
      <c r="G112" s="12" t="s">
        <v>1544</v>
      </c>
      <c r="H112" s="12" t="n">
        <v>1</v>
      </c>
      <c r="I112" s="12" t="str">
        <f aca="false">IF(H112&gt;1,"yes","")</f>
        <v/>
      </c>
    </row>
    <row r="113" customFormat="false" ht="15" hidden="false" customHeight="true" outlineLevel="0" collapsed="false">
      <c r="A113" s="10" t="s">
        <v>2022</v>
      </c>
      <c r="B113" s="10" t="s">
        <v>2023</v>
      </c>
      <c r="C113" s="10" t="n">
        <v>34</v>
      </c>
      <c r="D113" s="10" t="s">
        <v>1555</v>
      </c>
      <c r="E113" s="10" t="s">
        <v>1556</v>
      </c>
      <c r="F113" s="10" t="str">
        <f aca="false">IFERROR(INDEX('Employer Master'!$L$5:$L$99,MATCH(D113,'Employer Master'!$A$5:$A$99,0)),"")</f>
        <v>BRK-01</v>
      </c>
      <c r="G113" s="10" t="s">
        <v>1544</v>
      </c>
      <c r="H113" s="10" t="n">
        <v>1</v>
      </c>
      <c r="I113" s="10" t="str">
        <f aca="false">IF(H113&gt;1,"yes","")</f>
        <v/>
      </c>
    </row>
    <row r="114" customFormat="false" ht="15" hidden="false" customHeight="true" outlineLevel="0" collapsed="false">
      <c r="A114" s="12" t="s">
        <v>2024</v>
      </c>
      <c r="B114" s="12" t="s">
        <v>2025</v>
      </c>
      <c r="C114" s="12" t="n">
        <v>59</v>
      </c>
      <c r="D114" s="12" t="s">
        <v>1555</v>
      </c>
      <c r="E114" s="12" t="s">
        <v>1556</v>
      </c>
      <c r="F114" s="12" t="str">
        <f aca="false">IFERROR(INDEX('Employer Master'!$L$5:$L$99,MATCH(D114,'Employer Master'!$A$5:$A$99,0)),"")</f>
        <v>BRK-01</v>
      </c>
      <c r="G114" s="12" t="s">
        <v>1544</v>
      </c>
      <c r="H114" s="12" t="n">
        <v>1</v>
      </c>
      <c r="I114" s="12" t="str">
        <f aca="false">IF(H114&gt;1,"yes","")</f>
        <v/>
      </c>
    </row>
    <row r="115" customFormat="false" ht="15" hidden="false" customHeight="true" outlineLevel="0" collapsed="false">
      <c r="A115" s="10" t="s">
        <v>2026</v>
      </c>
      <c r="B115" s="10" t="s">
        <v>2027</v>
      </c>
      <c r="C115" s="10" t="n">
        <v>33</v>
      </c>
      <c r="D115" s="10" t="s">
        <v>1558</v>
      </c>
      <c r="E115" s="10" t="s">
        <v>1559</v>
      </c>
      <c r="F115" s="10" t="str">
        <f aca="false">IFERROR(INDEX('Employer Master'!$L$5:$L$99,MATCH(D115,'Employer Master'!$A$5:$A$99,0)),"")</f>
        <v>BRK-06</v>
      </c>
      <c r="G115" s="10" t="s">
        <v>1808</v>
      </c>
      <c r="H115" s="10" t="n">
        <v>2</v>
      </c>
      <c r="I115" s="10" t="str">
        <f aca="false">IF(H115&gt;1,"yes","")</f>
        <v>yes</v>
      </c>
    </row>
    <row r="116" customFormat="false" ht="15" hidden="false" customHeight="true" outlineLevel="0" collapsed="false">
      <c r="A116" s="12" t="s">
        <v>2028</v>
      </c>
      <c r="B116" s="12" t="s">
        <v>2029</v>
      </c>
      <c r="C116" s="12" t="n">
        <v>62</v>
      </c>
      <c r="D116" s="12" t="s">
        <v>1558</v>
      </c>
      <c r="E116" s="12" t="s">
        <v>1559</v>
      </c>
      <c r="F116" s="12" t="str">
        <f aca="false">IFERROR(INDEX('Employer Master'!$L$5:$L$99,MATCH(D116,'Employer Master'!$A$5:$A$99,0)),"")</f>
        <v>BRK-06</v>
      </c>
      <c r="G116" s="12" t="s">
        <v>1808</v>
      </c>
      <c r="H116" s="12" t="n">
        <v>2</v>
      </c>
      <c r="I116" s="12" t="str">
        <f aca="false">IF(H116&gt;1,"yes","")</f>
        <v>yes</v>
      </c>
    </row>
    <row r="117" customFormat="false" ht="15" hidden="false" customHeight="true" outlineLevel="0" collapsed="false">
      <c r="A117" s="10" t="s">
        <v>2030</v>
      </c>
      <c r="B117" s="10" t="s">
        <v>2031</v>
      </c>
      <c r="C117" s="10" t="n">
        <v>64</v>
      </c>
      <c r="D117" s="10" t="s">
        <v>1558</v>
      </c>
      <c r="E117" s="10" t="s">
        <v>1559</v>
      </c>
      <c r="F117" s="10" t="str">
        <f aca="false">IFERROR(INDEX('Employer Master'!$L$5:$L$99,MATCH(D117,'Employer Master'!$A$5:$A$99,0)),"")</f>
        <v>BRK-06</v>
      </c>
      <c r="G117" s="10" t="s">
        <v>1544</v>
      </c>
      <c r="H117" s="10" t="n">
        <v>2</v>
      </c>
      <c r="I117" s="10" t="str">
        <f aca="false">IF(H117&gt;1,"yes","")</f>
        <v>yes</v>
      </c>
    </row>
    <row r="118" customFormat="false" ht="15" hidden="false" customHeight="true" outlineLevel="0" collapsed="false">
      <c r="A118" s="12" t="s">
        <v>2032</v>
      </c>
      <c r="B118" s="12" t="s">
        <v>2033</v>
      </c>
      <c r="C118" s="12" t="n">
        <v>60</v>
      </c>
      <c r="D118" s="12" t="s">
        <v>1558</v>
      </c>
      <c r="E118" s="12" t="s">
        <v>1559</v>
      </c>
      <c r="F118" s="12" t="str">
        <f aca="false">IFERROR(INDEX('Employer Master'!$L$5:$L$99,MATCH(D118,'Employer Master'!$A$5:$A$99,0)),"")</f>
        <v>BRK-06</v>
      </c>
      <c r="G118" s="12" t="s">
        <v>1808</v>
      </c>
      <c r="H118" s="12" t="n">
        <v>1</v>
      </c>
      <c r="I118" s="12" t="str">
        <f aca="false">IF(H118&gt;1,"yes","")</f>
        <v/>
      </c>
    </row>
    <row r="119" customFormat="false" ht="15" hidden="false" customHeight="true" outlineLevel="0" collapsed="false">
      <c r="A119" s="10" t="s">
        <v>2034</v>
      </c>
      <c r="B119" s="10" t="s">
        <v>2035</v>
      </c>
      <c r="C119" s="10" t="n">
        <v>40</v>
      </c>
      <c r="D119" s="10" t="s">
        <v>1558</v>
      </c>
      <c r="E119" s="10" t="s">
        <v>1559</v>
      </c>
      <c r="F119" s="10" t="str">
        <f aca="false">IFERROR(INDEX('Employer Master'!$L$5:$L$99,MATCH(D119,'Employer Master'!$A$5:$A$99,0)),"")</f>
        <v>BRK-06</v>
      </c>
      <c r="G119" s="10" t="s">
        <v>1808</v>
      </c>
      <c r="H119" s="10" t="n">
        <v>1</v>
      </c>
      <c r="I119" s="10" t="str">
        <f aca="false">IF(H119&gt;1,"yes","")</f>
        <v/>
      </c>
    </row>
    <row r="120" customFormat="false" ht="15" hidden="false" customHeight="true" outlineLevel="0" collapsed="false">
      <c r="A120" s="12" t="s">
        <v>2036</v>
      </c>
      <c r="B120" s="12" t="s">
        <v>2037</v>
      </c>
      <c r="C120" s="12" t="n">
        <v>47</v>
      </c>
      <c r="D120" s="12" t="s">
        <v>1558</v>
      </c>
      <c r="E120" s="12" t="s">
        <v>1559</v>
      </c>
      <c r="F120" s="12" t="str">
        <f aca="false">IFERROR(INDEX('Employer Master'!$L$5:$L$99,MATCH(D120,'Employer Master'!$A$5:$A$99,0)),"")</f>
        <v>BRK-06</v>
      </c>
      <c r="G120" s="12" t="s">
        <v>1808</v>
      </c>
      <c r="H120" s="12" t="n">
        <v>1</v>
      </c>
      <c r="I120" s="12" t="str">
        <f aca="false">IF(H120&gt;1,"yes","")</f>
        <v/>
      </c>
    </row>
    <row r="121" customFormat="false" ht="15" hidden="false" customHeight="true" outlineLevel="0" collapsed="false">
      <c r="A121" s="10" t="s">
        <v>2038</v>
      </c>
      <c r="B121" s="10" t="s">
        <v>2039</v>
      </c>
      <c r="C121" s="10" t="n">
        <v>33</v>
      </c>
      <c r="D121" s="10" t="s">
        <v>1558</v>
      </c>
      <c r="E121" s="10" t="s">
        <v>1559</v>
      </c>
      <c r="F121" s="10" t="str">
        <f aca="false">IFERROR(INDEX('Employer Master'!$L$5:$L$99,MATCH(D121,'Employer Master'!$A$5:$A$99,0)),"")</f>
        <v>BRK-06</v>
      </c>
      <c r="G121" s="10" t="s">
        <v>1544</v>
      </c>
      <c r="H121" s="10" t="n">
        <v>1</v>
      </c>
      <c r="I121" s="10" t="str">
        <f aca="false">IF(H121&gt;1,"yes","")</f>
        <v/>
      </c>
    </row>
    <row r="122" customFormat="false" ht="15" hidden="false" customHeight="true" outlineLevel="0" collapsed="false">
      <c r="A122" s="12" t="s">
        <v>2040</v>
      </c>
      <c r="B122" s="12" t="s">
        <v>2041</v>
      </c>
      <c r="C122" s="12" t="n">
        <v>35</v>
      </c>
      <c r="D122" s="12" t="s">
        <v>1561</v>
      </c>
      <c r="E122" s="12" t="s">
        <v>1562</v>
      </c>
      <c r="F122" s="12" t="str">
        <f aca="false">IFERROR(INDEX('Employer Master'!$L$5:$L$99,MATCH(D122,'Employer Master'!$A$5:$A$99,0)),"")</f>
        <v>BRK-09</v>
      </c>
      <c r="G122" s="12" t="s">
        <v>1544</v>
      </c>
      <c r="H122" s="12" t="n">
        <v>2</v>
      </c>
      <c r="I122" s="12" t="str">
        <f aca="false">IF(H122&gt;1,"yes","")</f>
        <v>yes</v>
      </c>
    </row>
    <row r="123" customFormat="false" ht="15" hidden="false" customHeight="true" outlineLevel="0" collapsed="false">
      <c r="A123" s="10" t="s">
        <v>2042</v>
      </c>
      <c r="B123" s="10" t="s">
        <v>2043</v>
      </c>
      <c r="C123" s="10" t="n">
        <v>48</v>
      </c>
      <c r="D123" s="10" t="s">
        <v>1561</v>
      </c>
      <c r="E123" s="10" t="s">
        <v>1562</v>
      </c>
      <c r="F123" s="10" t="str">
        <f aca="false">IFERROR(INDEX('Employer Master'!$L$5:$L$99,MATCH(D123,'Employer Master'!$A$5:$A$99,0)),"")</f>
        <v>BRK-09</v>
      </c>
      <c r="G123" s="10" t="s">
        <v>1544</v>
      </c>
      <c r="H123" s="10" t="n">
        <v>2</v>
      </c>
      <c r="I123" s="10" t="str">
        <f aca="false">IF(H123&gt;1,"yes","")</f>
        <v>yes</v>
      </c>
    </row>
    <row r="124" customFormat="false" ht="15" hidden="false" customHeight="true" outlineLevel="0" collapsed="false">
      <c r="A124" s="12" t="s">
        <v>2044</v>
      </c>
      <c r="B124" s="12" t="s">
        <v>2045</v>
      </c>
      <c r="C124" s="12" t="n">
        <v>33</v>
      </c>
      <c r="D124" s="12" t="s">
        <v>1561</v>
      </c>
      <c r="E124" s="12" t="s">
        <v>1562</v>
      </c>
      <c r="F124" s="12" t="str">
        <f aca="false">IFERROR(INDEX('Employer Master'!$L$5:$L$99,MATCH(D124,'Employer Master'!$A$5:$A$99,0)),"")</f>
        <v>BRK-09</v>
      </c>
      <c r="G124" s="12" t="s">
        <v>1805</v>
      </c>
      <c r="H124" s="12" t="n">
        <v>2</v>
      </c>
      <c r="I124" s="12" t="str">
        <f aca="false">IF(H124&gt;1,"yes","")</f>
        <v>yes</v>
      </c>
    </row>
    <row r="125" customFormat="false" ht="15" hidden="false" customHeight="true" outlineLevel="0" collapsed="false">
      <c r="A125" s="10" t="s">
        <v>2046</v>
      </c>
      <c r="B125" s="10" t="s">
        <v>2047</v>
      </c>
      <c r="C125" s="10" t="n">
        <v>51</v>
      </c>
      <c r="D125" s="10" t="s">
        <v>1561</v>
      </c>
      <c r="E125" s="10" t="s">
        <v>1562</v>
      </c>
      <c r="F125" s="10" t="str">
        <f aca="false">IFERROR(INDEX('Employer Master'!$L$5:$L$99,MATCH(D125,'Employer Master'!$A$5:$A$99,0)),"")</f>
        <v>BRK-09</v>
      </c>
      <c r="G125" s="10" t="s">
        <v>1991</v>
      </c>
      <c r="H125" s="10" t="n">
        <v>1</v>
      </c>
      <c r="I125" s="10" t="str">
        <f aca="false">IF(H125&gt;1,"yes","")</f>
        <v/>
      </c>
    </row>
    <row r="126" customFormat="false" ht="15" hidden="false" customHeight="true" outlineLevel="0" collapsed="false">
      <c r="A126" s="12" t="s">
        <v>2048</v>
      </c>
      <c r="B126" s="12" t="s">
        <v>2049</v>
      </c>
      <c r="C126" s="12" t="n">
        <v>48</v>
      </c>
      <c r="D126" s="12" t="s">
        <v>1561</v>
      </c>
      <c r="E126" s="12" t="s">
        <v>1562</v>
      </c>
      <c r="F126" s="12" t="str">
        <f aca="false">IFERROR(INDEX('Employer Master'!$L$5:$L$99,MATCH(D126,'Employer Master'!$A$5:$A$99,0)),"")</f>
        <v>BRK-09</v>
      </c>
      <c r="G126" s="12" t="s">
        <v>1808</v>
      </c>
      <c r="H126" s="12" t="n">
        <v>1</v>
      </c>
      <c r="I126" s="12" t="str">
        <f aca="false">IF(H126&gt;1,"yes","")</f>
        <v/>
      </c>
    </row>
    <row r="127" customFormat="false" ht="15" hidden="false" customHeight="true" outlineLevel="0" collapsed="false">
      <c r="A127" s="10" t="s">
        <v>2050</v>
      </c>
      <c r="B127" s="10" t="s">
        <v>2051</v>
      </c>
      <c r="C127" s="10" t="n">
        <v>32</v>
      </c>
      <c r="D127" s="10" t="s">
        <v>1561</v>
      </c>
      <c r="E127" s="10" t="s">
        <v>1562</v>
      </c>
      <c r="F127" s="10" t="str">
        <f aca="false">IFERROR(INDEX('Employer Master'!$L$5:$L$99,MATCH(D127,'Employer Master'!$A$5:$A$99,0)),"")</f>
        <v>BRK-09</v>
      </c>
      <c r="G127" s="10" t="s">
        <v>1805</v>
      </c>
      <c r="H127" s="10" t="n">
        <v>1</v>
      </c>
      <c r="I127" s="10" t="str">
        <f aca="false">IF(H127&gt;1,"yes","")</f>
        <v/>
      </c>
    </row>
    <row r="128" customFormat="false" ht="15" hidden="false" customHeight="true" outlineLevel="0" collapsed="false">
      <c r="A128" s="12" t="s">
        <v>2052</v>
      </c>
      <c r="B128" s="12" t="s">
        <v>2053</v>
      </c>
      <c r="C128" s="12" t="n">
        <v>57</v>
      </c>
      <c r="D128" s="12" t="s">
        <v>1561</v>
      </c>
      <c r="E128" s="12" t="s">
        <v>1562</v>
      </c>
      <c r="F128" s="12" t="str">
        <f aca="false">IFERROR(INDEX('Employer Master'!$L$5:$L$99,MATCH(D128,'Employer Master'!$A$5:$A$99,0)),"")</f>
        <v>BRK-09</v>
      </c>
      <c r="G128" s="12" t="s">
        <v>1808</v>
      </c>
      <c r="H128" s="12" t="n">
        <v>1</v>
      </c>
      <c r="I128" s="12" t="str">
        <f aca="false">IF(H128&gt;1,"yes","")</f>
        <v/>
      </c>
    </row>
    <row r="129" customFormat="false" ht="15" hidden="false" customHeight="true" outlineLevel="0" collapsed="false">
      <c r="A129" s="10" t="s">
        <v>2054</v>
      </c>
      <c r="B129" s="10" t="s">
        <v>2055</v>
      </c>
      <c r="C129" s="10" t="n">
        <v>34</v>
      </c>
      <c r="D129" s="10" t="s">
        <v>1565</v>
      </c>
      <c r="E129" s="10" t="s">
        <v>1566</v>
      </c>
      <c r="F129" s="10" t="str">
        <f aca="false">IFERROR(INDEX('Employer Master'!$L$5:$L$99,MATCH(D129,'Employer Master'!$A$5:$A$99,0)),"")</f>
        <v>BRK-03</v>
      </c>
      <c r="G129" s="10" t="s">
        <v>1805</v>
      </c>
      <c r="H129" s="10" t="n">
        <v>2</v>
      </c>
      <c r="I129" s="10" t="str">
        <f aca="false">IF(H129&gt;1,"yes","")</f>
        <v>yes</v>
      </c>
    </row>
    <row r="130" customFormat="false" ht="15" hidden="false" customHeight="true" outlineLevel="0" collapsed="false">
      <c r="A130" s="12" t="s">
        <v>2056</v>
      </c>
      <c r="B130" s="12" t="s">
        <v>2057</v>
      </c>
      <c r="C130" s="12" t="n">
        <v>54</v>
      </c>
      <c r="D130" s="12" t="s">
        <v>1565</v>
      </c>
      <c r="E130" s="12" t="s">
        <v>1566</v>
      </c>
      <c r="F130" s="12" t="str">
        <f aca="false">IFERROR(INDEX('Employer Master'!$L$5:$L$99,MATCH(D130,'Employer Master'!$A$5:$A$99,0)),"")</f>
        <v>BRK-03</v>
      </c>
      <c r="G130" s="12" t="s">
        <v>1805</v>
      </c>
      <c r="H130" s="12" t="n">
        <v>2</v>
      </c>
      <c r="I130" s="12" t="str">
        <f aca="false">IF(H130&gt;1,"yes","")</f>
        <v>yes</v>
      </c>
    </row>
    <row r="131" customFormat="false" ht="15" hidden="false" customHeight="true" outlineLevel="0" collapsed="false">
      <c r="A131" s="10" t="s">
        <v>2058</v>
      </c>
      <c r="B131" s="10" t="s">
        <v>2059</v>
      </c>
      <c r="C131" s="10" t="n">
        <v>43</v>
      </c>
      <c r="D131" s="10" t="s">
        <v>1565</v>
      </c>
      <c r="E131" s="10" t="s">
        <v>1566</v>
      </c>
      <c r="F131" s="10" t="str">
        <f aca="false">IFERROR(INDEX('Employer Master'!$L$5:$L$99,MATCH(D131,'Employer Master'!$A$5:$A$99,0)),"")</f>
        <v>BRK-03</v>
      </c>
      <c r="G131" s="10" t="s">
        <v>1544</v>
      </c>
      <c r="H131" s="10" t="n">
        <v>2</v>
      </c>
      <c r="I131" s="10" t="str">
        <f aca="false">IF(H131&gt;1,"yes","")</f>
        <v>yes</v>
      </c>
    </row>
    <row r="132" customFormat="false" ht="15" hidden="false" customHeight="true" outlineLevel="0" collapsed="false">
      <c r="A132" s="12" t="s">
        <v>2060</v>
      </c>
      <c r="B132" s="12" t="s">
        <v>2061</v>
      </c>
      <c r="C132" s="12" t="n">
        <v>40</v>
      </c>
      <c r="D132" s="12" t="s">
        <v>1565</v>
      </c>
      <c r="E132" s="12" t="s">
        <v>1566</v>
      </c>
      <c r="F132" s="12" t="str">
        <f aca="false">IFERROR(INDEX('Employer Master'!$L$5:$L$99,MATCH(D132,'Employer Master'!$A$5:$A$99,0)),"")</f>
        <v>BRK-03</v>
      </c>
      <c r="G132" s="12" t="s">
        <v>1544</v>
      </c>
      <c r="H132" s="12" t="n">
        <v>1</v>
      </c>
      <c r="I132" s="12" t="str">
        <f aca="false">IF(H132&gt;1,"yes","")</f>
        <v/>
      </c>
    </row>
    <row r="133" customFormat="false" ht="15" hidden="false" customHeight="true" outlineLevel="0" collapsed="false">
      <c r="A133" s="10" t="s">
        <v>2062</v>
      </c>
      <c r="B133" s="10" t="s">
        <v>2063</v>
      </c>
      <c r="C133" s="10" t="n">
        <v>43</v>
      </c>
      <c r="D133" s="10" t="s">
        <v>1565</v>
      </c>
      <c r="E133" s="10" t="s">
        <v>1566</v>
      </c>
      <c r="F133" s="10" t="str">
        <f aca="false">IFERROR(INDEX('Employer Master'!$L$5:$L$99,MATCH(D133,'Employer Master'!$A$5:$A$99,0)),"")</f>
        <v>BRK-03</v>
      </c>
      <c r="G133" s="10" t="s">
        <v>1805</v>
      </c>
      <c r="H133" s="10" t="n">
        <v>1</v>
      </c>
      <c r="I133" s="10" t="str">
        <f aca="false">IF(H133&gt;1,"yes","")</f>
        <v/>
      </c>
    </row>
    <row r="134" customFormat="false" ht="15" hidden="false" customHeight="true" outlineLevel="0" collapsed="false">
      <c r="A134" s="12" t="s">
        <v>2064</v>
      </c>
      <c r="B134" s="12" t="s">
        <v>2065</v>
      </c>
      <c r="C134" s="12" t="n">
        <v>35</v>
      </c>
      <c r="D134" s="12" t="s">
        <v>1565</v>
      </c>
      <c r="E134" s="12" t="s">
        <v>1566</v>
      </c>
      <c r="F134" s="12" t="str">
        <f aca="false">IFERROR(INDEX('Employer Master'!$L$5:$L$99,MATCH(D134,'Employer Master'!$A$5:$A$99,0)),"")</f>
        <v>BRK-03</v>
      </c>
      <c r="G134" s="12" t="s">
        <v>1805</v>
      </c>
      <c r="H134" s="12" t="n">
        <v>1</v>
      </c>
      <c r="I134" s="12" t="str">
        <f aca="false">IF(H134&gt;1,"yes","")</f>
        <v/>
      </c>
    </row>
    <row r="135" customFormat="false" ht="15" hidden="false" customHeight="true" outlineLevel="0" collapsed="false">
      <c r="A135" s="10" t="s">
        <v>2066</v>
      </c>
      <c r="B135" s="10" t="s">
        <v>2067</v>
      </c>
      <c r="C135" s="10" t="n">
        <v>58</v>
      </c>
      <c r="D135" s="10" t="s">
        <v>1568</v>
      </c>
      <c r="E135" s="10" t="s">
        <v>1569</v>
      </c>
      <c r="F135" s="10" t="str">
        <f aca="false">IFERROR(INDEX('Employer Master'!$L$5:$L$99,MATCH(D135,'Employer Master'!$A$5:$A$99,0)),"")</f>
        <v>BRK-01</v>
      </c>
      <c r="G135" s="10" t="s">
        <v>1808</v>
      </c>
      <c r="H135" s="10" t="n">
        <v>2</v>
      </c>
      <c r="I135" s="10" t="str">
        <f aca="false">IF(H135&gt;1,"yes","")</f>
        <v>yes</v>
      </c>
    </row>
    <row r="136" customFormat="false" ht="15" hidden="false" customHeight="true" outlineLevel="0" collapsed="false">
      <c r="A136" s="12" t="s">
        <v>2068</v>
      </c>
      <c r="B136" s="12" t="s">
        <v>2069</v>
      </c>
      <c r="C136" s="12" t="n">
        <v>23</v>
      </c>
      <c r="D136" s="12" t="s">
        <v>1568</v>
      </c>
      <c r="E136" s="12" t="s">
        <v>1569</v>
      </c>
      <c r="F136" s="12" t="str">
        <f aca="false">IFERROR(INDEX('Employer Master'!$L$5:$L$99,MATCH(D136,'Employer Master'!$A$5:$A$99,0)),"")</f>
        <v>BRK-01</v>
      </c>
      <c r="G136" s="12" t="s">
        <v>1544</v>
      </c>
      <c r="H136" s="12" t="n">
        <v>2</v>
      </c>
      <c r="I136" s="12" t="str">
        <f aca="false">IF(H136&gt;1,"yes","")</f>
        <v>yes</v>
      </c>
    </row>
    <row r="137" customFormat="false" ht="15" hidden="false" customHeight="true" outlineLevel="0" collapsed="false">
      <c r="A137" s="10" t="s">
        <v>2070</v>
      </c>
      <c r="B137" s="10" t="s">
        <v>2071</v>
      </c>
      <c r="C137" s="10" t="n">
        <v>28</v>
      </c>
      <c r="D137" s="10" t="s">
        <v>1568</v>
      </c>
      <c r="E137" s="10" t="s">
        <v>1569</v>
      </c>
      <c r="F137" s="10" t="str">
        <f aca="false">IFERROR(INDEX('Employer Master'!$L$5:$L$99,MATCH(D137,'Employer Master'!$A$5:$A$99,0)),"")</f>
        <v>BRK-01</v>
      </c>
      <c r="G137" s="10" t="s">
        <v>1991</v>
      </c>
      <c r="H137" s="10" t="n">
        <v>2</v>
      </c>
      <c r="I137" s="10" t="str">
        <f aca="false">IF(H137&gt;1,"yes","")</f>
        <v>yes</v>
      </c>
    </row>
    <row r="138" customFormat="false" ht="15" hidden="false" customHeight="true" outlineLevel="0" collapsed="false">
      <c r="A138" s="12" t="s">
        <v>2072</v>
      </c>
      <c r="B138" s="12" t="s">
        <v>2073</v>
      </c>
      <c r="C138" s="12" t="n">
        <v>53</v>
      </c>
      <c r="D138" s="12" t="s">
        <v>1568</v>
      </c>
      <c r="E138" s="12" t="s">
        <v>1569</v>
      </c>
      <c r="F138" s="12" t="str">
        <f aca="false">IFERROR(INDEX('Employer Master'!$L$5:$L$99,MATCH(D138,'Employer Master'!$A$5:$A$99,0)),"")</f>
        <v>BRK-01</v>
      </c>
      <c r="G138" s="12" t="s">
        <v>1808</v>
      </c>
      <c r="H138" s="12" t="n">
        <v>1</v>
      </c>
      <c r="I138" s="12" t="str">
        <f aca="false">IF(H138&gt;1,"yes","")</f>
        <v/>
      </c>
    </row>
    <row r="139" customFormat="false" ht="15" hidden="false" customHeight="true" outlineLevel="0" collapsed="false">
      <c r="A139" s="10" t="s">
        <v>2074</v>
      </c>
      <c r="B139" s="10" t="s">
        <v>2075</v>
      </c>
      <c r="C139" s="10" t="n">
        <v>53</v>
      </c>
      <c r="D139" s="10" t="s">
        <v>1568</v>
      </c>
      <c r="E139" s="10" t="s">
        <v>1569</v>
      </c>
      <c r="F139" s="10" t="str">
        <f aca="false">IFERROR(INDEX('Employer Master'!$L$5:$L$99,MATCH(D139,'Employer Master'!$A$5:$A$99,0)),"")</f>
        <v>BRK-01</v>
      </c>
      <c r="G139" s="10" t="s">
        <v>1808</v>
      </c>
      <c r="H139" s="10" t="n">
        <v>1</v>
      </c>
      <c r="I139" s="10" t="str">
        <f aca="false">IF(H139&gt;1,"yes","")</f>
        <v/>
      </c>
    </row>
    <row r="140" customFormat="false" ht="15" hidden="false" customHeight="true" outlineLevel="0" collapsed="false">
      <c r="A140" s="12" t="s">
        <v>2076</v>
      </c>
      <c r="B140" s="12" t="s">
        <v>2077</v>
      </c>
      <c r="C140" s="12" t="n">
        <v>58</v>
      </c>
      <c r="D140" s="12" t="s">
        <v>1568</v>
      </c>
      <c r="E140" s="12" t="s">
        <v>1569</v>
      </c>
      <c r="F140" s="12" t="str">
        <f aca="false">IFERROR(INDEX('Employer Master'!$L$5:$L$99,MATCH(D140,'Employer Master'!$A$5:$A$99,0)),"")</f>
        <v>BRK-01</v>
      </c>
      <c r="G140" s="12" t="s">
        <v>1808</v>
      </c>
      <c r="H140" s="12" t="n">
        <v>1</v>
      </c>
      <c r="I140" s="12" t="str">
        <f aca="false">IF(H140&gt;1,"yes","")</f>
        <v/>
      </c>
    </row>
    <row r="141" customFormat="false" ht="15" hidden="false" customHeight="true" outlineLevel="0" collapsed="false">
      <c r="A141" s="10" t="s">
        <v>2078</v>
      </c>
      <c r="B141" s="10" t="s">
        <v>2079</v>
      </c>
      <c r="C141" s="10" t="n">
        <v>36</v>
      </c>
      <c r="D141" s="10" t="s">
        <v>1573</v>
      </c>
      <c r="E141" s="10" t="s">
        <v>1574</v>
      </c>
      <c r="F141" s="10" t="str">
        <f aca="false">IFERROR(INDEX('Employer Master'!$L$5:$L$99,MATCH(D141,'Employer Master'!$A$5:$A$99,0)),"")</f>
        <v>BRK-07</v>
      </c>
      <c r="G141" s="10" t="s">
        <v>1544</v>
      </c>
      <c r="H141" s="10" t="n">
        <v>2</v>
      </c>
      <c r="I141" s="10" t="str">
        <f aca="false">IF(H141&gt;1,"yes","")</f>
        <v>yes</v>
      </c>
    </row>
    <row r="142" customFormat="false" ht="15" hidden="false" customHeight="true" outlineLevel="0" collapsed="false">
      <c r="A142" s="12" t="s">
        <v>2080</v>
      </c>
      <c r="B142" s="12" t="s">
        <v>2081</v>
      </c>
      <c r="C142" s="12" t="n">
        <v>40</v>
      </c>
      <c r="D142" s="12" t="s">
        <v>1573</v>
      </c>
      <c r="E142" s="12" t="s">
        <v>1574</v>
      </c>
      <c r="F142" s="12" t="str">
        <f aca="false">IFERROR(INDEX('Employer Master'!$L$5:$L$99,MATCH(D142,'Employer Master'!$A$5:$A$99,0)),"")</f>
        <v>BRK-07</v>
      </c>
      <c r="G142" s="12" t="s">
        <v>1808</v>
      </c>
      <c r="H142" s="12" t="n">
        <v>2</v>
      </c>
      <c r="I142" s="12" t="str">
        <f aca="false">IF(H142&gt;1,"yes","")</f>
        <v>yes</v>
      </c>
    </row>
    <row r="143" customFormat="false" ht="15" hidden="false" customHeight="true" outlineLevel="0" collapsed="false">
      <c r="A143" s="10" t="s">
        <v>2082</v>
      </c>
      <c r="B143" s="10" t="s">
        <v>2083</v>
      </c>
      <c r="C143" s="10" t="n">
        <v>51</v>
      </c>
      <c r="D143" s="10" t="s">
        <v>1573</v>
      </c>
      <c r="E143" s="10" t="s">
        <v>1574</v>
      </c>
      <c r="F143" s="10" t="str">
        <f aca="false">IFERROR(INDEX('Employer Master'!$L$5:$L$99,MATCH(D143,'Employer Master'!$A$5:$A$99,0)),"")</f>
        <v>BRK-07</v>
      </c>
      <c r="G143" s="10" t="s">
        <v>1544</v>
      </c>
      <c r="H143" s="10" t="n">
        <v>1</v>
      </c>
      <c r="I143" s="10" t="str">
        <f aca="false">IF(H143&gt;1,"yes","")</f>
        <v/>
      </c>
    </row>
    <row r="144" customFormat="false" ht="15" hidden="false" customHeight="true" outlineLevel="0" collapsed="false">
      <c r="A144" s="12" t="s">
        <v>2084</v>
      </c>
      <c r="B144" s="12" t="s">
        <v>2085</v>
      </c>
      <c r="C144" s="12" t="n">
        <v>24</v>
      </c>
      <c r="D144" s="12" t="s">
        <v>1573</v>
      </c>
      <c r="E144" s="12" t="s">
        <v>1574</v>
      </c>
      <c r="F144" s="12" t="str">
        <f aca="false">IFERROR(INDEX('Employer Master'!$L$5:$L$99,MATCH(D144,'Employer Master'!$A$5:$A$99,0)),"")</f>
        <v>BRK-07</v>
      </c>
      <c r="G144" s="12" t="s">
        <v>1544</v>
      </c>
      <c r="H144" s="12" t="n">
        <v>1</v>
      </c>
      <c r="I144" s="12" t="str">
        <f aca="false">IF(H144&gt;1,"yes","")</f>
        <v/>
      </c>
    </row>
    <row r="145" customFormat="false" ht="15" hidden="false" customHeight="true" outlineLevel="0" collapsed="false">
      <c r="A145" s="10" t="s">
        <v>2086</v>
      </c>
      <c r="B145" s="10" t="s">
        <v>2087</v>
      </c>
      <c r="C145" s="10" t="n">
        <v>27</v>
      </c>
      <c r="D145" s="10" t="s">
        <v>1573</v>
      </c>
      <c r="E145" s="10" t="s">
        <v>1574</v>
      </c>
      <c r="F145" s="10" t="str">
        <f aca="false">IFERROR(INDEX('Employer Master'!$L$5:$L$99,MATCH(D145,'Employer Master'!$A$5:$A$99,0)),"")</f>
        <v>BRK-07</v>
      </c>
      <c r="G145" s="10" t="s">
        <v>1544</v>
      </c>
      <c r="H145" s="10" t="n">
        <v>1</v>
      </c>
      <c r="I145" s="10" t="str">
        <f aca="false">IF(H145&gt;1,"yes","")</f>
        <v/>
      </c>
    </row>
    <row r="146" customFormat="false" ht="15" hidden="false" customHeight="true" outlineLevel="0" collapsed="false">
      <c r="A146" s="12" t="s">
        <v>2088</v>
      </c>
      <c r="B146" s="12" t="s">
        <v>2089</v>
      </c>
      <c r="C146" s="12" t="n">
        <v>58</v>
      </c>
      <c r="D146" s="12" t="s">
        <v>1573</v>
      </c>
      <c r="E146" s="12" t="s">
        <v>1574</v>
      </c>
      <c r="F146" s="12" t="str">
        <f aca="false">IFERROR(INDEX('Employer Master'!$L$5:$L$99,MATCH(D146,'Employer Master'!$A$5:$A$99,0)),"")</f>
        <v>BRK-07</v>
      </c>
      <c r="G146" s="12" t="s">
        <v>1544</v>
      </c>
      <c r="H146" s="12" t="n">
        <v>1</v>
      </c>
      <c r="I146" s="12" t="str">
        <f aca="false">IF(H146&gt;1,"yes","")</f>
        <v/>
      </c>
    </row>
    <row r="147" customFormat="false" ht="15" hidden="false" customHeight="true" outlineLevel="0" collapsed="false">
      <c r="A147" s="10" t="s">
        <v>2090</v>
      </c>
      <c r="B147" s="10" t="s">
        <v>2091</v>
      </c>
      <c r="C147" s="10" t="n">
        <v>52</v>
      </c>
      <c r="D147" s="10" t="s">
        <v>1577</v>
      </c>
      <c r="E147" s="10" t="s">
        <v>1578</v>
      </c>
      <c r="F147" s="10" t="str">
        <f aca="false">IFERROR(INDEX('Employer Master'!$L$5:$L$99,MATCH(D147,'Employer Master'!$A$5:$A$99,0)),"")</f>
        <v>BRK-08</v>
      </c>
      <c r="G147" s="10" t="s">
        <v>1991</v>
      </c>
      <c r="H147" s="10" t="n">
        <v>2</v>
      </c>
      <c r="I147" s="10" t="str">
        <f aca="false">IF(H147&gt;1,"yes","")</f>
        <v>yes</v>
      </c>
    </row>
    <row r="148" customFormat="false" ht="15" hidden="false" customHeight="true" outlineLevel="0" collapsed="false">
      <c r="A148" s="12" t="s">
        <v>2092</v>
      </c>
      <c r="B148" s="12" t="s">
        <v>2093</v>
      </c>
      <c r="C148" s="12" t="n">
        <v>46</v>
      </c>
      <c r="D148" s="12" t="s">
        <v>1577</v>
      </c>
      <c r="E148" s="12" t="s">
        <v>1578</v>
      </c>
      <c r="F148" s="12" t="str">
        <f aca="false">IFERROR(INDEX('Employer Master'!$L$5:$L$99,MATCH(D148,'Employer Master'!$A$5:$A$99,0)),"")</f>
        <v>BRK-08</v>
      </c>
      <c r="G148" s="12" t="s">
        <v>1544</v>
      </c>
      <c r="H148" s="12" t="n">
        <v>2</v>
      </c>
      <c r="I148" s="12" t="str">
        <f aca="false">IF(H148&gt;1,"yes","")</f>
        <v>yes</v>
      </c>
    </row>
    <row r="149" customFormat="false" ht="15" hidden="false" customHeight="true" outlineLevel="0" collapsed="false">
      <c r="A149" s="10" t="s">
        <v>2094</v>
      </c>
      <c r="B149" s="10" t="s">
        <v>2095</v>
      </c>
      <c r="C149" s="10" t="n">
        <v>38</v>
      </c>
      <c r="D149" s="10" t="s">
        <v>1577</v>
      </c>
      <c r="E149" s="10" t="s">
        <v>1578</v>
      </c>
      <c r="F149" s="10" t="str">
        <f aca="false">IFERROR(INDEX('Employer Master'!$L$5:$L$99,MATCH(D149,'Employer Master'!$A$5:$A$99,0)),"")</f>
        <v>BRK-08</v>
      </c>
      <c r="G149" s="10" t="s">
        <v>1808</v>
      </c>
      <c r="H149" s="10" t="n">
        <v>1</v>
      </c>
      <c r="I149" s="10" t="str">
        <f aca="false">IF(H149&gt;1,"yes","")</f>
        <v/>
      </c>
    </row>
    <row r="150" customFormat="false" ht="15" hidden="false" customHeight="true" outlineLevel="0" collapsed="false">
      <c r="A150" s="12" t="s">
        <v>2096</v>
      </c>
      <c r="B150" s="12" t="s">
        <v>2097</v>
      </c>
      <c r="C150" s="12" t="n">
        <v>42</v>
      </c>
      <c r="D150" s="12" t="s">
        <v>1577</v>
      </c>
      <c r="E150" s="12" t="s">
        <v>1578</v>
      </c>
      <c r="F150" s="12" t="str">
        <f aca="false">IFERROR(INDEX('Employer Master'!$L$5:$L$99,MATCH(D150,'Employer Master'!$A$5:$A$99,0)),"")</f>
        <v>BRK-08</v>
      </c>
      <c r="G150" s="12" t="s">
        <v>1808</v>
      </c>
      <c r="H150" s="12" t="n">
        <v>1</v>
      </c>
      <c r="I150" s="12" t="str">
        <f aca="false">IF(H150&gt;1,"yes","")</f>
        <v/>
      </c>
    </row>
    <row r="151" customFormat="false" ht="15" hidden="false" customHeight="true" outlineLevel="0" collapsed="false">
      <c r="A151" s="10" t="s">
        <v>2098</v>
      </c>
      <c r="B151" s="10" t="s">
        <v>2099</v>
      </c>
      <c r="C151" s="10" t="n">
        <v>48</v>
      </c>
      <c r="D151" s="10" t="s">
        <v>1577</v>
      </c>
      <c r="E151" s="10" t="s">
        <v>1578</v>
      </c>
      <c r="F151" s="10" t="str">
        <f aca="false">IFERROR(INDEX('Employer Master'!$L$5:$L$99,MATCH(D151,'Employer Master'!$A$5:$A$99,0)),"")</f>
        <v>BRK-08</v>
      </c>
      <c r="G151" s="10" t="s">
        <v>1808</v>
      </c>
      <c r="H151" s="10" t="n">
        <v>1</v>
      </c>
      <c r="I151" s="10" t="str">
        <f aca="false">IF(H151&gt;1,"yes","")</f>
        <v/>
      </c>
    </row>
    <row r="152" customFormat="false" ht="15" hidden="false" customHeight="true" outlineLevel="0" collapsed="false">
      <c r="A152" s="12" t="s">
        <v>2100</v>
      </c>
      <c r="B152" s="12" t="s">
        <v>2101</v>
      </c>
      <c r="C152" s="12" t="n">
        <v>62</v>
      </c>
      <c r="D152" s="12" t="s">
        <v>1577</v>
      </c>
      <c r="E152" s="12" t="s">
        <v>1578</v>
      </c>
      <c r="F152" s="12" t="str">
        <f aca="false">IFERROR(INDEX('Employer Master'!$L$5:$L$99,MATCH(D152,'Employer Master'!$A$5:$A$99,0)),"")</f>
        <v>BRK-08</v>
      </c>
      <c r="G152" s="12" t="s">
        <v>1808</v>
      </c>
      <c r="H152" s="12" t="n">
        <v>1</v>
      </c>
      <c r="I152" s="12" t="str">
        <f aca="false">IF(H152&gt;1,"yes","")</f>
        <v/>
      </c>
    </row>
    <row r="153" customFormat="false" ht="15" hidden="false" customHeight="true" outlineLevel="0" collapsed="false">
      <c r="A153" s="10" t="s">
        <v>2102</v>
      </c>
      <c r="B153" s="10" t="s">
        <v>2103</v>
      </c>
      <c r="C153" s="10" t="n">
        <v>32</v>
      </c>
      <c r="D153" s="10" t="s">
        <v>1581</v>
      </c>
      <c r="E153" s="10" t="s">
        <v>1582</v>
      </c>
      <c r="F153" s="10" t="str">
        <f aca="false">IFERROR(INDEX('Employer Master'!$L$5:$L$99,MATCH(D153,'Employer Master'!$A$5:$A$99,0)),"")</f>
        <v>BRK-05</v>
      </c>
      <c r="G153" s="10" t="s">
        <v>1805</v>
      </c>
      <c r="H153" s="10" t="n">
        <v>2</v>
      </c>
      <c r="I153" s="10" t="str">
        <f aca="false">IF(H153&gt;1,"yes","")</f>
        <v>yes</v>
      </c>
    </row>
    <row r="154" customFormat="false" ht="15" hidden="false" customHeight="true" outlineLevel="0" collapsed="false">
      <c r="A154" s="12" t="s">
        <v>2104</v>
      </c>
      <c r="B154" s="12" t="s">
        <v>2105</v>
      </c>
      <c r="C154" s="12" t="n">
        <v>46</v>
      </c>
      <c r="D154" s="12" t="s">
        <v>1581</v>
      </c>
      <c r="E154" s="12" t="s">
        <v>1582</v>
      </c>
      <c r="F154" s="12" t="str">
        <f aca="false">IFERROR(INDEX('Employer Master'!$L$5:$L$99,MATCH(D154,'Employer Master'!$A$5:$A$99,0)),"")</f>
        <v>BRK-05</v>
      </c>
      <c r="G154" s="12" t="s">
        <v>1808</v>
      </c>
      <c r="H154" s="12" t="n">
        <v>2</v>
      </c>
      <c r="I154" s="12" t="str">
        <f aca="false">IF(H154&gt;1,"yes","")</f>
        <v>yes</v>
      </c>
    </row>
    <row r="155" customFormat="false" ht="15" hidden="false" customHeight="true" outlineLevel="0" collapsed="false">
      <c r="A155" s="10" t="s">
        <v>2106</v>
      </c>
      <c r="B155" s="10" t="s">
        <v>2107</v>
      </c>
      <c r="C155" s="10" t="n">
        <v>63</v>
      </c>
      <c r="D155" s="10" t="s">
        <v>1581</v>
      </c>
      <c r="E155" s="10" t="s">
        <v>1582</v>
      </c>
      <c r="F155" s="10" t="str">
        <f aca="false">IFERROR(INDEX('Employer Master'!$L$5:$L$99,MATCH(D155,'Employer Master'!$A$5:$A$99,0)),"")</f>
        <v>BRK-05</v>
      </c>
      <c r="G155" s="10" t="s">
        <v>1808</v>
      </c>
      <c r="H155" s="10" t="n">
        <v>1</v>
      </c>
      <c r="I155" s="10" t="str">
        <f aca="false">IF(H155&gt;1,"yes","")</f>
        <v/>
      </c>
    </row>
    <row r="156" customFormat="false" ht="15" hidden="false" customHeight="true" outlineLevel="0" collapsed="false">
      <c r="A156" s="12" t="s">
        <v>2108</v>
      </c>
      <c r="B156" s="12" t="s">
        <v>2109</v>
      </c>
      <c r="C156" s="12" t="n">
        <v>42</v>
      </c>
      <c r="D156" s="12" t="s">
        <v>1581</v>
      </c>
      <c r="E156" s="12" t="s">
        <v>1582</v>
      </c>
      <c r="F156" s="12" t="str">
        <f aca="false">IFERROR(INDEX('Employer Master'!$L$5:$L$99,MATCH(D156,'Employer Master'!$A$5:$A$99,0)),"")</f>
        <v>BRK-05</v>
      </c>
      <c r="G156" s="12" t="s">
        <v>1808</v>
      </c>
      <c r="H156" s="12" t="n">
        <v>1</v>
      </c>
      <c r="I156" s="12" t="str">
        <f aca="false">IF(H156&gt;1,"yes","")</f>
        <v/>
      </c>
    </row>
    <row r="157" customFormat="false" ht="15" hidden="false" customHeight="true" outlineLevel="0" collapsed="false">
      <c r="A157" s="10" t="s">
        <v>2110</v>
      </c>
      <c r="B157" s="10" t="s">
        <v>2111</v>
      </c>
      <c r="C157" s="10" t="n">
        <v>43</v>
      </c>
      <c r="D157" s="10" t="s">
        <v>1581</v>
      </c>
      <c r="E157" s="10" t="s">
        <v>1582</v>
      </c>
      <c r="F157" s="10" t="str">
        <f aca="false">IFERROR(INDEX('Employer Master'!$L$5:$L$99,MATCH(D157,'Employer Master'!$A$5:$A$99,0)),"")</f>
        <v>BRK-05</v>
      </c>
      <c r="G157" s="10" t="s">
        <v>1805</v>
      </c>
      <c r="H157" s="10" t="n">
        <v>1</v>
      </c>
      <c r="I157" s="10" t="str">
        <f aca="false">IF(H157&gt;1,"yes","")</f>
        <v/>
      </c>
    </row>
    <row r="158" customFormat="false" ht="15" hidden="false" customHeight="true" outlineLevel="0" collapsed="false">
      <c r="A158" s="12" t="s">
        <v>2112</v>
      </c>
      <c r="B158" s="12" t="s">
        <v>2113</v>
      </c>
      <c r="C158" s="12" t="n">
        <v>44</v>
      </c>
      <c r="D158" s="12" t="s">
        <v>1581</v>
      </c>
      <c r="E158" s="12" t="s">
        <v>1582</v>
      </c>
      <c r="F158" s="12" t="str">
        <f aca="false">IFERROR(INDEX('Employer Master'!$L$5:$L$99,MATCH(D158,'Employer Master'!$A$5:$A$99,0)),"")</f>
        <v>BRK-05</v>
      </c>
      <c r="G158" s="12" t="s">
        <v>1808</v>
      </c>
      <c r="H158" s="12" t="n">
        <v>1</v>
      </c>
      <c r="I158" s="12" t="str">
        <f aca="false">IF(H158&gt;1,"yes","")</f>
        <v/>
      </c>
    </row>
    <row r="159" customFormat="false" ht="15" hidden="false" customHeight="true" outlineLevel="0" collapsed="false">
      <c r="A159" s="10" t="s">
        <v>2114</v>
      </c>
      <c r="B159" s="10" t="s">
        <v>2115</v>
      </c>
      <c r="C159" s="10" t="n">
        <v>26</v>
      </c>
      <c r="D159" s="10" t="s">
        <v>1585</v>
      </c>
      <c r="E159" s="10" t="s">
        <v>1586</v>
      </c>
      <c r="F159" s="10" t="str">
        <f aca="false">IFERROR(INDEX('Employer Master'!$L$5:$L$99,MATCH(D159,'Employer Master'!$A$5:$A$99,0)),"")</f>
        <v>BRK-10</v>
      </c>
      <c r="G159" s="10" t="s">
        <v>1544</v>
      </c>
      <c r="H159" s="10" t="n">
        <v>2</v>
      </c>
      <c r="I159" s="10" t="str">
        <f aca="false">IF(H159&gt;1,"yes","")</f>
        <v>yes</v>
      </c>
    </row>
    <row r="160" customFormat="false" ht="15" hidden="false" customHeight="true" outlineLevel="0" collapsed="false">
      <c r="A160" s="12" t="s">
        <v>2116</v>
      </c>
      <c r="B160" s="12" t="s">
        <v>2117</v>
      </c>
      <c r="C160" s="12" t="n">
        <v>36</v>
      </c>
      <c r="D160" s="12" t="s">
        <v>1585</v>
      </c>
      <c r="E160" s="12" t="s">
        <v>1586</v>
      </c>
      <c r="F160" s="12" t="str">
        <f aca="false">IFERROR(INDEX('Employer Master'!$L$5:$L$99,MATCH(D160,'Employer Master'!$A$5:$A$99,0)),"")</f>
        <v>BRK-10</v>
      </c>
      <c r="G160" s="12" t="s">
        <v>1991</v>
      </c>
      <c r="H160" s="12" t="n">
        <v>2</v>
      </c>
      <c r="I160" s="12" t="str">
        <f aca="false">IF(H160&gt;1,"yes","")</f>
        <v>yes</v>
      </c>
    </row>
    <row r="161" customFormat="false" ht="15" hidden="false" customHeight="true" outlineLevel="0" collapsed="false">
      <c r="A161" s="10" t="s">
        <v>2118</v>
      </c>
      <c r="B161" s="10" t="s">
        <v>2119</v>
      </c>
      <c r="C161" s="10" t="n">
        <v>32</v>
      </c>
      <c r="D161" s="10" t="s">
        <v>1585</v>
      </c>
      <c r="E161" s="10" t="s">
        <v>1586</v>
      </c>
      <c r="F161" s="10" t="str">
        <f aca="false">IFERROR(INDEX('Employer Master'!$L$5:$L$99,MATCH(D161,'Employer Master'!$A$5:$A$99,0)),"")</f>
        <v>BRK-10</v>
      </c>
      <c r="G161" s="10" t="s">
        <v>1544</v>
      </c>
      <c r="H161" s="10" t="n">
        <v>1</v>
      </c>
      <c r="I161" s="10" t="str">
        <f aca="false">IF(H161&gt;1,"yes","")</f>
        <v/>
      </c>
    </row>
    <row r="162" customFormat="false" ht="15" hidden="false" customHeight="true" outlineLevel="0" collapsed="false">
      <c r="A162" s="12" t="s">
        <v>2120</v>
      </c>
      <c r="B162" s="12" t="s">
        <v>2121</v>
      </c>
      <c r="C162" s="12" t="n">
        <v>34</v>
      </c>
      <c r="D162" s="12" t="s">
        <v>1585</v>
      </c>
      <c r="E162" s="12" t="s">
        <v>1586</v>
      </c>
      <c r="F162" s="12" t="str">
        <f aca="false">IFERROR(INDEX('Employer Master'!$L$5:$L$99,MATCH(D162,'Employer Master'!$A$5:$A$99,0)),"")</f>
        <v>BRK-10</v>
      </c>
      <c r="G162" s="12" t="s">
        <v>1991</v>
      </c>
      <c r="H162" s="12" t="n">
        <v>1</v>
      </c>
      <c r="I162" s="12" t="str">
        <f aca="false">IF(H162&gt;1,"yes","")</f>
        <v/>
      </c>
    </row>
    <row r="163" customFormat="false" ht="15" hidden="false" customHeight="true" outlineLevel="0" collapsed="false">
      <c r="A163" s="10" t="s">
        <v>2122</v>
      </c>
      <c r="B163" s="10" t="s">
        <v>2123</v>
      </c>
      <c r="C163" s="10" t="n">
        <v>48</v>
      </c>
      <c r="D163" s="10" t="s">
        <v>1585</v>
      </c>
      <c r="E163" s="10" t="s">
        <v>1586</v>
      </c>
      <c r="F163" s="10" t="str">
        <f aca="false">IFERROR(INDEX('Employer Master'!$L$5:$L$99,MATCH(D163,'Employer Master'!$A$5:$A$99,0)),"")</f>
        <v>BRK-10</v>
      </c>
      <c r="G163" s="10" t="s">
        <v>1544</v>
      </c>
      <c r="H163" s="10" t="n">
        <v>1</v>
      </c>
      <c r="I163" s="10" t="str">
        <f aca="false">IF(H163&gt;1,"yes","")</f>
        <v/>
      </c>
    </row>
    <row r="164" customFormat="false" ht="15" hidden="false" customHeight="true" outlineLevel="0" collapsed="false">
      <c r="A164" s="12" t="s">
        <v>2124</v>
      </c>
      <c r="B164" s="12" t="s">
        <v>2125</v>
      </c>
      <c r="C164" s="12" t="n">
        <v>29</v>
      </c>
      <c r="D164" s="12" t="s">
        <v>1585</v>
      </c>
      <c r="E164" s="12" t="s">
        <v>1586</v>
      </c>
      <c r="F164" s="12" t="str">
        <f aca="false">IFERROR(INDEX('Employer Master'!$L$5:$L$99,MATCH(D164,'Employer Master'!$A$5:$A$99,0)),"")</f>
        <v>BRK-10</v>
      </c>
      <c r="G164" s="12" t="s">
        <v>1991</v>
      </c>
      <c r="H164" s="12" t="n">
        <v>1</v>
      </c>
      <c r="I164" s="12" t="str">
        <f aca="false">IF(H164&gt;1,"yes","")</f>
        <v/>
      </c>
    </row>
    <row r="165" customFormat="false" ht="15" hidden="false" customHeight="true" outlineLevel="0" collapsed="false">
      <c r="A165" s="10" t="s">
        <v>2126</v>
      </c>
      <c r="B165" s="10" t="s">
        <v>2127</v>
      </c>
      <c r="C165" s="10" t="n">
        <v>24</v>
      </c>
      <c r="D165" s="10" t="s">
        <v>1589</v>
      </c>
      <c r="E165" s="10" t="s">
        <v>1590</v>
      </c>
      <c r="F165" s="10" t="str">
        <f aca="false">IFERROR(INDEX('Employer Master'!$L$5:$L$99,MATCH(D165,'Employer Master'!$A$5:$A$99,0)),"")</f>
        <v>BRK-26</v>
      </c>
      <c r="G165" s="10" t="s">
        <v>1544</v>
      </c>
      <c r="H165" s="10" t="n">
        <v>2</v>
      </c>
      <c r="I165" s="10" t="str">
        <f aca="false">IF(H165&gt;1,"yes","")</f>
        <v>yes</v>
      </c>
    </row>
    <row r="166" customFormat="false" ht="15" hidden="false" customHeight="true" outlineLevel="0" collapsed="false">
      <c r="A166" s="12" t="s">
        <v>2128</v>
      </c>
      <c r="B166" s="12" t="s">
        <v>2129</v>
      </c>
      <c r="C166" s="12" t="n">
        <v>60</v>
      </c>
      <c r="D166" s="12" t="s">
        <v>1589</v>
      </c>
      <c r="E166" s="12" t="s">
        <v>1590</v>
      </c>
      <c r="F166" s="12" t="str">
        <f aca="false">IFERROR(INDEX('Employer Master'!$L$5:$L$99,MATCH(D166,'Employer Master'!$A$5:$A$99,0)),"")</f>
        <v>BRK-26</v>
      </c>
      <c r="G166" s="12" t="s">
        <v>1544</v>
      </c>
      <c r="H166" s="12" t="n">
        <v>2</v>
      </c>
      <c r="I166" s="12" t="str">
        <f aca="false">IF(H166&gt;1,"yes","")</f>
        <v>yes</v>
      </c>
    </row>
    <row r="167" customFormat="false" ht="15" hidden="false" customHeight="true" outlineLevel="0" collapsed="false">
      <c r="A167" s="10" t="s">
        <v>2130</v>
      </c>
      <c r="B167" s="10" t="s">
        <v>2131</v>
      </c>
      <c r="C167" s="10" t="n">
        <v>50</v>
      </c>
      <c r="D167" s="10" t="s">
        <v>1589</v>
      </c>
      <c r="E167" s="10" t="s">
        <v>1590</v>
      </c>
      <c r="F167" s="10" t="str">
        <f aca="false">IFERROR(INDEX('Employer Master'!$L$5:$L$99,MATCH(D167,'Employer Master'!$A$5:$A$99,0)),"")</f>
        <v>BRK-26</v>
      </c>
      <c r="G167" s="10" t="s">
        <v>1808</v>
      </c>
      <c r="H167" s="10" t="n">
        <v>1</v>
      </c>
      <c r="I167" s="10" t="str">
        <f aca="false">IF(H167&gt;1,"yes","")</f>
        <v/>
      </c>
    </row>
    <row r="168" customFormat="false" ht="15" hidden="false" customHeight="true" outlineLevel="0" collapsed="false">
      <c r="A168" s="12" t="s">
        <v>2132</v>
      </c>
      <c r="B168" s="12" t="s">
        <v>2133</v>
      </c>
      <c r="C168" s="12" t="n">
        <v>49</v>
      </c>
      <c r="D168" s="12" t="s">
        <v>1589</v>
      </c>
      <c r="E168" s="12" t="s">
        <v>1590</v>
      </c>
      <c r="F168" s="12" t="str">
        <f aca="false">IFERROR(INDEX('Employer Master'!$L$5:$L$99,MATCH(D168,'Employer Master'!$A$5:$A$99,0)),"")</f>
        <v>BRK-26</v>
      </c>
      <c r="G168" s="12" t="s">
        <v>1808</v>
      </c>
      <c r="H168" s="12" t="n">
        <v>1</v>
      </c>
      <c r="I168" s="12" t="str">
        <f aca="false">IF(H168&gt;1,"yes","")</f>
        <v/>
      </c>
    </row>
    <row r="169" customFormat="false" ht="15" hidden="false" customHeight="true" outlineLevel="0" collapsed="false">
      <c r="A169" s="10" t="s">
        <v>2134</v>
      </c>
      <c r="B169" s="10" t="s">
        <v>2135</v>
      </c>
      <c r="C169" s="10" t="n">
        <v>27</v>
      </c>
      <c r="D169" s="10" t="s">
        <v>1589</v>
      </c>
      <c r="E169" s="10" t="s">
        <v>1590</v>
      </c>
      <c r="F169" s="10" t="str">
        <f aca="false">IFERROR(INDEX('Employer Master'!$L$5:$L$99,MATCH(D169,'Employer Master'!$A$5:$A$99,0)),"")</f>
        <v>BRK-26</v>
      </c>
      <c r="G169" s="10" t="s">
        <v>1808</v>
      </c>
      <c r="H169" s="10" t="n">
        <v>1</v>
      </c>
      <c r="I169" s="10" t="str">
        <f aca="false">IF(H169&gt;1,"yes","")</f>
        <v/>
      </c>
    </row>
    <row r="170" customFormat="false" ht="15" hidden="false" customHeight="true" outlineLevel="0" collapsed="false">
      <c r="A170" s="12" t="s">
        <v>2136</v>
      </c>
      <c r="B170" s="12" t="s">
        <v>2137</v>
      </c>
      <c r="C170" s="12" t="n">
        <v>34</v>
      </c>
      <c r="D170" s="12" t="s">
        <v>1592</v>
      </c>
      <c r="E170" s="12" t="s">
        <v>1593</v>
      </c>
      <c r="F170" s="12" t="str">
        <f aca="false">IFERROR(INDEX('Employer Master'!$L$5:$L$99,MATCH(D170,'Employer Master'!$A$5:$A$99,0)),"")</f>
        <v>BRK-30</v>
      </c>
      <c r="G170" s="12" t="s">
        <v>1991</v>
      </c>
      <c r="H170" s="12" t="n">
        <v>2</v>
      </c>
      <c r="I170" s="12" t="str">
        <f aca="false">IF(H170&gt;1,"yes","")</f>
        <v>yes</v>
      </c>
    </row>
    <row r="171" customFormat="false" ht="15" hidden="false" customHeight="true" outlineLevel="0" collapsed="false">
      <c r="A171" s="10" t="s">
        <v>2138</v>
      </c>
      <c r="B171" s="10" t="s">
        <v>2139</v>
      </c>
      <c r="C171" s="10" t="n">
        <v>32</v>
      </c>
      <c r="D171" s="10" t="s">
        <v>1592</v>
      </c>
      <c r="E171" s="10" t="s">
        <v>1593</v>
      </c>
      <c r="F171" s="10" t="str">
        <f aca="false">IFERROR(INDEX('Employer Master'!$L$5:$L$99,MATCH(D171,'Employer Master'!$A$5:$A$99,0)),"")</f>
        <v>BRK-30</v>
      </c>
      <c r="G171" s="10" t="s">
        <v>1544</v>
      </c>
      <c r="H171" s="10" t="n">
        <v>2</v>
      </c>
      <c r="I171" s="10" t="str">
        <f aca="false">IF(H171&gt;1,"yes","")</f>
        <v>yes</v>
      </c>
    </row>
    <row r="172" customFormat="false" ht="15" hidden="false" customHeight="true" outlineLevel="0" collapsed="false">
      <c r="A172" s="12" t="s">
        <v>2140</v>
      </c>
      <c r="B172" s="12" t="s">
        <v>2141</v>
      </c>
      <c r="C172" s="12" t="n">
        <v>36</v>
      </c>
      <c r="D172" s="12" t="s">
        <v>1592</v>
      </c>
      <c r="E172" s="12" t="s">
        <v>1593</v>
      </c>
      <c r="F172" s="12" t="str">
        <f aca="false">IFERROR(INDEX('Employer Master'!$L$5:$L$99,MATCH(D172,'Employer Master'!$A$5:$A$99,0)),"")</f>
        <v>BRK-30</v>
      </c>
      <c r="G172" s="12" t="s">
        <v>1544</v>
      </c>
      <c r="H172" s="12" t="n">
        <v>1</v>
      </c>
      <c r="I172" s="12" t="str">
        <f aca="false">IF(H172&gt;1,"yes","")</f>
        <v/>
      </c>
    </row>
    <row r="173" customFormat="false" ht="15" hidden="false" customHeight="true" outlineLevel="0" collapsed="false">
      <c r="A173" s="10" t="s">
        <v>2142</v>
      </c>
      <c r="B173" s="10" t="s">
        <v>2143</v>
      </c>
      <c r="C173" s="10" t="n">
        <v>51</v>
      </c>
      <c r="D173" s="10" t="s">
        <v>1592</v>
      </c>
      <c r="E173" s="10" t="s">
        <v>1593</v>
      </c>
      <c r="F173" s="10" t="str">
        <f aca="false">IFERROR(INDEX('Employer Master'!$L$5:$L$99,MATCH(D173,'Employer Master'!$A$5:$A$99,0)),"")</f>
        <v>BRK-30</v>
      </c>
      <c r="G173" s="10" t="s">
        <v>1991</v>
      </c>
      <c r="H173" s="10" t="n">
        <v>1</v>
      </c>
      <c r="I173" s="10" t="str">
        <f aca="false">IF(H173&gt;1,"yes","")</f>
        <v/>
      </c>
    </row>
    <row r="174" customFormat="false" ht="15" hidden="false" customHeight="true" outlineLevel="0" collapsed="false">
      <c r="A174" s="12" t="s">
        <v>2144</v>
      </c>
      <c r="B174" s="12" t="s">
        <v>2145</v>
      </c>
      <c r="C174" s="12" t="n">
        <v>30</v>
      </c>
      <c r="D174" s="12" t="s">
        <v>1596</v>
      </c>
      <c r="E174" s="12" t="s">
        <v>1597</v>
      </c>
      <c r="F174" s="12" t="str">
        <f aca="false">IFERROR(INDEX('Employer Master'!$L$5:$L$99,MATCH(D174,'Employer Master'!$A$5:$A$99,0)),"")</f>
        <v>BRK-02</v>
      </c>
      <c r="G174" s="12" t="s">
        <v>1544</v>
      </c>
      <c r="H174" s="12" t="n">
        <v>2</v>
      </c>
      <c r="I174" s="12" t="str">
        <f aca="false">IF(H174&gt;1,"yes","")</f>
        <v>yes</v>
      </c>
    </row>
    <row r="175" customFormat="false" ht="15" hidden="false" customHeight="true" outlineLevel="0" collapsed="false">
      <c r="A175" s="10" t="s">
        <v>2146</v>
      </c>
      <c r="B175" s="10" t="s">
        <v>2147</v>
      </c>
      <c r="C175" s="10" t="n">
        <v>52</v>
      </c>
      <c r="D175" s="10" t="s">
        <v>1596</v>
      </c>
      <c r="E175" s="10" t="s">
        <v>1597</v>
      </c>
      <c r="F175" s="10" t="str">
        <f aca="false">IFERROR(INDEX('Employer Master'!$L$5:$L$99,MATCH(D175,'Employer Master'!$A$5:$A$99,0)),"")</f>
        <v>BRK-02</v>
      </c>
      <c r="G175" s="10" t="s">
        <v>1544</v>
      </c>
      <c r="H175" s="10" t="n">
        <v>2</v>
      </c>
      <c r="I175" s="10" t="str">
        <f aca="false">IF(H175&gt;1,"yes","")</f>
        <v>yes</v>
      </c>
    </row>
    <row r="176" customFormat="false" ht="15" hidden="false" customHeight="true" outlineLevel="0" collapsed="false">
      <c r="A176" s="12" t="s">
        <v>2148</v>
      </c>
      <c r="B176" s="12" t="s">
        <v>2149</v>
      </c>
      <c r="C176" s="12" t="n">
        <v>47</v>
      </c>
      <c r="D176" s="12" t="s">
        <v>1596</v>
      </c>
      <c r="E176" s="12" t="s">
        <v>1597</v>
      </c>
      <c r="F176" s="12" t="str">
        <f aca="false">IFERROR(INDEX('Employer Master'!$L$5:$L$99,MATCH(D176,'Employer Master'!$A$5:$A$99,0)),"")</f>
        <v>BRK-02</v>
      </c>
      <c r="G176" s="12" t="s">
        <v>1544</v>
      </c>
      <c r="H176" s="12" t="n">
        <v>1</v>
      </c>
      <c r="I176" s="12" t="str">
        <f aca="false">IF(H176&gt;1,"yes","")</f>
        <v/>
      </c>
    </row>
    <row r="177" customFormat="false" ht="15" hidden="false" customHeight="true" outlineLevel="0" collapsed="false">
      <c r="A177" s="10" t="s">
        <v>2150</v>
      </c>
      <c r="B177" s="10" t="s">
        <v>2151</v>
      </c>
      <c r="C177" s="10" t="n">
        <v>55</v>
      </c>
      <c r="D177" s="10" t="s">
        <v>1596</v>
      </c>
      <c r="E177" s="10" t="s">
        <v>1597</v>
      </c>
      <c r="F177" s="10" t="str">
        <f aca="false">IFERROR(INDEX('Employer Master'!$L$5:$L$99,MATCH(D177,'Employer Master'!$A$5:$A$99,0)),"")</f>
        <v>BRK-02</v>
      </c>
      <c r="G177" s="10" t="s">
        <v>1544</v>
      </c>
      <c r="H177" s="10" t="n">
        <v>1</v>
      </c>
      <c r="I177" s="10" t="str">
        <f aca="false">IF(H177&gt;1,"yes","")</f>
        <v/>
      </c>
    </row>
    <row r="178" customFormat="false" ht="15" hidden="false" customHeight="true" outlineLevel="0" collapsed="false">
      <c r="A178" s="12" t="s">
        <v>2152</v>
      </c>
      <c r="B178" s="12" t="s">
        <v>2153</v>
      </c>
      <c r="C178" s="12" t="n">
        <v>51</v>
      </c>
      <c r="D178" s="12" t="s">
        <v>1596</v>
      </c>
      <c r="E178" s="12" t="s">
        <v>1597</v>
      </c>
      <c r="F178" s="12" t="str">
        <f aca="false">IFERROR(INDEX('Employer Master'!$L$5:$L$99,MATCH(D178,'Employer Master'!$A$5:$A$99,0)),"")</f>
        <v>BRK-02</v>
      </c>
      <c r="G178" s="12" t="s">
        <v>1544</v>
      </c>
      <c r="H178" s="12" t="n">
        <v>1</v>
      </c>
      <c r="I178" s="12" t="str">
        <f aca="false">IF(H178&gt;1,"yes","")</f>
        <v/>
      </c>
    </row>
    <row r="179" customFormat="false" ht="15" hidden="false" customHeight="true" outlineLevel="0" collapsed="false">
      <c r="A179" s="10" t="s">
        <v>2154</v>
      </c>
      <c r="B179" s="10" t="s">
        <v>2155</v>
      </c>
      <c r="C179" s="10" t="n">
        <v>61</v>
      </c>
      <c r="D179" s="10" t="s">
        <v>1599</v>
      </c>
      <c r="E179" s="10" t="s">
        <v>1600</v>
      </c>
      <c r="F179" s="10" t="str">
        <f aca="false">IFERROR(INDEX('Employer Master'!$L$5:$L$99,MATCH(D179,'Employer Master'!$A$5:$A$99,0)),"")</f>
        <v>BRK-03</v>
      </c>
      <c r="G179" s="10" t="s">
        <v>1544</v>
      </c>
      <c r="H179" s="10" t="n">
        <v>2</v>
      </c>
      <c r="I179" s="10" t="str">
        <f aca="false">IF(H179&gt;1,"yes","")</f>
        <v>yes</v>
      </c>
    </row>
    <row r="180" customFormat="false" ht="15" hidden="false" customHeight="true" outlineLevel="0" collapsed="false">
      <c r="A180" s="12" t="s">
        <v>2156</v>
      </c>
      <c r="B180" s="12" t="s">
        <v>2157</v>
      </c>
      <c r="C180" s="12" t="n">
        <v>57</v>
      </c>
      <c r="D180" s="12" t="s">
        <v>1599</v>
      </c>
      <c r="E180" s="12" t="s">
        <v>1600</v>
      </c>
      <c r="F180" s="12" t="str">
        <f aca="false">IFERROR(INDEX('Employer Master'!$L$5:$L$99,MATCH(D180,'Employer Master'!$A$5:$A$99,0)),"")</f>
        <v>BRK-03</v>
      </c>
      <c r="G180" s="12" t="s">
        <v>1544</v>
      </c>
      <c r="H180" s="12" t="n">
        <v>1</v>
      </c>
      <c r="I180" s="12" t="str">
        <f aca="false">IF(H180&gt;1,"yes","")</f>
        <v/>
      </c>
    </row>
    <row r="181" customFormat="false" ht="15" hidden="false" customHeight="true" outlineLevel="0" collapsed="false">
      <c r="A181" s="10" t="s">
        <v>2158</v>
      </c>
      <c r="B181" s="10" t="s">
        <v>2159</v>
      </c>
      <c r="C181" s="10" t="n">
        <v>62</v>
      </c>
      <c r="D181" s="10" t="s">
        <v>1599</v>
      </c>
      <c r="E181" s="10" t="s">
        <v>1600</v>
      </c>
      <c r="F181" s="10" t="str">
        <f aca="false">IFERROR(INDEX('Employer Master'!$L$5:$L$99,MATCH(D181,'Employer Master'!$A$5:$A$99,0)),"")</f>
        <v>BRK-03</v>
      </c>
      <c r="G181" s="10" t="s">
        <v>1805</v>
      </c>
      <c r="H181" s="10" t="n">
        <v>1</v>
      </c>
      <c r="I181" s="10" t="str">
        <f aca="false">IF(H181&gt;1,"yes","")</f>
        <v/>
      </c>
    </row>
    <row r="182" customFormat="false" ht="15" hidden="false" customHeight="true" outlineLevel="0" collapsed="false">
      <c r="A182" s="12" t="s">
        <v>2160</v>
      </c>
      <c r="B182" s="12" t="s">
        <v>2161</v>
      </c>
      <c r="C182" s="12" t="n">
        <v>58</v>
      </c>
      <c r="D182" s="12" t="s">
        <v>1599</v>
      </c>
      <c r="E182" s="12" t="s">
        <v>1600</v>
      </c>
      <c r="F182" s="12" t="str">
        <f aca="false">IFERROR(INDEX('Employer Master'!$L$5:$L$99,MATCH(D182,'Employer Master'!$A$5:$A$99,0)),"")</f>
        <v>BRK-03</v>
      </c>
      <c r="G182" s="12" t="s">
        <v>1805</v>
      </c>
      <c r="H182" s="12" t="n">
        <v>1</v>
      </c>
      <c r="I182" s="12" t="str">
        <f aca="false">IF(H182&gt;1,"yes","")</f>
        <v/>
      </c>
    </row>
    <row r="183" customFormat="false" ht="15" hidden="false" customHeight="true" outlineLevel="0" collapsed="false">
      <c r="A183" s="10" t="s">
        <v>2162</v>
      </c>
      <c r="B183" s="10" t="s">
        <v>2163</v>
      </c>
      <c r="C183" s="10" t="n">
        <v>54</v>
      </c>
      <c r="D183" s="10" t="s">
        <v>1601</v>
      </c>
      <c r="E183" s="10" t="s">
        <v>1602</v>
      </c>
      <c r="F183" s="10" t="str">
        <f aca="false">IFERROR(INDEX('Employer Master'!$L$5:$L$99,MATCH(D183,'Employer Master'!$A$5:$A$99,0)),"")</f>
        <v>BRK-04</v>
      </c>
      <c r="G183" s="10" t="s">
        <v>1808</v>
      </c>
      <c r="H183" s="10" t="n">
        <v>2</v>
      </c>
      <c r="I183" s="10" t="str">
        <f aca="false">IF(H183&gt;1,"yes","")</f>
        <v>yes</v>
      </c>
    </row>
    <row r="184" customFormat="false" ht="15" hidden="false" customHeight="true" outlineLevel="0" collapsed="false">
      <c r="A184" s="12" t="s">
        <v>2164</v>
      </c>
      <c r="B184" s="12" t="s">
        <v>2165</v>
      </c>
      <c r="C184" s="12" t="n">
        <v>64</v>
      </c>
      <c r="D184" s="12" t="s">
        <v>1601</v>
      </c>
      <c r="E184" s="12" t="s">
        <v>1602</v>
      </c>
      <c r="F184" s="12" t="str">
        <f aca="false">IFERROR(INDEX('Employer Master'!$L$5:$L$99,MATCH(D184,'Employer Master'!$A$5:$A$99,0)),"")</f>
        <v>BRK-04</v>
      </c>
      <c r="G184" s="12" t="s">
        <v>1808</v>
      </c>
      <c r="H184" s="12" t="n">
        <v>1</v>
      </c>
      <c r="I184" s="12" t="str">
        <f aca="false">IF(H184&gt;1,"yes","")</f>
        <v/>
      </c>
    </row>
    <row r="185" customFormat="false" ht="15" hidden="false" customHeight="true" outlineLevel="0" collapsed="false">
      <c r="A185" s="10" t="s">
        <v>2166</v>
      </c>
      <c r="B185" s="10" t="s">
        <v>2167</v>
      </c>
      <c r="C185" s="10" t="n">
        <v>55</v>
      </c>
      <c r="D185" s="10" t="s">
        <v>1601</v>
      </c>
      <c r="E185" s="10" t="s">
        <v>1602</v>
      </c>
      <c r="F185" s="10" t="str">
        <f aca="false">IFERROR(INDEX('Employer Master'!$L$5:$L$99,MATCH(D185,'Employer Master'!$A$5:$A$99,0)),"")</f>
        <v>BRK-04</v>
      </c>
      <c r="G185" s="10" t="s">
        <v>1544</v>
      </c>
      <c r="H185" s="10" t="n">
        <v>1</v>
      </c>
      <c r="I185" s="10" t="str">
        <f aca="false">IF(H185&gt;1,"yes","")</f>
        <v/>
      </c>
    </row>
    <row r="186" customFormat="false" ht="15" hidden="false" customHeight="true" outlineLevel="0" collapsed="false">
      <c r="A186" s="12" t="s">
        <v>2168</v>
      </c>
      <c r="B186" s="12" t="s">
        <v>2169</v>
      </c>
      <c r="C186" s="12" t="n">
        <v>34</v>
      </c>
      <c r="D186" s="12" t="s">
        <v>1601</v>
      </c>
      <c r="E186" s="12" t="s">
        <v>1602</v>
      </c>
      <c r="F186" s="12" t="str">
        <f aca="false">IFERROR(INDEX('Employer Master'!$L$5:$L$99,MATCH(D186,'Employer Master'!$A$5:$A$99,0)),"")</f>
        <v>BRK-04</v>
      </c>
      <c r="G186" s="12" t="s">
        <v>1544</v>
      </c>
      <c r="H186" s="12" t="n">
        <v>1</v>
      </c>
      <c r="I186" s="12" t="str">
        <f aca="false">IF(H186&gt;1,"yes","")</f>
        <v/>
      </c>
    </row>
    <row r="187" customFormat="false" ht="15" hidden="false" customHeight="true" outlineLevel="0" collapsed="false">
      <c r="A187" s="10" t="s">
        <v>2170</v>
      </c>
      <c r="B187" s="10" t="s">
        <v>2171</v>
      </c>
      <c r="C187" s="10" t="n">
        <v>56</v>
      </c>
      <c r="D187" s="10" t="s">
        <v>1604</v>
      </c>
      <c r="E187" s="10" t="s">
        <v>1605</v>
      </c>
      <c r="F187" s="10" t="str">
        <f aca="false">IFERROR(INDEX('Employer Master'!$L$5:$L$99,MATCH(D187,'Employer Master'!$A$5:$A$99,0)),"")</f>
        <v>BRK-05</v>
      </c>
      <c r="G187" s="10" t="s">
        <v>1544</v>
      </c>
      <c r="H187" s="10" t="n">
        <v>2</v>
      </c>
      <c r="I187" s="10" t="str">
        <f aca="false">IF(H187&gt;1,"yes","")</f>
        <v>yes</v>
      </c>
    </row>
    <row r="188" customFormat="false" ht="15" hidden="false" customHeight="true" outlineLevel="0" collapsed="false">
      <c r="A188" s="12" t="s">
        <v>2172</v>
      </c>
      <c r="B188" s="12" t="s">
        <v>2173</v>
      </c>
      <c r="C188" s="12" t="n">
        <v>57</v>
      </c>
      <c r="D188" s="12" t="s">
        <v>1604</v>
      </c>
      <c r="E188" s="12" t="s">
        <v>1605</v>
      </c>
      <c r="F188" s="12" t="str">
        <f aca="false">IFERROR(INDEX('Employer Master'!$L$5:$L$99,MATCH(D188,'Employer Master'!$A$5:$A$99,0)),"")</f>
        <v>BRK-05</v>
      </c>
      <c r="G188" s="12" t="s">
        <v>1544</v>
      </c>
      <c r="H188" s="12" t="n">
        <v>1</v>
      </c>
      <c r="I188" s="12" t="str">
        <f aca="false">IF(H188&gt;1,"yes","")</f>
        <v/>
      </c>
    </row>
    <row r="189" customFormat="false" ht="15" hidden="false" customHeight="true" outlineLevel="0" collapsed="false">
      <c r="A189" s="10" t="s">
        <v>2174</v>
      </c>
      <c r="B189" s="10" t="s">
        <v>2175</v>
      </c>
      <c r="C189" s="10" t="n">
        <v>54</v>
      </c>
      <c r="D189" s="10" t="s">
        <v>1604</v>
      </c>
      <c r="E189" s="10" t="s">
        <v>1605</v>
      </c>
      <c r="F189" s="10" t="str">
        <f aca="false">IFERROR(INDEX('Employer Master'!$L$5:$L$99,MATCH(D189,'Employer Master'!$A$5:$A$99,0)),"")</f>
        <v>BRK-05</v>
      </c>
      <c r="G189" s="10" t="s">
        <v>1544</v>
      </c>
      <c r="H189" s="10" t="n">
        <v>1</v>
      </c>
      <c r="I189" s="10" t="str">
        <f aca="false">IF(H189&gt;1,"yes","")</f>
        <v/>
      </c>
    </row>
    <row r="190" customFormat="false" ht="15" hidden="false" customHeight="true" outlineLevel="0" collapsed="false">
      <c r="A190" s="12" t="s">
        <v>2176</v>
      </c>
      <c r="B190" s="12" t="s">
        <v>2177</v>
      </c>
      <c r="C190" s="12" t="n">
        <v>29</v>
      </c>
      <c r="D190" s="12" t="s">
        <v>1604</v>
      </c>
      <c r="E190" s="12" t="s">
        <v>1605</v>
      </c>
      <c r="F190" s="12" t="str">
        <f aca="false">IFERROR(INDEX('Employer Master'!$L$5:$L$99,MATCH(D190,'Employer Master'!$A$5:$A$99,0)),"")</f>
        <v>BRK-05</v>
      </c>
      <c r="G190" s="12" t="s">
        <v>1544</v>
      </c>
      <c r="H190" s="12" t="n">
        <v>1</v>
      </c>
      <c r="I190" s="12" t="str">
        <f aca="false">IF(H190&gt;1,"yes","")</f>
        <v/>
      </c>
    </row>
    <row r="191" customFormat="false" ht="15" hidden="false" customHeight="true" outlineLevel="0" collapsed="false">
      <c r="A191" s="10" t="s">
        <v>2178</v>
      </c>
      <c r="B191" s="10" t="s">
        <v>2179</v>
      </c>
      <c r="C191" s="10" t="n">
        <v>38</v>
      </c>
      <c r="D191" s="10" t="s">
        <v>1606</v>
      </c>
      <c r="E191" s="10" t="s">
        <v>1607</v>
      </c>
      <c r="F191" s="10" t="str">
        <f aca="false">IFERROR(INDEX('Employer Master'!$L$5:$L$99,MATCH(D191,'Employer Master'!$A$5:$A$99,0)),"")</f>
        <v>BRK-06</v>
      </c>
      <c r="G191" s="10" t="s">
        <v>1808</v>
      </c>
      <c r="H191" s="10" t="n">
        <v>2</v>
      </c>
      <c r="I191" s="10" t="str">
        <f aca="false">IF(H191&gt;1,"yes","")</f>
        <v>yes</v>
      </c>
    </row>
    <row r="192" customFormat="false" ht="15" hidden="false" customHeight="true" outlineLevel="0" collapsed="false">
      <c r="A192" s="12" t="s">
        <v>2180</v>
      </c>
      <c r="B192" s="12" t="s">
        <v>2181</v>
      </c>
      <c r="C192" s="12" t="n">
        <v>58</v>
      </c>
      <c r="D192" s="12" t="s">
        <v>1606</v>
      </c>
      <c r="E192" s="12" t="s">
        <v>1607</v>
      </c>
      <c r="F192" s="12" t="str">
        <f aca="false">IFERROR(INDEX('Employer Master'!$L$5:$L$99,MATCH(D192,'Employer Master'!$A$5:$A$99,0)),"")</f>
        <v>BRK-06</v>
      </c>
      <c r="G192" s="12" t="s">
        <v>1544</v>
      </c>
      <c r="H192" s="12" t="n">
        <v>1</v>
      </c>
      <c r="I192" s="12" t="str">
        <f aca="false">IF(H192&gt;1,"yes","")</f>
        <v/>
      </c>
    </row>
    <row r="193" customFormat="false" ht="15" hidden="false" customHeight="true" outlineLevel="0" collapsed="false">
      <c r="A193" s="10" t="s">
        <v>2182</v>
      </c>
      <c r="B193" s="10" t="s">
        <v>2183</v>
      </c>
      <c r="C193" s="10" t="n">
        <v>34</v>
      </c>
      <c r="D193" s="10" t="s">
        <v>1606</v>
      </c>
      <c r="E193" s="10" t="s">
        <v>1607</v>
      </c>
      <c r="F193" s="10" t="str">
        <f aca="false">IFERROR(INDEX('Employer Master'!$L$5:$L$99,MATCH(D193,'Employer Master'!$A$5:$A$99,0)),"")</f>
        <v>BRK-06</v>
      </c>
      <c r="G193" s="10" t="s">
        <v>1808</v>
      </c>
      <c r="H193" s="10" t="n">
        <v>1</v>
      </c>
      <c r="I193" s="10" t="str">
        <f aca="false">IF(H193&gt;1,"yes","")</f>
        <v/>
      </c>
    </row>
    <row r="194" customFormat="false" ht="15" hidden="false" customHeight="true" outlineLevel="0" collapsed="false">
      <c r="A194" s="12" t="s">
        <v>2184</v>
      </c>
      <c r="B194" s="12" t="s">
        <v>2185</v>
      </c>
      <c r="C194" s="12" t="n">
        <v>45</v>
      </c>
      <c r="D194" s="12" t="s">
        <v>1608</v>
      </c>
      <c r="E194" s="12" t="s">
        <v>1609</v>
      </c>
      <c r="F194" s="12" t="str">
        <f aca="false">IFERROR(INDEX('Employer Master'!$L$5:$L$99,MATCH(D194,'Employer Master'!$A$5:$A$99,0)),"")</f>
        <v>BRK-07</v>
      </c>
      <c r="G194" s="12" t="s">
        <v>1544</v>
      </c>
      <c r="H194" s="12" t="n">
        <v>2</v>
      </c>
      <c r="I194" s="12" t="str">
        <f aca="false">IF(H194&gt;1,"yes","")</f>
        <v>yes</v>
      </c>
    </row>
    <row r="195" customFormat="false" ht="15" hidden="false" customHeight="true" outlineLevel="0" collapsed="false">
      <c r="A195" s="10" t="s">
        <v>2186</v>
      </c>
      <c r="B195" s="10" t="s">
        <v>2187</v>
      </c>
      <c r="C195" s="10" t="n">
        <v>49</v>
      </c>
      <c r="D195" s="10" t="s">
        <v>1608</v>
      </c>
      <c r="E195" s="10" t="s">
        <v>1609</v>
      </c>
      <c r="F195" s="10" t="str">
        <f aca="false">IFERROR(INDEX('Employer Master'!$L$5:$L$99,MATCH(D195,'Employer Master'!$A$5:$A$99,0)),"")</f>
        <v>BRK-07</v>
      </c>
      <c r="G195" s="10" t="s">
        <v>1544</v>
      </c>
      <c r="H195" s="10" t="n">
        <v>1</v>
      </c>
      <c r="I195" s="10" t="str">
        <f aca="false">IF(H195&gt;1,"yes","")</f>
        <v/>
      </c>
    </row>
    <row r="196" customFormat="false" ht="15" hidden="false" customHeight="true" outlineLevel="0" collapsed="false">
      <c r="A196" s="12" t="s">
        <v>2188</v>
      </c>
      <c r="B196" s="12" t="s">
        <v>2189</v>
      </c>
      <c r="C196" s="12" t="n">
        <v>24</v>
      </c>
      <c r="D196" s="12" t="s">
        <v>1608</v>
      </c>
      <c r="E196" s="12" t="s">
        <v>1609</v>
      </c>
      <c r="F196" s="12" t="str">
        <f aca="false">IFERROR(INDEX('Employer Master'!$L$5:$L$99,MATCH(D196,'Employer Master'!$A$5:$A$99,0)),"")</f>
        <v>BRK-07</v>
      </c>
      <c r="G196" s="12" t="s">
        <v>1808</v>
      </c>
      <c r="H196" s="12" t="n">
        <v>1</v>
      </c>
      <c r="I196" s="12" t="str">
        <f aca="false">IF(H196&gt;1,"yes","")</f>
        <v/>
      </c>
    </row>
    <row r="197" customFormat="false" ht="15" hidden="false" customHeight="true" outlineLevel="0" collapsed="false">
      <c r="A197" s="10" t="s">
        <v>2190</v>
      </c>
      <c r="B197" s="10" t="s">
        <v>2191</v>
      </c>
      <c r="C197" s="10" t="n">
        <v>54</v>
      </c>
      <c r="D197" s="10" t="s">
        <v>1610</v>
      </c>
      <c r="E197" s="10" t="s">
        <v>1611</v>
      </c>
      <c r="F197" s="10" t="str">
        <f aca="false">IFERROR(INDEX('Employer Master'!$L$5:$L$99,MATCH(D197,'Employer Master'!$A$5:$A$99,0)),"")</f>
        <v>BRK-08</v>
      </c>
      <c r="G197" s="10" t="s">
        <v>1991</v>
      </c>
      <c r="H197" s="10" t="n">
        <v>2</v>
      </c>
      <c r="I197" s="10" t="str">
        <f aca="false">IF(H197&gt;1,"yes","")</f>
        <v>yes</v>
      </c>
    </row>
    <row r="198" customFormat="false" ht="15" hidden="false" customHeight="true" outlineLevel="0" collapsed="false">
      <c r="A198" s="12" t="s">
        <v>2192</v>
      </c>
      <c r="B198" s="12" t="s">
        <v>2193</v>
      </c>
      <c r="C198" s="12" t="n">
        <v>57</v>
      </c>
      <c r="D198" s="12" t="s">
        <v>1610</v>
      </c>
      <c r="E198" s="12" t="s">
        <v>1611</v>
      </c>
      <c r="F198" s="12" t="str">
        <f aca="false">IFERROR(INDEX('Employer Master'!$L$5:$L$99,MATCH(D198,'Employer Master'!$A$5:$A$99,0)),"")</f>
        <v>BRK-08</v>
      </c>
      <c r="G198" s="12" t="s">
        <v>1544</v>
      </c>
      <c r="H198" s="12" t="n">
        <v>1</v>
      </c>
      <c r="I198" s="12" t="str">
        <f aca="false">IF(H198&gt;1,"yes","")</f>
        <v/>
      </c>
    </row>
    <row r="199" customFormat="false" ht="15" hidden="false" customHeight="true" outlineLevel="0" collapsed="false">
      <c r="A199" s="10" t="s">
        <v>2194</v>
      </c>
      <c r="B199" s="10" t="s">
        <v>2195</v>
      </c>
      <c r="C199" s="10" t="n">
        <v>58</v>
      </c>
      <c r="D199" s="10" t="s">
        <v>1610</v>
      </c>
      <c r="E199" s="10" t="s">
        <v>1611</v>
      </c>
      <c r="F199" s="10" t="str">
        <f aca="false">IFERROR(INDEX('Employer Master'!$L$5:$L$99,MATCH(D199,'Employer Master'!$A$5:$A$99,0)),"")</f>
        <v>BRK-08</v>
      </c>
      <c r="G199" s="10" t="s">
        <v>1544</v>
      </c>
      <c r="H199" s="10" t="n">
        <v>1</v>
      </c>
      <c r="I199" s="10" t="str">
        <f aca="false">IF(H199&gt;1,"yes","")</f>
        <v/>
      </c>
    </row>
    <row r="200" customFormat="false" ht="15" hidden="false" customHeight="true" outlineLevel="0" collapsed="false">
      <c r="A200" s="12" t="s">
        <v>2196</v>
      </c>
      <c r="B200" s="12" t="s">
        <v>2197</v>
      </c>
      <c r="C200" s="12" t="n">
        <v>23</v>
      </c>
      <c r="D200" s="12" t="s">
        <v>1612</v>
      </c>
      <c r="E200" s="12" t="s">
        <v>1613</v>
      </c>
      <c r="F200" s="12" t="str">
        <f aca="false">IFERROR(INDEX('Employer Master'!$L$5:$L$99,MATCH(D200,'Employer Master'!$A$5:$A$99,0)),"")</f>
        <v>BRK-09</v>
      </c>
      <c r="G200" s="12" t="s">
        <v>1808</v>
      </c>
      <c r="H200" s="12" t="n">
        <v>2</v>
      </c>
      <c r="I200" s="12" t="str">
        <f aca="false">IF(H200&gt;1,"yes","")</f>
        <v>yes</v>
      </c>
    </row>
    <row r="201" customFormat="false" ht="15" hidden="false" customHeight="true" outlineLevel="0" collapsed="false">
      <c r="A201" s="10" t="s">
        <v>2198</v>
      </c>
      <c r="B201" s="10" t="s">
        <v>2199</v>
      </c>
      <c r="C201" s="10" t="n">
        <v>40</v>
      </c>
      <c r="D201" s="10" t="s">
        <v>1612</v>
      </c>
      <c r="E201" s="10" t="s">
        <v>1613</v>
      </c>
      <c r="F201" s="10" t="str">
        <f aca="false">IFERROR(INDEX('Employer Master'!$L$5:$L$99,MATCH(D201,'Employer Master'!$A$5:$A$99,0)),"")</f>
        <v>BRK-09</v>
      </c>
      <c r="G201" s="10" t="s">
        <v>1805</v>
      </c>
      <c r="H201" s="10" t="n">
        <v>1</v>
      </c>
      <c r="I201" s="10" t="str">
        <f aca="false">IF(H201&gt;1,"yes","")</f>
        <v/>
      </c>
    </row>
    <row r="202" customFormat="false" ht="15" hidden="false" customHeight="true" outlineLevel="0" collapsed="false">
      <c r="A202" s="12" t="s">
        <v>2200</v>
      </c>
      <c r="B202" s="12" t="s">
        <v>2201</v>
      </c>
      <c r="C202" s="12" t="n">
        <v>36</v>
      </c>
      <c r="D202" s="12" t="s">
        <v>1612</v>
      </c>
      <c r="E202" s="12" t="s">
        <v>1613</v>
      </c>
      <c r="F202" s="12" t="str">
        <f aca="false">IFERROR(INDEX('Employer Master'!$L$5:$L$99,MATCH(D202,'Employer Master'!$A$5:$A$99,0)),"")</f>
        <v>BRK-09</v>
      </c>
      <c r="G202" s="12" t="s">
        <v>1544</v>
      </c>
      <c r="H202" s="12" t="n">
        <v>1</v>
      </c>
      <c r="I202" s="12" t="str">
        <f aca="false">IF(H202&gt;1,"yes","")</f>
        <v/>
      </c>
    </row>
    <row r="203" customFormat="false" ht="15" hidden="false" customHeight="true" outlineLevel="0" collapsed="false">
      <c r="A203" s="10" t="s">
        <v>2202</v>
      </c>
      <c r="B203" s="10" t="s">
        <v>2203</v>
      </c>
      <c r="C203" s="10" t="n">
        <v>60</v>
      </c>
      <c r="D203" s="10" t="s">
        <v>1614</v>
      </c>
      <c r="E203" s="10" t="s">
        <v>1615</v>
      </c>
      <c r="F203" s="10" t="str">
        <f aca="false">IFERROR(INDEX('Employer Master'!$L$5:$L$99,MATCH(D203,'Employer Master'!$A$5:$A$99,0)),"")</f>
        <v>BRK-10</v>
      </c>
      <c r="G203" s="10" t="s">
        <v>1544</v>
      </c>
      <c r="H203" s="10" t="n">
        <v>2</v>
      </c>
      <c r="I203" s="10" t="str">
        <f aca="false">IF(H203&gt;1,"yes","")</f>
        <v>yes</v>
      </c>
    </row>
    <row r="204" customFormat="false" ht="15" hidden="false" customHeight="true" outlineLevel="0" collapsed="false">
      <c r="A204" s="12" t="s">
        <v>2204</v>
      </c>
      <c r="B204" s="12" t="s">
        <v>2205</v>
      </c>
      <c r="C204" s="12" t="n">
        <v>40</v>
      </c>
      <c r="D204" s="12" t="s">
        <v>1614</v>
      </c>
      <c r="E204" s="12" t="s">
        <v>1615</v>
      </c>
      <c r="F204" s="12" t="str">
        <f aca="false">IFERROR(INDEX('Employer Master'!$L$5:$L$99,MATCH(D204,'Employer Master'!$A$5:$A$99,0)),"")</f>
        <v>BRK-10</v>
      </c>
      <c r="G204" s="12" t="s">
        <v>1544</v>
      </c>
      <c r="H204" s="12" t="n">
        <v>1</v>
      </c>
      <c r="I204" s="12" t="str">
        <f aca="false">IF(H204&gt;1,"yes","")</f>
        <v/>
      </c>
    </row>
    <row r="205" customFormat="false" ht="15" hidden="false" customHeight="true" outlineLevel="0" collapsed="false">
      <c r="A205" s="10" t="s">
        <v>2206</v>
      </c>
      <c r="B205" s="10" t="s">
        <v>2207</v>
      </c>
      <c r="C205" s="10" t="n">
        <v>62</v>
      </c>
      <c r="D205" s="10" t="s">
        <v>1614</v>
      </c>
      <c r="E205" s="10" t="s">
        <v>1615</v>
      </c>
      <c r="F205" s="10" t="str">
        <f aca="false">IFERROR(INDEX('Employer Master'!$L$5:$L$99,MATCH(D205,'Employer Master'!$A$5:$A$99,0)),"")</f>
        <v>BRK-10</v>
      </c>
      <c r="G205" s="10" t="s">
        <v>1991</v>
      </c>
      <c r="H205" s="10" t="n">
        <v>1</v>
      </c>
      <c r="I205" s="10" t="str">
        <f aca="false">IF(H205&gt;1,"yes","")</f>
        <v/>
      </c>
    </row>
    <row r="206" customFormat="false" ht="15" hidden="false" customHeight="true" outlineLevel="0" collapsed="false">
      <c r="A206" s="12" t="s">
        <v>2208</v>
      </c>
      <c r="B206" s="12" t="s">
        <v>2209</v>
      </c>
      <c r="C206" s="12" t="n">
        <v>35</v>
      </c>
      <c r="D206" s="12" t="s">
        <v>1616</v>
      </c>
      <c r="E206" s="12" t="s">
        <v>1617</v>
      </c>
      <c r="F206" s="12" t="str">
        <f aca="false">IFERROR(INDEX('Employer Master'!$L$5:$L$99,MATCH(D206,'Employer Master'!$A$5:$A$99,0)),"")</f>
        <v>BRK-11</v>
      </c>
      <c r="G206" s="12" t="s">
        <v>1544</v>
      </c>
      <c r="H206" s="12" t="n">
        <v>2</v>
      </c>
      <c r="I206" s="12" t="str">
        <f aca="false">IF(H206&gt;1,"yes","")</f>
        <v>yes</v>
      </c>
    </row>
    <row r="207" customFormat="false" ht="15" hidden="false" customHeight="true" outlineLevel="0" collapsed="false">
      <c r="A207" s="10" t="s">
        <v>2210</v>
      </c>
      <c r="B207" s="10" t="s">
        <v>2211</v>
      </c>
      <c r="C207" s="10" t="n">
        <v>46</v>
      </c>
      <c r="D207" s="10" t="s">
        <v>1616</v>
      </c>
      <c r="E207" s="10" t="s">
        <v>1617</v>
      </c>
      <c r="F207" s="10" t="str">
        <f aca="false">IFERROR(INDEX('Employer Master'!$L$5:$L$99,MATCH(D207,'Employer Master'!$A$5:$A$99,0)),"")</f>
        <v>BRK-11</v>
      </c>
      <c r="G207" s="10" t="s">
        <v>1544</v>
      </c>
      <c r="H207" s="10" t="n">
        <v>1</v>
      </c>
      <c r="I207" s="10" t="str">
        <f aca="false">IF(H207&gt;1,"yes","")</f>
        <v/>
      </c>
    </row>
    <row r="208" customFormat="false" ht="15" hidden="false" customHeight="true" outlineLevel="0" collapsed="false">
      <c r="A208" s="12" t="s">
        <v>2212</v>
      </c>
      <c r="B208" s="12" t="s">
        <v>2213</v>
      </c>
      <c r="C208" s="12" t="n">
        <v>63</v>
      </c>
      <c r="D208" s="12" t="s">
        <v>1616</v>
      </c>
      <c r="E208" s="12" t="s">
        <v>1617</v>
      </c>
      <c r="F208" s="12" t="str">
        <f aca="false">IFERROR(INDEX('Employer Master'!$L$5:$L$99,MATCH(D208,'Employer Master'!$A$5:$A$99,0)),"")</f>
        <v>BRK-11</v>
      </c>
      <c r="G208" s="12" t="s">
        <v>1544</v>
      </c>
      <c r="H208" s="12" t="n">
        <v>1</v>
      </c>
      <c r="I208" s="12" t="str">
        <f aca="false">IF(H208&gt;1,"yes","")</f>
        <v/>
      </c>
    </row>
    <row r="209" customFormat="false" ht="15" hidden="false" customHeight="true" outlineLevel="0" collapsed="false">
      <c r="A209" s="10" t="s">
        <v>2214</v>
      </c>
      <c r="B209" s="10" t="s">
        <v>2215</v>
      </c>
      <c r="C209" s="10" t="n">
        <v>62</v>
      </c>
      <c r="D209" s="10" t="s">
        <v>1619</v>
      </c>
      <c r="E209" s="10" t="s">
        <v>1620</v>
      </c>
      <c r="F209" s="10" t="str">
        <f aca="false">IFERROR(INDEX('Employer Master'!$L$5:$L$99,MATCH(D209,'Employer Master'!$A$5:$A$99,0)),"")</f>
        <v>BRK-12</v>
      </c>
      <c r="G209" s="10" t="s">
        <v>1808</v>
      </c>
      <c r="H209" s="10" t="n">
        <v>2</v>
      </c>
      <c r="I209" s="10" t="str">
        <f aca="false">IF(H209&gt;1,"yes","")</f>
        <v>yes</v>
      </c>
    </row>
    <row r="210" customFormat="false" ht="15" hidden="false" customHeight="true" outlineLevel="0" collapsed="false">
      <c r="A210" s="12" t="s">
        <v>2216</v>
      </c>
      <c r="B210" s="12" t="s">
        <v>2217</v>
      </c>
      <c r="C210" s="12" t="n">
        <v>31</v>
      </c>
      <c r="D210" s="12" t="s">
        <v>1619</v>
      </c>
      <c r="E210" s="12" t="s">
        <v>1620</v>
      </c>
      <c r="F210" s="12" t="str">
        <f aca="false">IFERROR(INDEX('Employer Master'!$L$5:$L$99,MATCH(D210,'Employer Master'!$A$5:$A$99,0)),"")</f>
        <v>BRK-12</v>
      </c>
      <c r="G210" s="12" t="s">
        <v>1808</v>
      </c>
      <c r="H210" s="12" t="n">
        <v>1</v>
      </c>
      <c r="I210" s="12" t="str">
        <f aca="false">IF(H210&gt;1,"yes","")</f>
        <v/>
      </c>
    </row>
    <row r="211" customFormat="false" ht="15" hidden="false" customHeight="true" outlineLevel="0" collapsed="false">
      <c r="A211" s="10" t="s">
        <v>2218</v>
      </c>
      <c r="B211" s="10" t="s">
        <v>2219</v>
      </c>
      <c r="C211" s="10" t="n">
        <v>45</v>
      </c>
      <c r="D211" s="10" t="s">
        <v>1619</v>
      </c>
      <c r="E211" s="10" t="s">
        <v>1620</v>
      </c>
      <c r="F211" s="10" t="str">
        <f aca="false">IFERROR(INDEX('Employer Master'!$L$5:$L$99,MATCH(D211,'Employer Master'!$A$5:$A$99,0)),"")</f>
        <v>BRK-12</v>
      </c>
      <c r="G211" s="10" t="s">
        <v>1544</v>
      </c>
      <c r="H211" s="10" t="n">
        <v>1</v>
      </c>
      <c r="I211" s="10" t="str">
        <f aca="false">IF(H211&gt;1,"yes","")</f>
        <v/>
      </c>
    </row>
    <row r="212" customFormat="false" ht="15" hidden="false" customHeight="true" outlineLevel="0" collapsed="false">
      <c r="A212" s="12" t="s">
        <v>2220</v>
      </c>
      <c r="B212" s="12" t="s">
        <v>2221</v>
      </c>
      <c r="C212" s="12" t="n">
        <v>54</v>
      </c>
      <c r="D212" s="12" t="s">
        <v>1622</v>
      </c>
      <c r="E212" s="12" t="s">
        <v>1623</v>
      </c>
      <c r="F212" s="12" t="str">
        <f aca="false">IFERROR(INDEX('Employer Master'!$L$5:$L$99,MATCH(D212,'Employer Master'!$A$5:$A$99,0)),"")</f>
        <v>BRK-13</v>
      </c>
      <c r="G212" s="12" t="s">
        <v>1544</v>
      </c>
      <c r="H212" s="12" t="n">
        <v>2</v>
      </c>
      <c r="I212" s="12" t="str">
        <f aca="false">IF(H212&gt;1,"yes","")</f>
        <v>yes</v>
      </c>
    </row>
    <row r="213" customFormat="false" ht="15" hidden="false" customHeight="true" outlineLevel="0" collapsed="false">
      <c r="A213" s="10" t="s">
        <v>2222</v>
      </c>
      <c r="B213" s="10" t="s">
        <v>2223</v>
      </c>
      <c r="C213" s="10" t="n">
        <v>30</v>
      </c>
      <c r="D213" s="10" t="s">
        <v>1622</v>
      </c>
      <c r="E213" s="10" t="s">
        <v>1623</v>
      </c>
      <c r="F213" s="10" t="str">
        <f aca="false">IFERROR(INDEX('Employer Master'!$L$5:$L$99,MATCH(D213,'Employer Master'!$A$5:$A$99,0)),"")</f>
        <v>BRK-13</v>
      </c>
      <c r="G213" s="10" t="s">
        <v>1808</v>
      </c>
      <c r="H213" s="10" t="n">
        <v>1</v>
      </c>
      <c r="I213" s="10" t="str">
        <f aca="false">IF(H213&gt;1,"yes","")</f>
        <v/>
      </c>
    </row>
    <row r="214" customFormat="false" ht="15" hidden="false" customHeight="true" outlineLevel="0" collapsed="false">
      <c r="A214" s="12" t="s">
        <v>2224</v>
      </c>
      <c r="B214" s="12" t="s">
        <v>2225</v>
      </c>
      <c r="C214" s="12" t="n">
        <v>37</v>
      </c>
      <c r="D214" s="12" t="s">
        <v>1622</v>
      </c>
      <c r="E214" s="12" t="s">
        <v>1623</v>
      </c>
      <c r="F214" s="12" t="str">
        <f aca="false">IFERROR(INDEX('Employer Master'!$L$5:$L$99,MATCH(D214,'Employer Master'!$A$5:$A$99,0)),"")</f>
        <v>BRK-13</v>
      </c>
      <c r="G214" s="12" t="s">
        <v>1808</v>
      </c>
      <c r="H214" s="12" t="n">
        <v>1</v>
      </c>
      <c r="I214" s="12" t="str">
        <f aca="false">IF(H214&gt;1,"yes","")</f>
        <v/>
      </c>
    </row>
    <row r="215" customFormat="false" ht="15" hidden="false" customHeight="true" outlineLevel="0" collapsed="false">
      <c r="A215" s="10" t="s">
        <v>2226</v>
      </c>
      <c r="B215" s="10" t="s">
        <v>2227</v>
      </c>
      <c r="C215" s="10" t="n">
        <v>49</v>
      </c>
      <c r="D215" s="10" t="s">
        <v>1625</v>
      </c>
      <c r="E215" s="10" t="s">
        <v>1626</v>
      </c>
      <c r="F215" s="10" t="str">
        <f aca="false">IFERROR(INDEX('Employer Master'!$L$5:$L$99,MATCH(D215,'Employer Master'!$A$5:$A$99,0)),"")</f>
        <v>BRK-16</v>
      </c>
      <c r="G215" s="10" t="s">
        <v>1544</v>
      </c>
      <c r="H215" s="10" t="n">
        <v>2</v>
      </c>
      <c r="I215" s="10" t="str">
        <f aca="false">IF(H215&gt;1,"yes","")</f>
        <v>yes</v>
      </c>
    </row>
    <row r="216" customFormat="false" ht="15" hidden="false" customHeight="true" outlineLevel="0" collapsed="false">
      <c r="A216" s="12" t="s">
        <v>2228</v>
      </c>
      <c r="B216" s="12" t="s">
        <v>2229</v>
      </c>
      <c r="C216" s="12" t="n">
        <v>63</v>
      </c>
      <c r="D216" s="12" t="s">
        <v>1625</v>
      </c>
      <c r="E216" s="12" t="s">
        <v>1626</v>
      </c>
      <c r="F216" s="12" t="str">
        <f aca="false">IFERROR(INDEX('Employer Master'!$L$5:$L$99,MATCH(D216,'Employer Master'!$A$5:$A$99,0)),"")</f>
        <v>BRK-16</v>
      </c>
      <c r="G216" s="12" t="s">
        <v>1805</v>
      </c>
      <c r="H216" s="12" t="n">
        <v>1</v>
      </c>
      <c r="I216" s="12" t="str">
        <f aca="false">IF(H216&gt;1,"yes","")</f>
        <v/>
      </c>
    </row>
    <row r="217" customFormat="false" ht="15" hidden="false" customHeight="true" outlineLevel="0" collapsed="false">
      <c r="A217" s="10" t="s">
        <v>2230</v>
      </c>
      <c r="B217" s="10" t="s">
        <v>2231</v>
      </c>
      <c r="C217" s="10" t="n">
        <v>44</v>
      </c>
      <c r="D217" s="10" t="s">
        <v>1625</v>
      </c>
      <c r="E217" s="10" t="s">
        <v>1626</v>
      </c>
      <c r="F217" s="10" t="str">
        <f aca="false">IFERROR(INDEX('Employer Master'!$L$5:$L$99,MATCH(D217,'Employer Master'!$A$5:$A$99,0)),"")</f>
        <v>BRK-16</v>
      </c>
      <c r="G217" s="10" t="s">
        <v>1805</v>
      </c>
      <c r="H217" s="10" t="n">
        <v>1</v>
      </c>
      <c r="I217" s="10" t="str">
        <f aca="false">IF(H217&gt;1,"yes","")</f>
        <v/>
      </c>
    </row>
    <row r="218" customFormat="false" ht="15" hidden="false" customHeight="true" outlineLevel="0" collapsed="false">
      <c r="A218" s="12" t="s">
        <v>2232</v>
      </c>
      <c r="B218" s="12" t="s">
        <v>2233</v>
      </c>
      <c r="C218" s="12" t="n">
        <v>40</v>
      </c>
      <c r="D218" s="12" t="s">
        <v>1628</v>
      </c>
      <c r="E218" s="12" t="s">
        <v>1629</v>
      </c>
      <c r="F218" s="12" t="str">
        <f aca="false">IFERROR(INDEX('Employer Master'!$L$5:$L$99,MATCH(D218,'Employer Master'!$A$5:$A$99,0)),"")</f>
        <v>BRK-17</v>
      </c>
      <c r="G218" s="12" t="s">
        <v>1544</v>
      </c>
      <c r="H218" s="12" t="n">
        <v>2</v>
      </c>
      <c r="I218" s="12" t="str">
        <f aca="false">IF(H218&gt;1,"yes","")</f>
        <v>yes</v>
      </c>
    </row>
    <row r="219" customFormat="false" ht="15" hidden="false" customHeight="true" outlineLevel="0" collapsed="false">
      <c r="A219" s="10" t="s">
        <v>2234</v>
      </c>
      <c r="B219" s="10" t="s">
        <v>2235</v>
      </c>
      <c r="C219" s="10" t="n">
        <v>23</v>
      </c>
      <c r="D219" s="10" t="s">
        <v>1628</v>
      </c>
      <c r="E219" s="10" t="s">
        <v>1629</v>
      </c>
      <c r="F219" s="10" t="str">
        <f aca="false">IFERROR(INDEX('Employer Master'!$L$5:$L$99,MATCH(D219,'Employer Master'!$A$5:$A$99,0)),"")</f>
        <v>BRK-17</v>
      </c>
      <c r="G219" s="10" t="s">
        <v>1544</v>
      </c>
      <c r="H219" s="10" t="n">
        <v>1</v>
      </c>
      <c r="I219" s="10" t="str">
        <f aca="false">IF(H219&gt;1,"yes","")</f>
        <v/>
      </c>
    </row>
    <row r="220" customFormat="false" ht="15" hidden="false" customHeight="true" outlineLevel="0" collapsed="false">
      <c r="A220" s="12" t="s">
        <v>2236</v>
      </c>
      <c r="B220" s="12" t="s">
        <v>2237</v>
      </c>
      <c r="C220" s="12" t="n">
        <v>60</v>
      </c>
      <c r="D220" s="12" t="s">
        <v>1628</v>
      </c>
      <c r="E220" s="12" t="s">
        <v>1629</v>
      </c>
      <c r="F220" s="12" t="str">
        <f aca="false">IFERROR(INDEX('Employer Master'!$L$5:$L$99,MATCH(D220,'Employer Master'!$A$5:$A$99,0)),"")</f>
        <v>BRK-17</v>
      </c>
      <c r="G220" s="12" t="s">
        <v>1544</v>
      </c>
      <c r="H220" s="12" t="n">
        <v>1</v>
      </c>
      <c r="I220" s="12" t="str">
        <f aca="false">IF(H220&gt;1,"yes","")</f>
        <v/>
      </c>
    </row>
    <row r="221" customFormat="false" ht="15" hidden="false" customHeight="true" outlineLevel="0" collapsed="false">
      <c r="A221" s="10" t="s">
        <v>2238</v>
      </c>
      <c r="B221" s="10" t="s">
        <v>2239</v>
      </c>
      <c r="C221" s="10" t="n">
        <v>40</v>
      </c>
      <c r="D221" s="10" t="s">
        <v>1631</v>
      </c>
      <c r="E221" s="10" t="s">
        <v>1632</v>
      </c>
      <c r="F221" s="10" t="str">
        <f aca="false">IFERROR(INDEX('Employer Master'!$L$5:$L$99,MATCH(D221,'Employer Master'!$A$5:$A$99,0)),"")</f>
        <v>BRK-20</v>
      </c>
      <c r="G221" s="10" t="s">
        <v>1805</v>
      </c>
      <c r="H221" s="10" t="n">
        <v>2</v>
      </c>
      <c r="I221" s="10" t="str">
        <f aca="false">IF(H221&gt;1,"yes","")</f>
        <v>yes</v>
      </c>
    </row>
    <row r="222" customFormat="false" ht="15" hidden="false" customHeight="true" outlineLevel="0" collapsed="false">
      <c r="A222" s="12" t="s">
        <v>2240</v>
      </c>
      <c r="B222" s="12" t="s">
        <v>2241</v>
      </c>
      <c r="C222" s="12" t="n">
        <v>57</v>
      </c>
      <c r="D222" s="12" t="s">
        <v>1631</v>
      </c>
      <c r="E222" s="12" t="s">
        <v>1632</v>
      </c>
      <c r="F222" s="12" t="str">
        <f aca="false">IFERROR(INDEX('Employer Master'!$L$5:$L$99,MATCH(D222,'Employer Master'!$A$5:$A$99,0)),"")</f>
        <v>BRK-20</v>
      </c>
      <c r="G222" s="12" t="s">
        <v>1544</v>
      </c>
      <c r="H222" s="12" t="n">
        <v>1</v>
      </c>
      <c r="I222" s="12" t="str">
        <f aca="false">IF(H222&gt;1,"yes","")</f>
        <v/>
      </c>
    </row>
    <row r="223" customFormat="false" ht="15" hidden="false" customHeight="true" outlineLevel="0" collapsed="false">
      <c r="A223" s="10" t="s">
        <v>2242</v>
      </c>
      <c r="B223" s="10" t="s">
        <v>2243</v>
      </c>
      <c r="C223" s="10" t="n">
        <v>36</v>
      </c>
      <c r="D223" s="10" t="s">
        <v>1634</v>
      </c>
      <c r="E223" s="10" t="s">
        <v>1635</v>
      </c>
      <c r="F223" s="10" t="str">
        <f aca="false">IFERROR(INDEX('Employer Master'!$L$5:$L$99,MATCH(D223,'Employer Master'!$A$5:$A$99,0)),"")</f>
        <v>BRK-21</v>
      </c>
      <c r="G223" s="10" t="s">
        <v>1808</v>
      </c>
      <c r="H223" s="10" t="n">
        <v>2</v>
      </c>
      <c r="I223" s="10" t="str">
        <f aca="false">IF(H223&gt;1,"yes","")</f>
        <v>yes</v>
      </c>
    </row>
    <row r="224" customFormat="false" ht="15" hidden="false" customHeight="true" outlineLevel="0" collapsed="false">
      <c r="A224" s="12" t="s">
        <v>2244</v>
      </c>
      <c r="B224" s="12" t="s">
        <v>2245</v>
      </c>
      <c r="C224" s="12" t="n">
        <v>46</v>
      </c>
      <c r="D224" s="12" t="s">
        <v>1634</v>
      </c>
      <c r="E224" s="12" t="s">
        <v>1635</v>
      </c>
      <c r="F224" s="12" t="str">
        <f aca="false">IFERROR(INDEX('Employer Master'!$L$5:$L$99,MATCH(D224,'Employer Master'!$A$5:$A$99,0)),"")</f>
        <v>BRK-21</v>
      </c>
      <c r="G224" s="12" t="s">
        <v>1544</v>
      </c>
      <c r="H224" s="12" t="n">
        <v>1</v>
      </c>
      <c r="I224" s="12" t="str">
        <f aca="false">IF(H224&gt;1,"yes","")</f>
        <v/>
      </c>
    </row>
    <row r="225" customFormat="false" ht="15" hidden="false" customHeight="true" outlineLevel="0" collapsed="false">
      <c r="A225" s="10" t="s">
        <v>2246</v>
      </c>
      <c r="B225" s="10" t="s">
        <v>2247</v>
      </c>
      <c r="C225" s="10" t="n">
        <v>24</v>
      </c>
      <c r="D225" s="10" t="s">
        <v>1637</v>
      </c>
      <c r="E225" s="10" t="s">
        <v>1638</v>
      </c>
      <c r="F225" s="10" t="str">
        <f aca="false">IFERROR(INDEX('Employer Master'!$L$5:$L$99,MATCH(D225,'Employer Master'!$A$5:$A$99,0)),"")</f>
        <v>BRK-24</v>
      </c>
      <c r="G225" s="10" t="s">
        <v>1991</v>
      </c>
      <c r="H225" s="10" t="n">
        <v>2</v>
      </c>
      <c r="I225" s="10" t="str">
        <f aca="false">IF(H225&gt;1,"yes","")</f>
        <v>yes</v>
      </c>
    </row>
    <row r="226" customFormat="false" ht="15" hidden="false" customHeight="true" outlineLevel="0" collapsed="false">
      <c r="A226" s="12" t="s">
        <v>2248</v>
      </c>
      <c r="B226" s="12" t="s">
        <v>2249</v>
      </c>
      <c r="C226" s="12" t="n">
        <v>27</v>
      </c>
      <c r="D226" s="12" t="s">
        <v>1637</v>
      </c>
      <c r="E226" s="12" t="s">
        <v>1638</v>
      </c>
      <c r="F226" s="12" t="str">
        <f aca="false">IFERROR(INDEX('Employer Master'!$L$5:$L$99,MATCH(D226,'Employer Master'!$A$5:$A$99,0)),"")</f>
        <v>BRK-24</v>
      </c>
      <c r="G226" s="12" t="s">
        <v>1991</v>
      </c>
      <c r="H226" s="12" t="n">
        <v>1</v>
      </c>
      <c r="I226" s="12" t="str">
        <f aca="false">IF(H226&gt;1,"yes","")</f>
        <v/>
      </c>
    </row>
    <row r="227" customFormat="false" ht="15" hidden="false" customHeight="true" outlineLevel="0" collapsed="false">
      <c r="A227" s="10" t="s">
        <v>2250</v>
      </c>
      <c r="B227" s="10" t="s">
        <v>2251</v>
      </c>
      <c r="C227" s="10" t="n">
        <v>55</v>
      </c>
      <c r="D227" s="10" t="s">
        <v>1640</v>
      </c>
      <c r="E227" s="10" t="s">
        <v>1641</v>
      </c>
      <c r="F227" s="10" t="str">
        <f aca="false">IFERROR(INDEX('Employer Master'!$L$5:$L$99,MATCH(D227,'Employer Master'!$A$5:$A$99,0)),"")</f>
        <v>BRK-26</v>
      </c>
      <c r="G227" s="10" t="s">
        <v>1808</v>
      </c>
      <c r="H227" s="10" t="n">
        <v>2</v>
      </c>
      <c r="I227" s="10" t="str">
        <f aca="false">IF(H227&gt;1,"yes","")</f>
        <v>yes</v>
      </c>
    </row>
    <row r="228" customFormat="false" ht="15" hidden="false" customHeight="true" outlineLevel="0" collapsed="false">
      <c r="A228" s="12" t="s">
        <v>2252</v>
      </c>
      <c r="B228" s="12" t="s">
        <v>2253</v>
      </c>
      <c r="C228" s="12" t="n">
        <v>37</v>
      </c>
      <c r="D228" s="12" t="s">
        <v>1640</v>
      </c>
      <c r="E228" s="12" t="s">
        <v>1641</v>
      </c>
      <c r="F228" s="12" t="str">
        <f aca="false">IFERROR(INDEX('Employer Master'!$L$5:$L$99,MATCH(D228,'Employer Master'!$A$5:$A$99,0)),"")</f>
        <v>BRK-26</v>
      </c>
      <c r="G228" s="12" t="s">
        <v>1544</v>
      </c>
      <c r="H228" s="12" t="n">
        <v>1</v>
      </c>
      <c r="I228" s="12" t="str">
        <f aca="false">IF(H228&gt;1,"yes","")</f>
        <v/>
      </c>
    </row>
    <row r="229" customFormat="false" ht="15" hidden="false" customHeight="true" outlineLevel="0" collapsed="false">
      <c r="A229" s="10" t="s">
        <v>2254</v>
      </c>
      <c r="B229" s="10" t="s">
        <v>2255</v>
      </c>
      <c r="C229" s="10" t="n">
        <v>37</v>
      </c>
      <c r="D229" s="10" t="s">
        <v>1642</v>
      </c>
      <c r="E229" s="10" t="s">
        <v>1643</v>
      </c>
      <c r="F229" s="10" t="str">
        <f aca="false">IFERROR(INDEX('Employer Master'!$L$5:$L$99,MATCH(D229,'Employer Master'!$A$5:$A$99,0)),"")</f>
        <v>BRK-30</v>
      </c>
      <c r="G229" s="10" t="s">
        <v>1808</v>
      </c>
      <c r="H229" s="10" t="n">
        <v>2</v>
      </c>
      <c r="I229" s="10" t="str">
        <f aca="false">IF(H229&gt;1,"yes","")</f>
        <v>yes</v>
      </c>
    </row>
    <row r="230" customFormat="false" ht="15" hidden="false" customHeight="true" outlineLevel="0" collapsed="false">
      <c r="A230" s="12" t="s">
        <v>2256</v>
      </c>
      <c r="B230" s="12" t="s">
        <v>2257</v>
      </c>
      <c r="C230" s="12" t="n">
        <v>30</v>
      </c>
      <c r="D230" s="12" t="s">
        <v>1642</v>
      </c>
      <c r="E230" s="12" t="s">
        <v>1643</v>
      </c>
      <c r="F230" s="12" t="str">
        <f aca="false">IFERROR(INDEX('Employer Master'!$L$5:$L$99,MATCH(D230,'Employer Master'!$A$5:$A$99,0)),"")</f>
        <v>BRK-30</v>
      </c>
      <c r="G230" s="12" t="s">
        <v>1805</v>
      </c>
      <c r="H230" s="12" t="n">
        <v>1</v>
      </c>
      <c r="I230" s="12" t="str">
        <f aca="false">IF(H230&gt;1,"yes","")</f>
        <v/>
      </c>
    </row>
    <row r="231" customFormat="false" ht="15" hidden="false" customHeight="true" outlineLevel="0" collapsed="false">
      <c r="A231" s="10" t="s">
        <v>2258</v>
      </c>
      <c r="B231" s="10" t="s">
        <v>2259</v>
      </c>
      <c r="C231" s="10" t="n">
        <v>64</v>
      </c>
      <c r="D231" s="10" t="s">
        <v>1644</v>
      </c>
      <c r="E231" s="10" t="s">
        <v>1645</v>
      </c>
      <c r="F231" s="10" t="str">
        <f aca="false">IFERROR(INDEX('Employer Master'!$L$5:$L$99,MATCH(D231,'Employer Master'!$A$5:$A$99,0)),"")</f>
        <v>BRK-04</v>
      </c>
      <c r="G231" s="10" t="s">
        <v>1805</v>
      </c>
      <c r="H231" s="10" t="n">
        <v>2</v>
      </c>
      <c r="I231" s="10" t="str">
        <f aca="false">IF(H231&gt;1,"yes","")</f>
        <v>yes</v>
      </c>
    </row>
    <row r="232" customFormat="false" ht="15" hidden="false" customHeight="true" outlineLevel="0" collapsed="false">
      <c r="A232" s="12" t="s">
        <v>2260</v>
      </c>
      <c r="B232" s="12" t="s">
        <v>2261</v>
      </c>
      <c r="C232" s="12" t="n">
        <v>54</v>
      </c>
      <c r="D232" s="12" t="s">
        <v>1644</v>
      </c>
      <c r="E232" s="12" t="s">
        <v>1645</v>
      </c>
      <c r="F232" s="12" t="str">
        <f aca="false">IFERROR(INDEX('Employer Master'!$L$5:$L$99,MATCH(D232,'Employer Master'!$A$5:$A$99,0)),"")</f>
        <v>BRK-04</v>
      </c>
      <c r="G232" s="12" t="s">
        <v>1544</v>
      </c>
      <c r="H232" s="12" t="n">
        <v>1</v>
      </c>
      <c r="I232" s="12" t="str">
        <f aca="false">IF(H232&gt;1,"yes","")</f>
        <v/>
      </c>
    </row>
    <row r="233" customFormat="false" ht="15" hidden="false" customHeight="true" outlineLevel="0" collapsed="false">
      <c r="A233" s="10" t="s">
        <v>2262</v>
      </c>
      <c r="B233" s="10" t="s">
        <v>2263</v>
      </c>
      <c r="C233" s="10" t="n">
        <v>29</v>
      </c>
      <c r="D233" s="10" t="s">
        <v>1646</v>
      </c>
      <c r="E233" s="10" t="s">
        <v>1647</v>
      </c>
      <c r="F233" s="10" t="str">
        <f aca="false">IFERROR(INDEX('Employer Master'!$L$5:$L$99,MATCH(D233,'Employer Master'!$A$5:$A$99,0)),"")</f>
        <v>BRK-05</v>
      </c>
      <c r="G233" s="10" t="s">
        <v>1808</v>
      </c>
      <c r="H233" s="10" t="n">
        <v>2</v>
      </c>
      <c r="I233" s="10" t="str">
        <f aca="false">IF(H233&gt;1,"yes","")</f>
        <v>yes</v>
      </c>
    </row>
    <row r="234" customFormat="false" ht="15" hidden="false" customHeight="true" outlineLevel="0" collapsed="false">
      <c r="A234" s="12" t="s">
        <v>2264</v>
      </c>
      <c r="B234" s="12" t="s">
        <v>2265</v>
      </c>
      <c r="C234" s="12" t="n">
        <v>33</v>
      </c>
      <c r="D234" s="12" t="s">
        <v>1646</v>
      </c>
      <c r="E234" s="12" t="s">
        <v>1647</v>
      </c>
      <c r="F234" s="12" t="str">
        <f aca="false">IFERROR(INDEX('Employer Master'!$L$5:$L$99,MATCH(D234,'Employer Master'!$A$5:$A$99,0)),"")</f>
        <v>BRK-05</v>
      </c>
      <c r="G234" s="12" t="s">
        <v>1544</v>
      </c>
      <c r="H234" s="12" t="n">
        <v>1</v>
      </c>
      <c r="I234" s="12" t="str">
        <f aca="false">IF(H234&gt;1,"yes","")</f>
        <v/>
      </c>
    </row>
    <row r="235" customFormat="false" ht="15" hidden="false" customHeight="true" outlineLevel="0" collapsed="false">
      <c r="A235" s="10" t="s">
        <v>2266</v>
      </c>
      <c r="B235" s="10" t="s">
        <v>2267</v>
      </c>
      <c r="C235" s="10" t="n">
        <v>39</v>
      </c>
      <c r="D235" s="10" t="s">
        <v>1648</v>
      </c>
      <c r="E235" s="10" t="s">
        <v>1649</v>
      </c>
      <c r="F235" s="10" t="str">
        <f aca="false">IFERROR(INDEX('Employer Master'!$L$5:$L$99,MATCH(D235,'Employer Master'!$A$5:$A$99,0)),"")</f>
        <v>BRK-14</v>
      </c>
      <c r="G235" s="10" t="s">
        <v>1805</v>
      </c>
      <c r="H235" s="10" t="n">
        <v>2</v>
      </c>
      <c r="I235" s="10" t="str">
        <f aca="false">IF(H235&gt;1,"yes","")</f>
        <v>yes</v>
      </c>
    </row>
    <row r="236" customFormat="false" ht="15" hidden="false" customHeight="true" outlineLevel="0" collapsed="false">
      <c r="A236" s="12" t="s">
        <v>2268</v>
      </c>
      <c r="B236" s="12" t="s">
        <v>2269</v>
      </c>
      <c r="C236" s="12" t="n">
        <v>50</v>
      </c>
      <c r="D236" s="12" t="s">
        <v>1651</v>
      </c>
      <c r="E236" s="12" t="s">
        <v>1652</v>
      </c>
      <c r="F236" s="12" t="str">
        <f aca="false">IFERROR(INDEX('Employer Master'!$L$5:$L$99,MATCH(D236,'Employer Master'!$A$5:$A$99,0)),"")</f>
        <v>BRK-15</v>
      </c>
      <c r="G236" s="12" t="s">
        <v>1544</v>
      </c>
      <c r="H236" s="12" t="n">
        <v>2</v>
      </c>
      <c r="I236" s="12" t="str">
        <f aca="false">IF(H236&gt;1,"yes","")</f>
        <v>yes</v>
      </c>
    </row>
    <row r="237" customFormat="false" ht="15" hidden="false" customHeight="true" outlineLevel="0" collapsed="false">
      <c r="A237" s="10" t="s">
        <v>2270</v>
      </c>
      <c r="B237" s="10" t="s">
        <v>2271</v>
      </c>
      <c r="C237" s="10" t="n">
        <v>46</v>
      </c>
      <c r="D237" s="10" t="s">
        <v>1654</v>
      </c>
      <c r="E237" s="10" t="s">
        <v>1655</v>
      </c>
      <c r="F237" s="10" t="str">
        <f aca="false">IFERROR(INDEX('Employer Master'!$L$5:$L$99,MATCH(D237,'Employer Master'!$A$5:$A$99,0)),"")</f>
        <v>BRK-18</v>
      </c>
      <c r="G237" s="10" t="s">
        <v>1544</v>
      </c>
      <c r="H237" s="10" t="n">
        <v>2</v>
      </c>
      <c r="I237" s="10" t="str">
        <f aca="false">IF(H237&gt;1,"yes","")</f>
        <v>yes</v>
      </c>
    </row>
    <row r="238" customFormat="false" ht="15" hidden="false" customHeight="true" outlineLevel="0" collapsed="false">
      <c r="A238" s="12" t="s">
        <v>2272</v>
      </c>
      <c r="B238" s="12" t="s">
        <v>2273</v>
      </c>
      <c r="C238" s="12" t="n">
        <v>45</v>
      </c>
      <c r="D238" s="12" t="s">
        <v>1657</v>
      </c>
      <c r="E238" s="12" t="s">
        <v>1658</v>
      </c>
      <c r="F238" s="12" t="str">
        <f aca="false">IFERROR(INDEX('Employer Master'!$L$5:$L$99,MATCH(D238,'Employer Master'!$A$5:$A$99,0)),"")</f>
        <v>BRK-19</v>
      </c>
      <c r="G238" s="12" t="s">
        <v>1544</v>
      </c>
      <c r="H238" s="12" t="n">
        <v>2</v>
      </c>
      <c r="I238" s="12" t="str">
        <f aca="false">IF(H238&gt;1,"yes","")</f>
        <v>yes</v>
      </c>
    </row>
    <row r="239" customFormat="false" ht="15" hidden="false" customHeight="true" outlineLevel="0" collapsed="false">
      <c r="A239" s="10" t="s">
        <v>2274</v>
      </c>
      <c r="B239" s="10" t="s">
        <v>2275</v>
      </c>
      <c r="C239" s="10" t="n">
        <v>57</v>
      </c>
      <c r="D239" s="10" t="s">
        <v>1660</v>
      </c>
      <c r="E239" s="10" t="s">
        <v>1661</v>
      </c>
      <c r="F239" s="10" t="str">
        <f aca="false">IFERROR(INDEX('Employer Master'!$L$5:$L$99,MATCH(D239,'Employer Master'!$A$5:$A$99,0)),"")</f>
        <v>BRK-25</v>
      </c>
      <c r="G239" s="10" t="s">
        <v>1805</v>
      </c>
      <c r="H239" s="10" t="n">
        <v>2</v>
      </c>
      <c r="I239" s="10" t="str">
        <f aca="false">IF(H239&gt;1,"yes","")</f>
        <v>yes</v>
      </c>
    </row>
    <row r="240" customFormat="false" ht="15" hidden="false" customHeight="true" outlineLevel="0" collapsed="false">
      <c r="A240" s="12" t="s">
        <v>2276</v>
      </c>
      <c r="B240" s="12" t="s">
        <v>2277</v>
      </c>
      <c r="C240" s="12" t="n">
        <v>55</v>
      </c>
      <c r="D240" s="12" t="s">
        <v>1663</v>
      </c>
      <c r="E240" s="12" t="s">
        <v>1664</v>
      </c>
      <c r="F240" s="12" t="str">
        <f aca="false">IFERROR(INDEX('Employer Master'!$L$5:$L$99,MATCH(D240,'Employer Master'!$A$5:$A$99,0)),"")</f>
        <v>BRK-06</v>
      </c>
      <c r="G240" s="12" t="s">
        <v>1805</v>
      </c>
      <c r="H240" s="12" t="n">
        <v>2</v>
      </c>
      <c r="I240" s="12" t="str">
        <f aca="false">IF(H240&gt;1,"yes","")</f>
        <v>yes</v>
      </c>
    </row>
    <row r="241" customFormat="false" ht="15" hidden="false" customHeight="true" outlineLevel="0" collapsed="false">
      <c r="A241" s="10" t="s">
        <v>2278</v>
      </c>
      <c r="B241" s="10" t="s">
        <v>2279</v>
      </c>
      <c r="C241" s="10" t="n">
        <v>59</v>
      </c>
      <c r="D241" s="10" t="s">
        <v>1665</v>
      </c>
      <c r="E241" s="10" t="s">
        <v>1666</v>
      </c>
      <c r="F241" s="10" t="str">
        <f aca="false">IFERROR(INDEX('Employer Master'!$L$5:$L$99,MATCH(D241,'Employer Master'!$A$5:$A$99,0)),"")</f>
        <v>BRK-07</v>
      </c>
      <c r="G241" s="10" t="s">
        <v>1544</v>
      </c>
      <c r="H241" s="10" t="n">
        <v>2</v>
      </c>
      <c r="I241" s="10" t="str">
        <f aca="false">IF(H241&gt;1,"yes","")</f>
        <v>yes</v>
      </c>
    </row>
    <row r="242" customFormat="false" ht="15" hidden="false" customHeight="true" outlineLevel="0" collapsed="false">
      <c r="A242" s="12" t="s">
        <v>2280</v>
      </c>
      <c r="B242" s="12" t="s">
        <v>2281</v>
      </c>
      <c r="C242" s="12" t="n">
        <v>55</v>
      </c>
      <c r="D242" s="12" t="s">
        <v>1667</v>
      </c>
      <c r="E242" s="12" t="s">
        <v>1668</v>
      </c>
      <c r="F242" s="12" t="str">
        <f aca="false">IFERROR(INDEX('Employer Master'!$L$5:$L$99,MATCH(D242,'Employer Master'!$A$5:$A$99,0)),"")</f>
        <v>BRK-08</v>
      </c>
      <c r="G242" s="12" t="s">
        <v>1544</v>
      </c>
      <c r="H242" s="12" t="n">
        <v>2</v>
      </c>
      <c r="I242" s="12" t="str">
        <f aca="false">IF(H242&gt;1,"yes","")</f>
        <v>yes</v>
      </c>
    </row>
    <row r="243" customFormat="false" ht="15" hidden="false" customHeight="true" outlineLevel="0" collapsed="false">
      <c r="A243" s="10" t="s">
        <v>2282</v>
      </c>
      <c r="B243" s="10" t="s">
        <v>2283</v>
      </c>
      <c r="C243" s="10" t="n">
        <v>45</v>
      </c>
      <c r="D243" s="10" t="s">
        <v>1669</v>
      </c>
      <c r="E243" s="10" t="s">
        <v>1670</v>
      </c>
      <c r="F243" s="10" t="str">
        <f aca="false">IFERROR(INDEX('Employer Master'!$L$5:$L$99,MATCH(D243,'Employer Master'!$A$5:$A$99,0)),"")</f>
        <v>BRK-09</v>
      </c>
      <c r="G243" s="10" t="s">
        <v>1991</v>
      </c>
      <c r="H243" s="10" t="n">
        <v>2</v>
      </c>
      <c r="I243" s="10" t="str">
        <f aca="false">IF(H243&gt;1,"yes","")</f>
        <v>yes</v>
      </c>
    </row>
    <row r="244" customFormat="false" ht="15" hidden="false" customHeight="true" outlineLevel="0" collapsed="false">
      <c r="A244" s="12" t="s">
        <v>2284</v>
      </c>
      <c r="B244" s="12" t="s">
        <v>2285</v>
      </c>
      <c r="C244" s="12" t="n">
        <v>60</v>
      </c>
      <c r="D244" s="12" t="s">
        <v>1671</v>
      </c>
      <c r="E244" s="12" t="s">
        <v>1672</v>
      </c>
      <c r="F244" s="12" t="str">
        <f aca="false">IFERROR(INDEX('Employer Master'!$L$5:$L$99,MATCH(D244,'Employer Master'!$A$5:$A$99,0)),"")</f>
        <v>BRK-10</v>
      </c>
      <c r="G244" s="12" t="s">
        <v>1544</v>
      </c>
      <c r="H244" s="12" t="n">
        <v>2</v>
      </c>
      <c r="I244" s="12" t="str">
        <f aca="false">IF(H244&gt;1,"yes","")</f>
        <v>yes</v>
      </c>
    </row>
    <row r="245" customFormat="false" ht="15" hidden="false" customHeight="true" outlineLevel="0" collapsed="false">
      <c r="A245" s="10" t="s">
        <v>2286</v>
      </c>
      <c r="B245" s="10" t="s">
        <v>2287</v>
      </c>
      <c r="C245" s="10" t="n">
        <v>36</v>
      </c>
      <c r="D245" s="10" t="s">
        <v>1673</v>
      </c>
      <c r="E245" s="10" t="s">
        <v>1674</v>
      </c>
      <c r="F245" s="10" t="str">
        <f aca="false">IFERROR(INDEX('Employer Master'!$L$5:$L$99,MATCH(D245,'Employer Master'!$A$5:$A$99,0)),"")</f>
        <v>BRK-16</v>
      </c>
      <c r="G245" s="10" t="s">
        <v>1544</v>
      </c>
      <c r="H245" s="10" t="n">
        <v>2</v>
      </c>
      <c r="I245" s="10" t="str">
        <f aca="false">IF(H245&gt;1,"yes","")</f>
        <v>yes</v>
      </c>
    </row>
    <row r="246" customFormat="false" ht="15" hidden="false" customHeight="true" outlineLevel="0" collapsed="false">
      <c r="A246" s="12" t="s">
        <v>2288</v>
      </c>
      <c r="B246" s="12" t="s">
        <v>2289</v>
      </c>
      <c r="C246" s="12" t="n">
        <v>58</v>
      </c>
      <c r="D246" s="12" t="s">
        <v>1675</v>
      </c>
      <c r="E246" s="12" t="s">
        <v>1676</v>
      </c>
      <c r="F246" s="12" t="str">
        <f aca="false">IFERROR(INDEX('Employer Master'!$L$5:$L$99,MATCH(D246,'Employer Master'!$A$5:$A$99,0)),"")</f>
        <v>BRK-17</v>
      </c>
      <c r="G246" s="12" t="s">
        <v>1808</v>
      </c>
      <c r="H246" s="12" t="n">
        <v>2</v>
      </c>
      <c r="I246" s="12" t="str">
        <f aca="false">IF(H246&gt;1,"yes","")</f>
        <v>yes</v>
      </c>
    </row>
    <row r="247" customFormat="false" ht="15" hidden="false" customHeight="true" outlineLevel="0" collapsed="false">
      <c r="A247" s="10" t="s">
        <v>2290</v>
      </c>
      <c r="B247" s="10" t="s">
        <v>2291</v>
      </c>
      <c r="C247" s="10" t="n">
        <v>29</v>
      </c>
      <c r="D247" s="10" t="s">
        <v>1677</v>
      </c>
      <c r="E247" s="10" t="s">
        <v>1678</v>
      </c>
      <c r="F247" s="10" t="str">
        <f aca="false">IFERROR(INDEX('Employer Master'!$L$5:$L$99,MATCH(D247,'Employer Master'!$A$5:$A$99,0)),"")</f>
        <v>BRK-20</v>
      </c>
      <c r="G247" s="10" t="s">
        <v>1544</v>
      </c>
      <c r="H247" s="10" t="n">
        <v>2</v>
      </c>
      <c r="I247" s="10" t="str">
        <f aca="false">IF(H247&gt;1,"yes","")</f>
        <v>yes</v>
      </c>
    </row>
    <row r="248" customFormat="false" ht="15" hidden="false" customHeight="true" outlineLevel="0" collapsed="false">
      <c r="A248" s="12" t="s">
        <v>2292</v>
      </c>
      <c r="B248" s="12" t="s">
        <v>2293</v>
      </c>
      <c r="C248" s="12" t="n">
        <v>59</v>
      </c>
      <c r="D248" s="12" t="s">
        <v>1679</v>
      </c>
      <c r="E248" s="12" t="s">
        <v>1680</v>
      </c>
      <c r="F248" s="12" t="str">
        <f aca="false">IFERROR(INDEX('Employer Master'!$L$5:$L$99,MATCH(D248,'Employer Master'!$A$5:$A$99,0)),"")</f>
        <v>BRK-21</v>
      </c>
      <c r="G248" s="12" t="s">
        <v>1544</v>
      </c>
      <c r="H248" s="12" t="n">
        <v>2</v>
      </c>
      <c r="I248" s="12" t="str">
        <f aca="false">IF(H248&gt;1,"yes","")</f>
        <v>yes</v>
      </c>
    </row>
    <row r="249" customFormat="false" ht="15" hidden="false" customHeight="true" outlineLevel="0" collapsed="false">
      <c r="A249" s="10" t="s">
        <v>2294</v>
      </c>
      <c r="B249" s="10" t="s">
        <v>2295</v>
      </c>
      <c r="C249" s="10" t="n">
        <v>62</v>
      </c>
      <c r="D249" s="10" t="s">
        <v>1681</v>
      </c>
      <c r="E249" s="10" t="s">
        <v>1682</v>
      </c>
      <c r="F249" s="10" t="str">
        <f aca="false">IFERROR(INDEX('Employer Master'!$L$5:$L$99,MATCH(D249,'Employer Master'!$A$5:$A$99,0)),"")</f>
        <v>BRK-24</v>
      </c>
      <c r="G249" s="10" t="s">
        <v>1808</v>
      </c>
      <c r="H249" s="10" t="n">
        <v>2</v>
      </c>
      <c r="I249" s="10" t="str">
        <f aca="false">IF(H249&gt;1,"yes","")</f>
        <v>yes</v>
      </c>
    </row>
    <row r="250" customFormat="false" ht="15" hidden="false" customHeight="true" outlineLevel="0" collapsed="false">
      <c r="A250" s="12" t="s">
        <v>2296</v>
      </c>
      <c r="B250" s="12" t="s">
        <v>2297</v>
      </c>
      <c r="C250" s="12" t="n">
        <v>23</v>
      </c>
      <c r="D250" s="12" t="s">
        <v>1683</v>
      </c>
      <c r="E250" s="12" t="s">
        <v>1684</v>
      </c>
      <c r="F250" s="12" t="str">
        <f aca="false">IFERROR(INDEX('Employer Master'!$L$5:$L$99,MATCH(D250,'Employer Master'!$A$5:$A$99,0)),"")</f>
        <v>BRK-26</v>
      </c>
      <c r="G250" s="12" t="s">
        <v>1544</v>
      </c>
      <c r="H250" s="12" t="n">
        <v>1</v>
      </c>
      <c r="I250" s="12" t="str">
        <f aca="false">IF(H250&gt;1,"yes","")</f>
        <v/>
      </c>
    </row>
    <row r="251" customFormat="false" ht="15" hidden="false" customHeight="true" outlineLevel="0" collapsed="false">
      <c r="A251" s="10" t="s">
        <v>2298</v>
      </c>
      <c r="B251" s="10" t="s">
        <v>2299</v>
      </c>
      <c r="C251" s="10" t="n">
        <v>47</v>
      </c>
      <c r="D251" s="10" t="s">
        <v>1685</v>
      </c>
      <c r="E251" s="10" t="s">
        <v>1686</v>
      </c>
      <c r="F251" s="10" t="str">
        <f aca="false">IFERROR(INDEX('Employer Master'!$L$5:$L$99,MATCH(D251,'Employer Master'!$A$5:$A$99,0)),"")</f>
        <v>BRK-30</v>
      </c>
      <c r="G251" s="10" t="s">
        <v>1544</v>
      </c>
      <c r="H251" s="10" t="n">
        <v>1</v>
      </c>
      <c r="I251" s="10" t="str">
        <f aca="false">IF(H251&gt;1,"yes","")</f>
        <v/>
      </c>
    </row>
    <row r="252" customFormat="false" ht="15" hidden="false" customHeight="true" outlineLevel="0" collapsed="false">
      <c r="A252" s="12" t="s">
        <v>2300</v>
      </c>
      <c r="B252" s="12" t="s">
        <v>2301</v>
      </c>
      <c r="C252" s="12" t="n">
        <v>48</v>
      </c>
      <c r="D252" s="12" t="s">
        <v>1687</v>
      </c>
      <c r="E252" s="12" t="s">
        <v>1688</v>
      </c>
      <c r="F252" s="12" t="str">
        <f aca="false">IFERROR(INDEX('Employer Master'!$L$5:$L$99,MATCH(D252,'Employer Master'!$A$5:$A$99,0)),"")</f>
        <v>BRK-11</v>
      </c>
      <c r="G252" s="12" t="s">
        <v>1544</v>
      </c>
      <c r="H252" s="12" t="n">
        <v>1</v>
      </c>
      <c r="I252" s="12" t="str">
        <f aca="false">IF(H252&gt;1,"yes","")</f>
        <v/>
      </c>
    </row>
    <row r="253" customFormat="false" ht="15" hidden="false" customHeight="true" outlineLevel="0" collapsed="false">
      <c r="A253" s="10" t="s">
        <v>2302</v>
      </c>
      <c r="B253" s="10" t="s">
        <v>2303</v>
      </c>
      <c r="C253" s="10" t="n">
        <v>57</v>
      </c>
      <c r="D253" s="10" t="s">
        <v>1689</v>
      </c>
      <c r="E253" s="10" t="s">
        <v>1690</v>
      </c>
      <c r="F253" s="10" t="str">
        <f aca="false">IFERROR(INDEX('Employer Master'!$L$5:$L$99,MATCH(D253,'Employer Master'!$A$5:$A$99,0)),"")</f>
        <v>BRK-12</v>
      </c>
      <c r="G253" s="10" t="s">
        <v>1544</v>
      </c>
      <c r="H253" s="10" t="n">
        <v>1</v>
      </c>
      <c r="I253" s="10" t="str">
        <f aca="false">IF(H253&gt;1,"yes","")</f>
        <v/>
      </c>
    </row>
    <row r="254" customFormat="false" ht="15" hidden="false" customHeight="true" outlineLevel="0" collapsed="false">
      <c r="A254" s="12" t="s">
        <v>2304</v>
      </c>
      <c r="B254" s="12" t="s">
        <v>2305</v>
      </c>
      <c r="C254" s="12" t="n">
        <v>49</v>
      </c>
      <c r="D254" s="12" t="s">
        <v>1691</v>
      </c>
      <c r="E254" s="12" t="s">
        <v>1692</v>
      </c>
      <c r="F254" s="12" t="str">
        <f aca="false">IFERROR(INDEX('Employer Master'!$L$5:$L$99,MATCH(D254,'Employer Master'!$A$5:$A$99,0)),"")</f>
        <v>BRK-13</v>
      </c>
      <c r="G254" s="12" t="s">
        <v>1805</v>
      </c>
      <c r="H254" s="12" t="n">
        <v>1</v>
      </c>
      <c r="I254" s="12" t="str">
        <f aca="false">IF(H254&gt;1,"yes","")</f>
        <v/>
      </c>
    </row>
    <row r="255" customFormat="false" ht="15" hidden="false" customHeight="true" outlineLevel="0" collapsed="false">
      <c r="A255" s="10" t="s">
        <v>2306</v>
      </c>
      <c r="B255" s="10" t="s">
        <v>2307</v>
      </c>
      <c r="C255" s="10" t="n">
        <v>39</v>
      </c>
      <c r="D255" s="10" t="s">
        <v>1693</v>
      </c>
      <c r="E255" s="10" t="s">
        <v>1694</v>
      </c>
      <c r="F255" s="10" t="str">
        <f aca="false">IFERROR(INDEX('Employer Master'!$L$5:$L$99,MATCH(D255,'Employer Master'!$A$5:$A$99,0)),"")</f>
        <v>BRK-27</v>
      </c>
      <c r="G255" s="10" t="s">
        <v>1544</v>
      </c>
      <c r="H255" s="10" t="n">
        <v>1</v>
      </c>
      <c r="I255" s="10" t="str">
        <f aca="false">IF(H255&gt;1,"yes","")</f>
        <v/>
      </c>
    </row>
    <row r="256" customFormat="false" ht="15" hidden="false" customHeight="true" outlineLevel="0" collapsed="false">
      <c r="A256" s="12" t="s">
        <v>2308</v>
      </c>
      <c r="B256" s="12" t="s">
        <v>2309</v>
      </c>
      <c r="C256" s="12" t="n">
        <v>44</v>
      </c>
      <c r="D256" s="12" t="s">
        <v>1696</v>
      </c>
      <c r="E256" s="12" t="s">
        <v>1697</v>
      </c>
      <c r="F256" s="12" t="str">
        <f aca="false">IFERROR(INDEX('Employer Master'!$L$5:$L$99,MATCH(D256,'Employer Master'!$A$5:$A$99,0)),"")</f>
        <v>BRK-28</v>
      </c>
      <c r="G256" s="12" t="s">
        <v>1544</v>
      </c>
      <c r="H256" s="12" t="n">
        <v>1</v>
      </c>
      <c r="I256" s="12" t="str">
        <f aca="false">IF(H256&gt;1,"yes","")</f>
        <v/>
      </c>
    </row>
    <row r="257" customFormat="false" ht="15" hidden="false" customHeight="true" outlineLevel="0" collapsed="false">
      <c r="A257" s="10" t="s">
        <v>2310</v>
      </c>
      <c r="B257" s="10" t="s">
        <v>2311</v>
      </c>
      <c r="C257" s="10" t="n">
        <v>59</v>
      </c>
      <c r="D257" s="10" t="s">
        <v>1699</v>
      </c>
      <c r="E257" s="10" t="s">
        <v>1700</v>
      </c>
      <c r="F257" s="10" t="str">
        <f aca="false">IFERROR(INDEX('Employer Master'!$L$5:$L$99,MATCH(D257,'Employer Master'!$A$5:$A$99,0)),"")</f>
        <v>BRK-29</v>
      </c>
      <c r="G257" s="10" t="s">
        <v>1544</v>
      </c>
      <c r="H257" s="10" t="n">
        <v>1</v>
      </c>
      <c r="I257" s="10" t="str">
        <f aca="false">IF(H257&gt;1,"yes","")</f>
        <v/>
      </c>
    </row>
    <row r="258" customFormat="false" ht="15" hidden="false" customHeight="true" outlineLevel="0" collapsed="false">
      <c r="A258" s="12" t="s">
        <v>2312</v>
      </c>
      <c r="B258" s="12" t="s">
        <v>2313</v>
      </c>
      <c r="C258" s="12" t="n">
        <v>63</v>
      </c>
      <c r="D258" s="12" t="s">
        <v>1702</v>
      </c>
      <c r="E258" s="12" t="s">
        <v>1703</v>
      </c>
      <c r="F258" s="12" t="str">
        <f aca="false">IFERROR(INDEX('Employer Master'!$L$5:$L$99,MATCH(D258,'Employer Master'!$A$5:$A$99,0)),"")</f>
        <v>BRK-04</v>
      </c>
      <c r="G258" s="12" t="s">
        <v>1991</v>
      </c>
      <c r="H258" s="12" t="n">
        <v>1</v>
      </c>
      <c r="I258" s="12" t="str">
        <f aca="false">IF(H258&gt;1,"yes","")</f>
        <v/>
      </c>
    </row>
    <row r="259" customFormat="false" ht="15" hidden="false" customHeight="true" outlineLevel="0" collapsed="false">
      <c r="A259" s="10" t="s">
        <v>2314</v>
      </c>
      <c r="B259" s="10" t="s">
        <v>2315</v>
      </c>
      <c r="C259" s="10" t="n">
        <v>61</v>
      </c>
      <c r="D259" s="10" t="s">
        <v>1704</v>
      </c>
      <c r="E259" s="10" t="s">
        <v>1705</v>
      </c>
      <c r="F259" s="10" t="str">
        <f aca="false">IFERROR(INDEX('Employer Master'!$L$5:$L$99,MATCH(D259,'Employer Master'!$A$5:$A$99,0)),"")</f>
        <v>BRK-05</v>
      </c>
      <c r="G259" s="10" t="s">
        <v>1805</v>
      </c>
      <c r="H259" s="10" t="n">
        <v>1</v>
      </c>
      <c r="I259" s="10" t="str">
        <f aca="false">IF(H259&gt;1,"yes","")</f>
        <v/>
      </c>
    </row>
    <row r="260" customFormat="false" ht="15" hidden="false" customHeight="true" outlineLevel="0" collapsed="false">
      <c r="A260" s="12" t="s">
        <v>2316</v>
      </c>
      <c r="B260" s="12" t="s">
        <v>2317</v>
      </c>
      <c r="C260" s="12" t="n">
        <v>28</v>
      </c>
      <c r="D260" s="12" t="s">
        <v>1706</v>
      </c>
      <c r="E260" s="12" t="s">
        <v>1707</v>
      </c>
      <c r="F260" s="12" t="str">
        <f aca="false">IFERROR(INDEX('Employer Master'!$L$5:$L$99,MATCH(D260,'Employer Master'!$A$5:$A$99,0)),"")</f>
        <v>BRK-14</v>
      </c>
      <c r="G260" s="12" t="s">
        <v>1544</v>
      </c>
      <c r="H260" s="12" t="n">
        <v>1</v>
      </c>
      <c r="I260" s="12" t="str">
        <f aca="false">IF(H260&gt;1,"yes","")</f>
        <v/>
      </c>
    </row>
    <row r="261" customFormat="false" ht="15" hidden="false" customHeight="true" outlineLevel="0" collapsed="false">
      <c r="A261" s="10" t="s">
        <v>2318</v>
      </c>
      <c r="B261" s="10" t="s">
        <v>2319</v>
      </c>
      <c r="C261" s="10" t="n">
        <v>45</v>
      </c>
      <c r="D261" s="10" t="s">
        <v>1708</v>
      </c>
      <c r="E261" s="10" t="s">
        <v>1709</v>
      </c>
      <c r="F261" s="10" t="str">
        <f aca="false">IFERROR(INDEX('Employer Master'!$L$5:$L$99,MATCH(D261,'Employer Master'!$A$5:$A$99,0)),"")</f>
        <v>BRK-15</v>
      </c>
      <c r="G261" s="10" t="s">
        <v>1544</v>
      </c>
      <c r="H261" s="10" t="n">
        <v>1</v>
      </c>
      <c r="I261" s="10" t="str">
        <f aca="false">IF(H261&gt;1,"yes","")</f>
        <v/>
      </c>
    </row>
    <row r="262" customFormat="false" ht="15" hidden="false" customHeight="true" outlineLevel="0" collapsed="false">
      <c r="A262" s="12" t="s">
        <v>2320</v>
      </c>
      <c r="B262" s="12" t="s">
        <v>2321</v>
      </c>
      <c r="C262" s="12" t="n">
        <v>51</v>
      </c>
      <c r="D262" s="12" t="s">
        <v>1710</v>
      </c>
      <c r="E262" s="12" t="s">
        <v>1711</v>
      </c>
      <c r="F262" s="12" t="str">
        <f aca="false">IFERROR(INDEX('Employer Master'!$L$5:$L$99,MATCH(D262,'Employer Master'!$A$5:$A$99,0)),"")</f>
        <v>BRK-18</v>
      </c>
      <c r="G262" s="12" t="s">
        <v>1805</v>
      </c>
      <c r="H262" s="12" t="n">
        <v>1</v>
      </c>
      <c r="I262" s="12" t="str">
        <f aca="false">IF(H262&gt;1,"yes","")</f>
        <v/>
      </c>
    </row>
    <row r="263" customFormat="false" ht="15" hidden="false" customHeight="true" outlineLevel="0" collapsed="false">
      <c r="A263" s="10" t="s">
        <v>2322</v>
      </c>
      <c r="B263" s="10" t="s">
        <v>2323</v>
      </c>
      <c r="C263" s="10" t="n">
        <v>56</v>
      </c>
      <c r="D263" s="10" t="s">
        <v>1712</v>
      </c>
      <c r="E263" s="10" t="s">
        <v>1713</v>
      </c>
      <c r="F263" s="10" t="str">
        <f aca="false">IFERROR(INDEX('Employer Master'!$L$5:$L$99,MATCH(D263,'Employer Master'!$A$5:$A$99,0)),"")</f>
        <v>BRK-19</v>
      </c>
      <c r="G263" s="10" t="s">
        <v>1808</v>
      </c>
      <c r="H263" s="10" t="n">
        <v>1</v>
      </c>
      <c r="I263" s="10" t="str">
        <f aca="false">IF(H263&gt;1,"yes","")</f>
        <v/>
      </c>
    </row>
    <row r="264" customFormat="false" ht="15" hidden="false" customHeight="true" outlineLevel="0" collapsed="false">
      <c r="A264" s="12" t="s">
        <v>2324</v>
      </c>
      <c r="B264" s="12" t="s">
        <v>2325</v>
      </c>
      <c r="C264" s="12" t="n">
        <v>58</v>
      </c>
      <c r="D264" s="12" t="s">
        <v>1714</v>
      </c>
      <c r="E264" s="12" t="s">
        <v>1715</v>
      </c>
      <c r="F264" s="12" t="str">
        <f aca="false">IFERROR(INDEX('Employer Master'!$L$5:$L$99,MATCH(D264,'Employer Master'!$A$5:$A$99,0)),"")</f>
        <v>BRK-25</v>
      </c>
      <c r="G264" s="12" t="s">
        <v>1544</v>
      </c>
      <c r="H264" s="12" t="n">
        <v>1</v>
      </c>
      <c r="I264" s="12" t="str">
        <f aca="false">IF(H264&gt;1,"yes","")</f>
        <v/>
      </c>
    </row>
    <row r="265" customFormat="false" ht="15" hidden="false" customHeight="true" outlineLevel="0" collapsed="false">
      <c r="A265" s="10" t="s">
        <v>2326</v>
      </c>
      <c r="B265" s="10" t="s">
        <v>2327</v>
      </c>
      <c r="C265" s="10" t="n">
        <v>29</v>
      </c>
      <c r="D265" s="10" t="s">
        <v>1716</v>
      </c>
      <c r="E265" s="10" t="s">
        <v>1717</v>
      </c>
      <c r="F265" s="10" t="str">
        <f aca="false">IFERROR(INDEX('Employer Master'!$L$5:$L$99,MATCH(D265,'Employer Master'!$A$5:$A$99,0)),"")</f>
        <v>BRK-22</v>
      </c>
      <c r="G265" s="10" t="s">
        <v>1544</v>
      </c>
      <c r="H265" s="10" t="n">
        <v>1</v>
      </c>
      <c r="I265" s="10" t="str">
        <f aca="false">IF(H265&gt;1,"yes","")</f>
        <v/>
      </c>
    </row>
    <row r="266" customFormat="false" ht="15" hidden="false" customHeight="true" outlineLevel="0" collapsed="false">
      <c r="A266" s="12" t="s">
        <v>2328</v>
      </c>
      <c r="B266" s="12" t="s">
        <v>2329</v>
      </c>
      <c r="C266" s="12" t="n">
        <v>43</v>
      </c>
      <c r="D266" s="12" t="s">
        <v>1719</v>
      </c>
      <c r="E266" s="12" t="s">
        <v>1720</v>
      </c>
      <c r="F266" s="12" t="str">
        <f aca="false">IFERROR(INDEX('Employer Master'!$L$5:$L$99,MATCH(D266,'Employer Master'!$A$5:$A$99,0)),"")</f>
        <v>BRK-23</v>
      </c>
      <c r="G266" s="12" t="s">
        <v>1544</v>
      </c>
      <c r="H266" s="12" t="n">
        <v>1</v>
      </c>
      <c r="I266" s="12" t="str">
        <f aca="false">IF(H266&gt;1,"yes","")</f>
        <v/>
      </c>
    </row>
    <row r="267" customFormat="false" ht="15" hidden="false" customHeight="true" outlineLevel="0" collapsed="false">
      <c r="A267" s="10" t="s">
        <v>2330</v>
      </c>
      <c r="B267" s="10" t="s">
        <v>2331</v>
      </c>
      <c r="C267" s="10" t="n">
        <v>56</v>
      </c>
      <c r="D267" s="10" t="s">
        <v>1722</v>
      </c>
      <c r="E267" s="10" t="s">
        <v>1723</v>
      </c>
      <c r="F267" s="10" t="str">
        <f aca="false">IFERROR(INDEX('Employer Master'!$L$5:$L$99,MATCH(D267,'Employer Master'!$A$5:$A$99,0)),"")</f>
        <v>BRK-27</v>
      </c>
      <c r="G267" s="10" t="s">
        <v>1544</v>
      </c>
      <c r="H267" s="10" t="n">
        <v>1</v>
      </c>
      <c r="I267" s="10" t="str">
        <f aca="false">IF(H267&gt;1,"yes","")</f>
        <v/>
      </c>
    </row>
    <row r="268" customFormat="false" ht="15" hidden="false" customHeight="true" outlineLevel="0" collapsed="false">
      <c r="A268" s="12" t="s">
        <v>2332</v>
      </c>
      <c r="B268" s="12" t="s">
        <v>2333</v>
      </c>
      <c r="C268" s="12" t="n">
        <v>23</v>
      </c>
      <c r="D268" s="12" t="s">
        <v>1724</v>
      </c>
      <c r="E268" s="12" t="s">
        <v>1725</v>
      </c>
      <c r="F268" s="12" t="str">
        <f aca="false">IFERROR(INDEX('Employer Master'!$L$5:$L$99,MATCH(D268,'Employer Master'!$A$5:$A$99,0)),"")</f>
        <v>BRK-28</v>
      </c>
      <c r="G268" s="12" t="s">
        <v>1808</v>
      </c>
      <c r="H268" s="12" t="n">
        <v>1</v>
      </c>
      <c r="I268" s="12" t="str">
        <f aca="false">IF(H268&gt;1,"yes","")</f>
        <v/>
      </c>
    </row>
    <row r="269" customFormat="false" ht="15" hidden="false" customHeight="true" outlineLevel="0" collapsed="false">
      <c r="A269" s="10" t="s">
        <v>2334</v>
      </c>
      <c r="B269" s="10" t="s">
        <v>2335</v>
      </c>
      <c r="C269" s="10" t="n">
        <v>23</v>
      </c>
      <c r="D269" s="10" t="s">
        <v>1726</v>
      </c>
      <c r="E269" s="10" t="s">
        <v>1727</v>
      </c>
      <c r="F269" s="10" t="str">
        <f aca="false">IFERROR(INDEX('Employer Master'!$L$5:$L$99,MATCH(D269,'Employer Master'!$A$5:$A$99,0)),"")</f>
        <v>BRK-29</v>
      </c>
      <c r="G269" s="10" t="s">
        <v>1544</v>
      </c>
      <c r="H269" s="10" t="n">
        <v>1</v>
      </c>
      <c r="I269" s="10" t="str">
        <f aca="false">IF(H269&gt;1,"yes","")</f>
        <v/>
      </c>
    </row>
    <row r="270" customFormat="false" ht="15" hidden="false" customHeight="true" outlineLevel="0" collapsed="false">
      <c r="A270" s="12" t="s">
        <v>2336</v>
      </c>
      <c r="B270" s="12" t="s">
        <v>2337</v>
      </c>
      <c r="C270" s="12" t="n">
        <v>61</v>
      </c>
      <c r="D270" s="12" t="s">
        <v>1728</v>
      </c>
      <c r="E270" s="12" t="s">
        <v>1729</v>
      </c>
      <c r="F270" s="12" t="str">
        <f aca="false">IFERROR(INDEX('Employer Master'!$L$5:$L$99,MATCH(D270,'Employer Master'!$A$5:$A$99,0)),"")</f>
        <v>BRK-07</v>
      </c>
      <c r="G270" s="12" t="s">
        <v>1991</v>
      </c>
      <c r="H270" s="12" t="n">
        <v>1</v>
      </c>
      <c r="I270" s="12" t="str">
        <f aca="false">IF(H270&gt;1,"yes","")</f>
        <v/>
      </c>
    </row>
    <row r="271" customFormat="false" ht="15" hidden="false" customHeight="true" outlineLevel="0" collapsed="false">
      <c r="A271" s="10" t="s">
        <v>2338</v>
      </c>
      <c r="B271" s="10" t="s">
        <v>2339</v>
      </c>
      <c r="C271" s="10" t="n">
        <v>36</v>
      </c>
      <c r="D271" s="10" t="s">
        <v>1730</v>
      </c>
      <c r="E271" s="10" t="s">
        <v>1731</v>
      </c>
      <c r="F271" s="10" t="str">
        <f aca="false">IFERROR(INDEX('Employer Master'!$L$5:$L$99,MATCH(D271,'Employer Master'!$A$5:$A$99,0)),"")</f>
        <v>BRK-08</v>
      </c>
      <c r="G271" s="10" t="s">
        <v>1808</v>
      </c>
      <c r="H271" s="10" t="n">
        <v>1</v>
      </c>
      <c r="I271" s="10" t="str">
        <f aca="false">IF(H271&gt;1,"yes","")</f>
        <v/>
      </c>
    </row>
    <row r="272" customFormat="false" ht="15" hidden="false" customHeight="true" outlineLevel="0" collapsed="false">
      <c r="A272" s="12" t="s">
        <v>2340</v>
      </c>
      <c r="B272" s="12" t="s">
        <v>2341</v>
      </c>
      <c r="C272" s="12" t="n">
        <v>43</v>
      </c>
      <c r="D272" s="12" t="s">
        <v>1732</v>
      </c>
      <c r="E272" s="12" t="s">
        <v>1733</v>
      </c>
      <c r="F272" s="12" t="str">
        <f aca="false">IFERROR(INDEX('Employer Master'!$L$5:$L$99,MATCH(D272,'Employer Master'!$A$5:$A$99,0)),"")</f>
        <v>BRK-09</v>
      </c>
      <c r="G272" s="12" t="s">
        <v>1544</v>
      </c>
      <c r="H272" s="12" t="n">
        <v>1</v>
      </c>
      <c r="I272" s="12" t="str">
        <f aca="false">IF(H272&gt;1,"yes","")</f>
        <v/>
      </c>
    </row>
    <row r="273" customFormat="false" ht="15" hidden="false" customHeight="true" outlineLevel="0" collapsed="false">
      <c r="A273" s="10" t="s">
        <v>2342</v>
      </c>
      <c r="B273" s="10" t="s">
        <v>2343</v>
      </c>
      <c r="C273" s="10" t="n">
        <v>56</v>
      </c>
      <c r="D273" s="10" t="s">
        <v>1734</v>
      </c>
      <c r="E273" s="10" t="s">
        <v>1735</v>
      </c>
      <c r="F273" s="10" t="str">
        <f aca="false">IFERROR(INDEX('Employer Master'!$L$5:$L$99,MATCH(D273,'Employer Master'!$A$5:$A$99,0)),"")</f>
        <v>BRK-10</v>
      </c>
      <c r="G273" s="10" t="s">
        <v>1544</v>
      </c>
      <c r="H273" s="10" t="n">
        <v>1</v>
      </c>
      <c r="I273" s="10" t="str">
        <f aca="false">IF(H273&gt;1,"yes","")</f>
        <v/>
      </c>
    </row>
    <row r="274" customFormat="false" ht="15" hidden="false" customHeight="true" outlineLevel="0" collapsed="false">
      <c r="A274" s="12" t="s">
        <v>2344</v>
      </c>
      <c r="B274" s="12" t="s">
        <v>2345</v>
      </c>
      <c r="C274" s="12" t="n">
        <v>28</v>
      </c>
      <c r="D274" s="12" t="s">
        <v>1736</v>
      </c>
      <c r="E274" s="12" t="s">
        <v>1737</v>
      </c>
      <c r="F274" s="12" t="str">
        <f aca="false">IFERROR(INDEX('Employer Master'!$L$5:$L$99,MATCH(D274,'Employer Master'!$A$5:$A$99,0)),"")</f>
        <v>BRK-16</v>
      </c>
      <c r="G274" s="12" t="s">
        <v>1544</v>
      </c>
      <c r="H274" s="12" t="n">
        <v>1</v>
      </c>
      <c r="I274" s="12" t="str">
        <f aca="false">IF(H274&gt;1,"yes","")</f>
        <v/>
      </c>
    </row>
    <row r="275" customFormat="false" ht="15" hidden="false" customHeight="true" outlineLevel="0" collapsed="false">
      <c r="A275" s="10" t="s">
        <v>2346</v>
      </c>
      <c r="B275" s="10" t="s">
        <v>2347</v>
      </c>
      <c r="C275" s="10" t="n">
        <v>50</v>
      </c>
      <c r="D275" s="10" t="s">
        <v>1738</v>
      </c>
      <c r="E275" s="10" t="s">
        <v>1739</v>
      </c>
      <c r="F275" s="10" t="str">
        <f aca="false">IFERROR(INDEX('Employer Master'!$L$5:$L$99,MATCH(D275,'Employer Master'!$A$5:$A$99,0)),"")</f>
        <v>BRK-17</v>
      </c>
      <c r="G275" s="10" t="s">
        <v>1805</v>
      </c>
      <c r="H275" s="10" t="n">
        <v>1</v>
      </c>
      <c r="I275" s="10" t="str">
        <f aca="false">IF(H275&gt;1,"yes","")</f>
        <v/>
      </c>
    </row>
    <row r="276" customFormat="false" ht="15" hidden="false" customHeight="true" outlineLevel="0" collapsed="false">
      <c r="A276" s="12" t="s">
        <v>2348</v>
      </c>
      <c r="B276" s="12" t="s">
        <v>2349</v>
      </c>
      <c r="C276" s="12" t="n">
        <v>28</v>
      </c>
      <c r="D276" s="12" t="s">
        <v>1740</v>
      </c>
      <c r="E276" s="12" t="s">
        <v>1741</v>
      </c>
      <c r="F276" s="12" t="str">
        <f aca="false">IFERROR(INDEX('Employer Master'!$L$5:$L$99,MATCH(D276,'Employer Master'!$A$5:$A$99,0)),"")</f>
        <v>BRK-20</v>
      </c>
      <c r="G276" s="12" t="s">
        <v>1808</v>
      </c>
      <c r="H276" s="12" t="n">
        <v>1</v>
      </c>
      <c r="I276" s="12" t="str">
        <f aca="false">IF(H276&gt;1,"yes","")</f>
        <v/>
      </c>
    </row>
    <row r="277" customFormat="false" ht="15" hidden="false" customHeight="true" outlineLevel="0" collapsed="false">
      <c r="A277" s="10" t="s">
        <v>2350</v>
      </c>
      <c r="B277" s="10" t="s">
        <v>2351</v>
      </c>
      <c r="C277" s="10" t="n">
        <v>28</v>
      </c>
      <c r="D277" s="10" t="s">
        <v>1742</v>
      </c>
      <c r="E277" s="10" t="s">
        <v>1743</v>
      </c>
      <c r="F277" s="10" t="str">
        <f aca="false">IFERROR(INDEX('Employer Master'!$L$5:$L$99,MATCH(D277,'Employer Master'!$A$5:$A$99,0)),"")</f>
        <v>BRK-21</v>
      </c>
      <c r="G277" s="10" t="s">
        <v>1544</v>
      </c>
      <c r="H277" s="10" t="n">
        <v>1</v>
      </c>
      <c r="I277" s="10" t="str">
        <f aca="false">IF(H277&gt;1,"yes","")</f>
        <v/>
      </c>
    </row>
    <row r="278" customFormat="false" ht="15" hidden="false" customHeight="true" outlineLevel="0" collapsed="false">
      <c r="A278" s="12" t="s">
        <v>2352</v>
      </c>
      <c r="B278" s="12" t="s">
        <v>2353</v>
      </c>
      <c r="C278" s="12" t="n">
        <v>44</v>
      </c>
      <c r="D278" s="12" t="s">
        <v>1744</v>
      </c>
      <c r="E278" s="12" t="s">
        <v>1745</v>
      </c>
      <c r="F278" s="12" t="str">
        <f aca="false">IFERROR(INDEX('Employer Master'!$L$5:$L$99,MATCH(D278,'Employer Master'!$A$5:$A$99,0)),"")</f>
        <v>BRK-24</v>
      </c>
      <c r="G278" s="12" t="s">
        <v>1808</v>
      </c>
      <c r="H278" s="12" t="n">
        <v>1</v>
      </c>
      <c r="I278" s="12" t="str">
        <f aca="false">IF(H278&gt;1,"yes","")</f>
        <v/>
      </c>
    </row>
    <row r="279" customFormat="false" ht="15" hidden="false" customHeight="true" outlineLevel="0" collapsed="false">
      <c r="A279" s="10" t="s">
        <v>2354</v>
      </c>
      <c r="B279" s="10" t="s">
        <v>2355</v>
      </c>
      <c r="C279" s="10" t="n">
        <v>32</v>
      </c>
      <c r="D279" s="10" t="s">
        <v>1746</v>
      </c>
      <c r="E279" s="10" t="s">
        <v>1747</v>
      </c>
      <c r="F279" s="10" t="str">
        <f aca="false">IFERROR(INDEX('Employer Master'!$L$5:$L$99,MATCH(D279,'Employer Master'!$A$5:$A$99,0)),"")</f>
        <v>BRK-26</v>
      </c>
      <c r="G279" s="10" t="s">
        <v>1544</v>
      </c>
      <c r="H279" s="10" t="n">
        <v>1</v>
      </c>
      <c r="I279" s="10" t="str">
        <f aca="false">IF(H279&gt;1,"yes","")</f>
        <v/>
      </c>
    </row>
    <row r="280" customFormat="false" ht="15" hidden="false" customHeight="true" outlineLevel="0" collapsed="false">
      <c r="A280" s="12" t="s">
        <v>2356</v>
      </c>
      <c r="B280" s="12" t="s">
        <v>2357</v>
      </c>
      <c r="C280" s="12" t="n">
        <v>54</v>
      </c>
      <c r="D280" s="12" t="s">
        <v>1748</v>
      </c>
      <c r="E280" s="12" t="s">
        <v>1749</v>
      </c>
      <c r="F280" s="12" t="str">
        <f aca="false">IFERROR(INDEX('Employer Master'!$L$5:$L$99,MATCH(D280,'Employer Master'!$A$5:$A$99,0)),"")</f>
        <v>BRK-30</v>
      </c>
      <c r="G280" s="12" t="s">
        <v>1544</v>
      </c>
      <c r="H280" s="12" t="n">
        <v>1</v>
      </c>
      <c r="I280" s="12" t="str">
        <f aca="false">IF(H280&gt;1,"yes","")</f>
        <v/>
      </c>
    </row>
    <row r="281" customFormat="false" ht="15" hidden="false" customHeight="true" outlineLevel="0" collapsed="false">
      <c r="A281" s="10" t="s">
        <v>2358</v>
      </c>
      <c r="B281" s="10" t="s">
        <v>2359</v>
      </c>
      <c r="C281" s="10" t="n">
        <v>28</v>
      </c>
      <c r="D281" s="10" t="s">
        <v>1750</v>
      </c>
      <c r="E281" s="10" t="s">
        <v>1751</v>
      </c>
      <c r="F281" s="10" t="str">
        <f aca="false">IFERROR(INDEX('Employer Master'!$L$5:$L$99,MATCH(D281,'Employer Master'!$A$5:$A$99,0)),"")</f>
        <v>BRK-06</v>
      </c>
      <c r="G281" s="10" t="s">
        <v>1805</v>
      </c>
      <c r="H281" s="10" t="n">
        <v>1</v>
      </c>
      <c r="I281" s="10" t="str">
        <f aca="false">IF(H281&gt;1,"yes","")</f>
        <v/>
      </c>
    </row>
    <row r="282" customFormat="false" ht="15" hidden="false" customHeight="true" outlineLevel="0" collapsed="false">
      <c r="A282" s="12" t="s">
        <v>2360</v>
      </c>
      <c r="B282" s="12" t="s">
        <v>2361</v>
      </c>
      <c r="C282" s="12" t="n">
        <v>63</v>
      </c>
      <c r="D282" s="12" t="s">
        <v>1752</v>
      </c>
      <c r="E282" s="12" t="s">
        <v>1753</v>
      </c>
      <c r="F282" s="12" t="str">
        <f aca="false">IFERROR(INDEX('Employer Master'!$L$5:$L$99,MATCH(D282,'Employer Master'!$A$5:$A$99,0)),"")</f>
        <v>BRK-11</v>
      </c>
      <c r="G282" s="12" t="s">
        <v>1808</v>
      </c>
      <c r="H282" s="12" t="n">
        <v>1</v>
      </c>
      <c r="I282" s="12" t="str">
        <f aca="false">IF(H282&gt;1,"yes","")</f>
        <v/>
      </c>
    </row>
    <row r="283" customFormat="false" ht="15" hidden="false" customHeight="true" outlineLevel="0" collapsed="false">
      <c r="A283" s="10" t="s">
        <v>2362</v>
      </c>
      <c r="B283" s="10" t="s">
        <v>2363</v>
      </c>
      <c r="C283" s="10" t="n">
        <v>60</v>
      </c>
      <c r="D283" s="10" t="s">
        <v>1754</v>
      </c>
      <c r="E283" s="10" t="s">
        <v>1755</v>
      </c>
      <c r="F283" s="10" t="str">
        <f aca="false">IFERROR(INDEX('Employer Master'!$L$5:$L$99,MATCH(D283,'Employer Master'!$A$5:$A$99,0)),"")</f>
        <v>BRK-12</v>
      </c>
      <c r="G283" s="10" t="s">
        <v>1544</v>
      </c>
      <c r="H283" s="10" t="n">
        <v>1</v>
      </c>
      <c r="I283" s="10" t="str">
        <f aca="false">IF(H283&gt;1,"yes","")</f>
        <v/>
      </c>
    </row>
    <row r="284" customFormat="false" ht="15" hidden="false" customHeight="true" outlineLevel="0" collapsed="false">
      <c r="A284" s="12" t="s">
        <v>2364</v>
      </c>
      <c r="B284" s="12" t="s">
        <v>2365</v>
      </c>
      <c r="C284" s="12" t="n">
        <v>49</v>
      </c>
      <c r="D284" s="12" t="s">
        <v>1756</v>
      </c>
      <c r="E284" s="12" t="s">
        <v>1757</v>
      </c>
      <c r="F284" s="12" t="str">
        <f aca="false">IFERROR(INDEX('Employer Master'!$L$5:$L$99,MATCH(D284,'Employer Master'!$A$5:$A$99,0)),"")</f>
        <v>BRK-13</v>
      </c>
      <c r="G284" s="12" t="s">
        <v>1544</v>
      </c>
      <c r="H284" s="12" t="n">
        <v>1</v>
      </c>
      <c r="I284" s="12" t="str">
        <f aca="false">IF(H284&gt;1,"yes","")</f>
        <v/>
      </c>
    </row>
    <row r="285" customFormat="false" ht="15" hidden="false" customHeight="true" outlineLevel="0" collapsed="false">
      <c r="A285" s="10" t="s">
        <v>2366</v>
      </c>
      <c r="B285" s="10" t="s">
        <v>2367</v>
      </c>
      <c r="C285" s="10" t="n">
        <v>28</v>
      </c>
      <c r="D285" s="10" t="s">
        <v>1758</v>
      </c>
      <c r="E285" s="10" t="s">
        <v>1759</v>
      </c>
      <c r="F285" s="10" t="str">
        <f aca="false">IFERROR(INDEX('Employer Master'!$L$5:$L$99,MATCH(D285,'Employer Master'!$A$5:$A$99,0)),"")</f>
        <v>BRK-27</v>
      </c>
      <c r="G285" s="10" t="s">
        <v>1544</v>
      </c>
      <c r="H285" s="10" t="n">
        <v>1</v>
      </c>
      <c r="I285" s="10" t="str">
        <f aca="false">IF(H285&gt;1,"yes","")</f>
        <v/>
      </c>
    </row>
    <row r="286" customFormat="false" ht="15" hidden="false" customHeight="true" outlineLevel="0" collapsed="false">
      <c r="A286" s="12" t="s">
        <v>2368</v>
      </c>
      <c r="B286" s="12" t="s">
        <v>2369</v>
      </c>
      <c r="C286" s="12" t="n">
        <v>51</v>
      </c>
      <c r="D286" s="12" t="s">
        <v>1760</v>
      </c>
      <c r="E286" s="12" t="s">
        <v>1761</v>
      </c>
      <c r="F286" s="12" t="str">
        <f aca="false">IFERROR(INDEX('Employer Master'!$L$5:$L$99,MATCH(D286,'Employer Master'!$A$5:$A$99,0)),"")</f>
        <v>BRK-28</v>
      </c>
      <c r="G286" s="12" t="s">
        <v>1808</v>
      </c>
      <c r="H286" s="12" t="n">
        <v>1</v>
      </c>
      <c r="I286" s="12" t="str">
        <f aca="false">IF(H286&gt;1,"yes","")</f>
        <v/>
      </c>
    </row>
    <row r="287" customFormat="false" ht="15" hidden="false" customHeight="true" outlineLevel="0" collapsed="false">
      <c r="A287" s="10" t="s">
        <v>2370</v>
      </c>
      <c r="B287" s="10" t="s">
        <v>2371</v>
      </c>
      <c r="C287" s="10" t="n">
        <v>51</v>
      </c>
      <c r="D287" s="10" t="s">
        <v>1762</v>
      </c>
      <c r="E287" s="10" t="s">
        <v>1763</v>
      </c>
      <c r="F287" s="10" t="str">
        <f aca="false">IFERROR(INDEX('Employer Master'!$L$5:$L$99,MATCH(D287,'Employer Master'!$A$5:$A$99,0)),"")</f>
        <v>BRK-29</v>
      </c>
      <c r="G287" s="10" t="s">
        <v>1544</v>
      </c>
      <c r="H287" s="10" t="n">
        <v>1</v>
      </c>
      <c r="I287" s="10" t="str">
        <f aca="false">IF(H287&gt;1,"yes","")</f>
        <v/>
      </c>
    </row>
    <row r="288" customFormat="false" ht="15" hidden="false" customHeight="true" outlineLevel="0" collapsed="false">
      <c r="A288" s="12" t="s">
        <v>2372</v>
      </c>
      <c r="B288" s="12" t="s">
        <v>2373</v>
      </c>
      <c r="C288" s="12" t="n">
        <v>45</v>
      </c>
      <c r="D288" s="12" t="s">
        <v>1764</v>
      </c>
      <c r="E288" s="12" t="s">
        <v>1765</v>
      </c>
      <c r="F288" s="12" t="str">
        <f aca="false">IFERROR(INDEX('Employer Master'!$L$5:$L$99,MATCH(D288,'Employer Master'!$A$5:$A$99,0)),"")</f>
        <v>BRK-22</v>
      </c>
      <c r="G288" s="12" t="s">
        <v>1544</v>
      </c>
      <c r="H288" s="12" t="n">
        <v>1</v>
      </c>
      <c r="I288" s="12" t="str">
        <f aca="false">IF(H288&gt;1,"yes","")</f>
        <v/>
      </c>
    </row>
    <row r="289" customFormat="false" ht="15" hidden="false" customHeight="true" outlineLevel="0" collapsed="false">
      <c r="A289" s="10" t="s">
        <v>2374</v>
      </c>
      <c r="B289" s="10" t="s">
        <v>2375</v>
      </c>
      <c r="C289" s="10" t="n">
        <v>30</v>
      </c>
      <c r="D289" s="10" t="s">
        <v>1766</v>
      </c>
      <c r="E289" s="10" t="s">
        <v>1767</v>
      </c>
      <c r="F289" s="10" t="str">
        <f aca="false">IFERROR(INDEX('Employer Master'!$L$5:$L$99,MATCH(D289,'Employer Master'!$A$5:$A$99,0)),"")</f>
        <v>BRK-23</v>
      </c>
      <c r="G289" s="10" t="s">
        <v>1544</v>
      </c>
      <c r="H289" s="10" t="n">
        <v>1</v>
      </c>
      <c r="I289" s="10" t="str">
        <f aca="false">IF(H289&gt;1,"yes","")</f>
        <v/>
      </c>
    </row>
    <row r="290" customFormat="false" ht="15" hidden="false" customHeight="true" outlineLevel="0" collapsed="false">
      <c r="A290" s="14" t="s">
        <v>1470</v>
      </c>
      <c r="B290" s="16" t="str">
        <f aca="false">COUNTA(A5:A289)&amp;" distinct members"</f>
        <v>285 distinct members</v>
      </c>
      <c r="H290" s="16" t="n">
        <f aca="false">SUM(H5:H289)</f>
        <v>390</v>
      </c>
    </row>
    <row r="292" customFormat="false" ht="15" hidden="false" customHeight="true" outlineLevel="0" collapsed="false">
      <c r="A292" s="14" t="s">
        <v>1471</v>
      </c>
      <c r="B292" s="21" t="str">
        <f aca="false">IF(H290=390,"OK — 390 member calls","VARIANCE: "&amp;TEXT(H290-390,"+0;-0"))</f>
        <v>OK — 390 member calls</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22"/>
    <col collapsed="false" customWidth="true" hidden="false" outlineLevel="0" max="4" min="4" style="1" width="13"/>
    <col collapsed="false" customWidth="true" hidden="false" outlineLevel="0" max="5" min="5" style="1" width="11"/>
    <col collapsed="false" customWidth="true" hidden="false" outlineLevel="0" max="6" min="6" style="1" width="28"/>
    <col collapsed="false" customWidth="true" hidden="false" outlineLevel="0" max="8" min="7" style="1" width="12"/>
  </cols>
  <sheetData>
    <row r="1" customFormat="false" ht="21.75" hidden="false" customHeight="true" outlineLevel="0" collapsed="false">
      <c r="A1" s="7" t="s">
        <v>2376</v>
      </c>
    </row>
    <row r="2" customFormat="false" ht="61.5" hidden="false" customHeight="true" outlineLevel="0" collapsed="false">
      <c r="A2" s="8" t="s">
        <v>2377</v>
      </c>
      <c r="B2" s="8"/>
      <c r="C2" s="8"/>
      <c r="D2" s="8"/>
      <c r="E2" s="8"/>
      <c r="F2" s="8"/>
      <c r="G2" s="8"/>
    </row>
    <row r="3" customFormat="false" ht="6" hidden="false" customHeight="true" outlineLevel="0" collapsed="false"/>
    <row r="4" customFormat="false" ht="31.5" hidden="false" customHeight="true" outlineLevel="0" collapsed="false">
      <c r="A4" s="9" t="s">
        <v>2378</v>
      </c>
      <c r="B4" s="9" t="s">
        <v>2379</v>
      </c>
      <c r="C4" s="9" t="s">
        <v>2380</v>
      </c>
      <c r="D4" s="9" t="s">
        <v>2381</v>
      </c>
      <c r="E4" s="9" t="s">
        <v>1474</v>
      </c>
      <c r="F4" s="9" t="s">
        <v>1475</v>
      </c>
      <c r="G4" s="9" t="s">
        <v>1800</v>
      </c>
      <c r="H4" s="9" t="s">
        <v>1439</v>
      </c>
    </row>
    <row r="5" customFormat="false" ht="15" hidden="false" customHeight="true" outlineLevel="0" collapsed="false">
      <c r="A5" s="10" t="s">
        <v>2382</v>
      </c>
      <c r="B5" s="10" t="s">
        <v>2383</v>
      </c>
      <c r="C5" s="10" t="s">
        <v>2384</v>
      </c>
      <c r="D5" s="10" t="s">
        <v>2385</v>
      </c>
      <c r="E5" s="10" t="s">
        <v>1498</v>
      </c>
      <c r="F5" s="10" t="s">
        <v>1499</v>
      </c>
      <c r="G5" s="10" t="str">
        <f aca="false">IFERROR(INDEX('Employer Master'!$L$5:$L$99,MATCH(E5,'Employer Master'!$A$5:$A$99,0)),"")</f>
        <v>BRK-02</v>
      </c>
      <c r="H5" s="10" t="n">
        <v>6</v>
      </c>
    </row>
    <row r="6" customFormat="false" ht="15" hidden="false" customHeight="true" outlineLevel="0" collapsed="false">
      <c r="A6" s="12" t="s">
        <v>2386</v>
      </c>
      <c r="B6" s="12" t="s">
        <v>2387</v>
      </c>
      <c r="C6" s="12" t="s">
        <v>2388</v>
      </c>
      <c r="D6" s="12" t="s">
        <v>2385</v>
      </c>
      <c r="E6" s="12" t="s">
        <v>1498</v>
      </c>
      <c r="F6" s="12" t="s">
        <v>1499</v>
      </c>
      <c r="G6" s="12" t="str">
        <f aca="false">IFERROR(INDEX('Employer Master'!$L$5:$L$99,MATCH(E6,'Employer Master'!$A$5:$A$99,0)),"")</f>
        <v>BRK-02</v>
      </c>
      <c r="H6" s="12" t="n">
        <v>6</v>
      </c>
    </row>
    <row r="7" customFormat="false" ht="15" hidden="false" customHeight="true" outlineLevel="0" collapsed="false">
      <c r="A7" s="10" t="s">
        <v>2389</v>
      </c>
      <c r="B7" s="10" t="s">
        <v>2127</v>
      </c>
      <c r="C7" s="10" t="s">
        <v>2384</v>
      </c>
      <c r="D7" s="10" t="s">
        <v>2385</v>
      </c>
      <c r="E7" s="10" t="s">
        <v>1510</v>
      </c>
      <c r="F7" s="10" t="s">
        <v>1511</v>
      </c>
      <c r="G7" s="10" t="str">
        <f aca="false">IFERROR(INDEX('Employer Master'!$L$5:$L$99,MATCH(E7,'Employer Master'!$A$5:$A$99,0)),"")</f>
        <v>BRK-02</v>
      </c>
      <c r="H7" s="10" t="n">
        <v>6</v>
      </c>
    </row>
    <row r="8" customFormat="false" ht="15" hidden="false" customHeight="true" outlineLevel="0" collapsed="false">
      <c r="A8" s="12" t="s">
        <v>2390</v>
      </c>
      <c r="B8" s="12" t="s">
        <v>2391</v>
      </c>
      <c r="C8" s="12" t="s">
        <v>2392</v>
      </c>
      <c r="D8" s="12" t="s">
        <v>2393</v>
      </c>
      <c r="E8" s="12" t="s">
        <v>1510</v>
      </c>
      <c r="F8" s="12" t="s">
        <v>1511</v>
      </c>
      <c r="G8" s="12" t="str">
        <f aca="false">IFERROR(INDEX('Employer Master'!$L$5:$L$99,MATCH(E8,'Employer Master'!$A$5:$A$99,0)),"")</f>
        <v>BRK-02</v>
      </c>
      <c r="H8" s="12" t="n">
        <v>5</v>
      </c>
    </row>
    <row r="9" customFormat="false" ht="15" hidden="false" customHeight="true" outlineLevel="0" collapsed="false">
      <c r="A9" s="10" t="s">
        <v>2394</v>
      </c>
      <c r="B9" s="10" t="s">
        <v>2395</v>
      </c>
      <c r="C9" s="10" t="s">
        <v>361</v>
      </c>
      <c r="D9" s="10" t="s">
        <v>2393</v>
      </c>
      <c r="E9" s="10" t="s">
        <v>1517</v>
      </c>
      <c r="F9" s="10" t="s">
        <v>1518</v>
      </c>
      <c r="G9" s="10" t="str">
        <f aca="false">IFERROR(INDEX('Employer Master'!$L$5:$L$99,MATCH(E9,'Employer Master'!$A$5:$A$99,0)),"")</f>
        <v>BRK-09</v>
      </c>
      <c r="H9" s="10" t="n">
        <v>5</v>
      </c>
    </row>
    <row r="10" customFormat="false" ht="15" hidden="false" customHeight="true" outlineLevel="0" collapsed="false">
      <c r="A10" s="12" t="s">
        <v>2396</v>
      </c>
      <c r="B10" s="12" t="s">
        <v>2397</v>
      </c>
      <c r="C10" s="12" t="s">
        <v>2398</v>
      </c>
      <c r="D10" s="12" t="s">
        <v>2393</v>
      </c>
      <c r="E10" s="12" t="s">
        <v>1517</v>
      </c>
      <c r="F10" s="12" t="s">
        <v>1518</v>
      </c>
      <c r="G10" s="12" t="str">
        <f aca="false">IFERROR(INDEX('Employer Master'!$L$5:$L$99,MATCH(E10,'Employer Master'!$A$5:$A$99,0)),"")</f>
        <v>BRK-09</v>
      </c>
      <c r="H10" s="12" t="n">
        <v>5</v>
      </c>
    </row>
    <row r="11" customFormat="false" ht="15" hidden="false" customHeight="true" outlineLevel="0" collapsed="false">
      <c r="A11" s="10" t="s">
        <v>2399</v>
      </c>
      <c r="B11" s="10" t="s">
        <v>2400</v>
      </c>
      <c r="C11" s="10" t="s">
        <v>2401</v>
      </c>
      <c r="D11" s="10" t="s">
        <v>2385</v>
      </c>
      <c r="E11" s="10" t="s">
        <v>1526</v>
      </c>
      <c r="F11" s="10" t="s">
        <v>1527</v>
      </c>
      <c r="G11" s="10" t="str">
        <f aca="false">IFERROR(INDEX('Employer Master'!$L$5:$L$99,MATCH(E11,'Employer Master'!$A$5:$A$99,0)),"")</f>
        <v>BRK-06</v>
      </c>
      <c r="H11" s="10" t="n">
        <v>5</v>
      </c>
    </row>
    <row r="12" customFormat="false" ht="15" hidden="false" customHeight="true" outlineLevel="0" collapsed="false">
      <c r="A12" s="12" t="s">
        <v>2402</v>
      </c>
      <c r="B12" s="12" t="s">
        <v>2403</v>
      </c>
      <c r="C12" s="12" t="s">
        <v>2404</v>
      </c>
      <c r="D12" s="12" t="s">
        <v>2393</v>
      </c>
      <c r="E12" s="12" t="s">
        <v>1526</v>
      </c>
      <c r="F12" s="12" t="s">
        <v>1527</v>
      </c>
      <c r="G12" s="12" t="str">
        <f aca="false">IFERROR(INDEX('Employer Master'!$L$5:$L$99,MATCH(E12,'Employer Master'!$A$5:$A$99,0)),"")</f>
        <v>BRK-06</v>
      </c>
      <c r="H12" s="12" t="n">
        <v>5</v>
      </c>
    </row>
    <row r="13" customFormat="false" ht="15" hidden="false" customHeight="true" outlineLevel="0" collapsed="false">
      <c r="A13" s="10" t="s">
        <v>2405</v>
      </c>
      <c r="B13" s="10" t="s">
        <v>2406</v>
      </c>
      <c r="C13" s="10" t="s">
        <v>2407</v>
      </c>
      <c r="D13" s="10" t="s">
        <v>2385</v>
      </c>
      <c r="E13" s="10" t="s">
        <v>1533</v>
      </c>
      <c r="F13" s="10" t="s">
        <v>1534</v>
      </c>
      <c r="G13" s="10" t="str">
        <f aca="false">IFERROR(INDEX('Employer Master'!$L$5:$L$99,MATCH(E13,'Employer Master'!$A$5:$A$99,0)),"")</f>
        <v>BRK-01</v>
      </c>
      <c r="H13" s="10" t="n">
        <v>5</v>
      </c>
    </row>
    <row r="14" customFormat="false" ht="15" hidden="false" customHeight="true" outlineLevel="0" collapsed="false">
      <c r="A14" s="12" t="s">
        <v>2408</v>
      </c>
      <c r="B14" s="12" t="s">
        <v>2409</v>
      </c>
      <c r="C14" s="12" t="s">
        <v>2388</v>
      </c>
      <c r="D14" s="12" t="s">
        <v>2385</v>
      </c>
      <c r="E14" s="12" t="s">
        <v>1533</v>
      </c>
      <c r="F14" s="12" t="s">
        <v>1534</v>
      </c>
      <c r="G14" s="12" t="str">
        <f aca="false">IFERROR(INDEX('Employer Master'!$L$5:$L$99,MATCH(E14,'Employer Master'!$A$5:$A$99,0)),"")</f>
        <v>BRK-01</v>
      </c>
      <c r="H14" s="12" t="n">
        <v>5</v>
      </c>
    </row>
    <row r="15" customFormat="false" ht="15" hidden="false" customHeight="true" outlineLevel="0" collapsed="false">
      <c r="A15" s="10" t="s">
        <v>2410</v>
      </c>
      <c r="B15" s="10" t="s">
        <v>2411</v>
      </c>
      <c r="C15" s="10" t="s">
        <v>2412</v>
      </c>
      <c r="D15" s="10" t="s">
        <v>2385</v>
      </c>
      <c r="E15" s="10" t="s">
        <v>1539</v>
      </c>
      <c r="F15" s="10" t="s">
        <v>1540</v>
      </c>
      <c r="G15" s="10" t="str">
        <f aca="false">IFERROR(INDEX('Employer Master'!$L$5:$L$99,MATCH(E15,'Employer Master'!$A$5:$A$99,0)),"")</f>
        <v>BRK-03</v>
      </c>
      <c r="H15" s="10" t="n">
        <v>5</v>
      </c>
    </row>
    <row r="16" customFormat="false" ht="15" hidden="false" customHeight="true" outlineLevel="0" collapsed="false">
      <c r="A16" s="12" t="s">
        <v>2413</v>
      </c>
      <c r="B16" s="12" t="s">
        <v>2414</v>
      </c>
      <c r="C16" s="12" t="s">
        <v>2398</v>
      </c>
      <c r="D16" s="12" t="s">
        <v>2393</v>
      </c>
      <c r="E16" s="12" t="s">
        <v>1539</v>
      </c>
      <c r="F16" s="12" t="s">
        <v>1540</v>
      </c>
      <c r="G16" s="12" t="str">
        <f aca="false">IFERROR(INDEX('Employer Master'!$L$5:$L$99,MATCH(E16,'Employer Master'!$A$5:$A$99,0)),"")</f>
        <v>BRK-03</v>
      </c>
      <c r="H16" s="12" t="n">
        <v>4</v>
      </c>
    </row>
    <row r="17" customFormat="false" ht="15" hidden="false" customHeight="true" outlineLevel="0" collapsed="false">
      <c r="A17" s="10" t="s">
        <v>2415</v>
      </c>
      <c r="B17" s="10" t="s">
        <v>2416</v>
      </c>
      <c r="C17" s="10" t="s">
        <v>2417</v>
      </c>
      <c r="D17" s="10" t="s">
        <v>2393</v>
      </c>
      <c r="E17" s="10" t="s">
        <v>1545</v>
      </c>
      <c r="F17" s="10" t="s">
        <v>1546</v>
      </c>
      <c r="G17" s="10" t="str">
        <f aca="false">IFERROR(INDEX('Employer Master'!$L$5:$L$99,MATCH(E17,'Employer Master'!$A$5:$A$99,0)),"")</f>
        <v>BRK-02</v>
      </c>
      <c r="H17" s="10" t="n">
        <v>6</v>
      </c>
    </row>
    <row r="18" customFormat="false" ht="15" hidden="false" customHeight="true" outlineLevel="0" collapsed="false">
      <c r="A18" s="12" t="s">
        <v>2418</v>
      </c>
      <c r="B18" s="12" t="s">
        <v>2419</v>
      </c>
      <c r="C18" s="12" t="s">
        <v>2407</v>
      </c>
      <c r="D18" s="12" t="s">
        <v>2385</v>
      </c>
      <c r="E18" s="12" t="s">
        <v>1551</v>
      </c>
      <c r="F18" s="12" t="s">
        <v>1552</v>
      </c>
      <c r="G18" s="12" t="str">
        <f aca="false">IFERROR(INDEX('Employer Master'!$L$5:$L$99,MATCH(E18,'Employer Master'!$A$5:$A$99,0)),"")</f>
        <v>BRK-03</v>
      </c>
      <c r="H18" s="12" t="n">
        <v>6</v>
      </c>
    </row>
    <row r="19" customFormat="false" ht="15" hidden="false" customHeight="true" outlineLevel="0" collapsed="false">
      <c r="A19" s="10" t="s">
        <v>2420</v>
      </c>
      <c r="B19" s="10" t="s">
        <v>2421</v>
      </c>
      <c r="C19" s="10" t="s">
        <v>2404</v>
      </c>
      <c r="D19" s="10" t="s">
        <v>2393</v>
      </c>
      <c r="E19" s="10" t="s">
        <v>1555</v>
      </c>
      <c r="F19" s="10" t="s">
        <v>1556</v>
      </c>
      <c r="G19" s="10" t="str">
        <f aca="false">IFERROR(INDEX('Employer Master'!$L$5:$L$99,MATCH(E19,'Employer Master'!$A$5:$A$99,0)),"")</f>
        <v>BRK-01</v>
      </c>
      <c r="H19" s="10" t="n">
        <v>6</v>
      </c>
    </row>
    <row r="20" customFormat="false" ht="15" hidden="false" customHeight="true" outlineLevel="0" collapsed="false">
      <c r="A20" s="12" t="s">
        <v>2422</v>
      </c>
      <c r="B20" s="12" t="s">
        <v>2423</v>
      </c>
      <c r="C20" s="12" t="s">
        <v>2404</v>
      </c>
      <c r="D20" s="12" t="s">
        <v>2393</v>
      </c>
      <c r="E20" s="12" t="s">
        <v>1558</v>
      </c>
      <c r="F20" s="12" t="s">
        <v>1559</v>
      </c>
      <c r="G20" s="12" t="str">
        <f aca="false">IFERROR(INDEX('Employer Master'!$L$5:$L$99,MATCH(E20,'Employer Master'!$A$5:$A$99,0)),"")</f>
        <v>BRK-06</v>
      </c>
      <c r="H20" s="12" t="n">
        <v>4</v>
      </c>
    </row>
    <row r="21" customFormat="false" ht="15" hidden="false" customHeight="true" outlineLevel="0" collapsed="false">
      <c r="A21" s="10" t="s">
        <v>2424</v>
      </c>
      <c r="B21" s="10" t="s">
        <v>2425</v>
      </c>
      <c r="C21" s="10" t="s">
        <v>2392</v>
      </c>
      <c r="D21" s="10" t="s">
        <v>2393</v>
      </c>
      <c r="E21" s="10" t="s">
        <v>1561</v>
      </c>
      <c r="F21" s="10" t="s">
        <v>1562</v>
      </c>
      <c r="G21" s="10" t="str">
        <f aca="false">IFERROR(INDEX('Employer Master'!$L$5:$L$99,MATCH(E21,'Employer Master'!$A$5:$A$99,0)),"")</f>
        <v>BRK-09</v>
      </c>
      <c r="H21" s="10" t="n">
        <v>4</v>
      </c>
    </row>
    <row r="22" customFormat="false" ht="15" hidden="false" customHeight="true" outlineLevel="0" collapsed="false">
      <c r="A22" s="12" t="s">
        <v>2426</v>
      </c>
      <c r="B22" s="12" t="s">
        <v>2427</v>
      </c>
      <c r="C22" s="12" t="s">
        <v>2417</v>
      </c>
      <c r="D22" s="12" t="s">
        <v>2393</v>
      </c>
      <c r="E22" s="12" t="s">
        <v>1565</v>
      </c>
      <c r="F22" s="12" t="s">
        <v>1566</v>
      </c>
      <c r="G22" s="12" t="str">
        <f aca="false">IFERROR(INDEX('Employer Master'!$L$5:$L$99,MATCH(E22,'Employer Master'!$A$5:$A$99,0)),"")</f>
        <v>BRK-03</v>
      </c>
      <c r="H22" s="12" t="n">
        <v>4</v>
      </c>
    </row>
    <row r="23" customFormat="false" ht="15" hidden="false" customHeight="true" outlineLevel="0" collapsed="false">
      <c r="A23" s="10" t="s">
        <v>2428</v>
      </c>
      <c r="B23" s="10" t="s">
        <v>1942</v>
      </c>
      <c r="C23" s="10" t="s">
        <v>2401</v>
      </c>
      <c r="D23" s="10" t="s">
        <v>2385</v>
      </c>
      <c r="E23" s="10" t="s">
        <v>1568</v>
      </c>
      <c r="F23" s="10" t="s">
        <v>1569</v>
      </c>
      <c r="G23" s="10" t="str">
        <f aca="false">IFERROR(INDEX('Employer Master'!$L$5:$L$99,MATCH(E23,'Employer Master'!$A$5:$A$99,0)),"")</f>
        <v>BRK-01</v>
      </c>
      <c r="H23" s="10" t="n">
        <v>4</v>
      </c>
    </row>
    <row r="24" customFormat="false" ht="15" hidden="false" customHeight="true" outlineLevel="0" collapsed="false">
      <c r="A24" s="12" t="s">
        <v>2429</v>
      </c>
      <c r="B24" s="12" t="s">
        <v>2430</v>
      </c>
      <c r="C24" s="12" t="s">
        <v>2417</v>
      </c>
      <c r="D24" s="12" t="s">
        <v>2393</v>
      </c>
      <c r="E24" s="12" t="s">
        <v>1573</v>
      </c>
      <c r="F24" s="12" t="s">
        <v>1574</v>
      </c>
      <c r="G24" s="12" t="str">
        <f aca="false">IFERROR(INDEX('Employer Master'!$L$5:$L$99,MATCH(E24,'Employer Master'!$A$5:$A$99,0)),"")</f>
        <v>BRK-07</v>
      </c>
      <c r="H24" s="12" t="n">
        <v>4</v>
      </c>
    </row>
    <row r="25" customFormat="false" ht="15" hidden="false" customHeight="true" outlineLevel="0" collapsed="false">
      <c r="A25" s="10" t="s">
        <v>2431</v>
      </c>
      <c r="B25" s="10" t="s">
        <v>2432</v>
      </c>
      <c r="C25" s="10" t="s">
        <v>2412</v>
      </c>
      <c r="D25" s="10" t="s">
        <v>2385</v>
      </c>
      <c r="E25" s="10" t="s">
        <v>1577</v>
      </c>
      <c r="F25" s="10" t="s">
        <v>1578</v>
      </c>
      <c r="G25" s="10" t="str">
        <f aca="false">IFERROR(INDEX('Employer Master'!$L$5:$L$99,MATCH(E25,'Employer Master'!$A$5:$A$99,0)),"")</f>
        <v>BRK-08</v>
      </c>
      <c r="H25" s="10" t="n">
        <v>4</v>
      </c>
    </row>
    <row r="26" customFormat="false" ht="15" hidden="false" customHeight="true" outlineLevel="0" collapsed="false">
      <c r="A26" s="12" t="s">
        <v>2433</v>
      </c>
      <c r="B26" s="12" t="s">
        <v>2434</v>
      </c>
      <c r="C26" s="12" t="s">
        <v>2388</v>
      </c>
      <c r="D26" s="12" t="s">
        <v>2385</v>
      </c>
      <c r="E26" s="12" t="s">
        <v>1581</v>
      </c>
      <c r="F26" s="12" t="s">
        <v>1582</v>
      </c>
      <c r="G26" s="12" t="str">
        <f aca="false">IFERROR(INDEX('Employer Master'!$L$5:$L$99,MATCH(E26,'Employer Master'!$A$5:$A$99,0)),"")</f>
        <v>BRK-05</v>
      </c>
      <c r="H26" s="12" t="n">
        <v>3</v>
      </c>
    </row>
    <row r="27" customFormat="false" ht="15" hidden="false" customHeight="true" outlineLevel="0" collapsed="false">
      <c r="A27" s="10" t="s">
        <v>2435</v>
      </c>
      <c r="B27" s="10" t="s">
        <v>2436</v>
      </c>
      <c r="C27" s="10" t="s">
        <v>2401</v>
      </c>
      <c r="D27" s="10" t="s">
        <v>2385</v>
      </c>
      <c r="E27" s="10" t="s">
        <v>1585</v>
      </c>
      <c r="F27" s="10" t="s">
        <v>1586</v>
      </c>
      <c r="G27" s="10" t="str">
        <f aca="false">IFERROR(INDEX('Employer Master'!$L$5:$L$99,MATCH(E27,'Employer Master'!$A$5:$A$99,0)),"")</f>
        <v>BRK-10</v>
      </c>
      <c r="H27" s="10" t="n">
        <v>3</v>
      </c>
    </row>
    <row r="28" customFormat="false" ht="15" hidden="false" customHeight="true" outlineLevel="0" collapsed="false">
      <c r="A28" s="12" t="s">
        <v>2437</v>
      </c>
      <c r="B28" s="12" t="s">
        <v>2438</v>
      </c>
      <c r="C28" s="12" t="s">
        <v>2384</v>
      </c>
      <c r="D28" s="12" t="s">
        <v>2385</v>
      </c>
      <c r="E28" s="12" t="s">
        <v>1589</v>
      </c>
      <c r="F28" s="12" t="s">
        <v>1590</v>
      </c>
      <c r="G28" s="12" t="str">
        <f aca="false">IFERROR(INDEX('Employer Master'!$L$5:$L$99,MATCH(E28,'Employer Master'!$A$5:$A$99,0)),"")</f>
        <v>BRK-26</v>
      </c>
      <c r="H28" s="12" t="n">
        <v>3</v>
      </c>
    </row>
    <row r="29" customFormat="false" ht="15" hidden="false" customHeight="true" outlineLevel="0" collapsed="false">
      <c r="A29" s="10" t="s">
        <v>2439</v>
      </c>
      <c r="B29" s="10" t="s">
        <v>2440</v>
      </c>
      <c r="C29" s="10" t="s">
        <v>2407</v>
      </c>
      <c r="D29" s="10" t="s">
        <v>2385</v>
      </c>
      <c r="E29" s="10" t="s">
        <v>1592</v>
      </c>
      <c r="F29" s="10" t="s">
        <v>1593</v>
      </c>
      <c r="G29" s="10" t="str">
        <f aca="false">IFERROR(INDEX('Employer Master'!$L$5:$L$99,MATCH(E29,'Employer Master'!$A$5:$A$99,0)),"")</f>
        <v>BRK-30</v>
      </c>
      <c r="H29" s="10" t="n">
        <v>4</v>
      </c>
    </row>
    <row r="30" customFormat="false" ht="15" hidden="false" customHeight="true" outlineLevel="0" collapsed="false">
      <c r="A30" s="12" t="s">
        <v>2441</v>
      </c>
      <c r="B30" s="12" t="s">
        <v>2442</v>
      </c>
      <c r="C30" s="12" t="s">
        <v>2407</v>
      </c>
      <c r="D30" s="12" t="s">
        <v>2385</v>
      </c>
      <c r="E30" s="12" t="s">
        <v>1596</v>
      </c>
      <c r="F30" s="12" t="s">
        <v>1597</v>
      </c>
      <c r="G30" s="12" t="str">
        <f aca="false">IFERROR(INDEX('Employer Master'!$L$5:$L$99,MATCH(E30,'Employer Master'!$A$5:$A$99,0)),"")</f>
        <v>BRK-02</v>
      </c>
      <c r="H30" s="12" t="n">
        <v>3</v>
      </c>
    </row>
    <row r="31" customFormat="false" ht="15" hidden="false" customHeight="true" outlineLevel="0" collapsed="false">
      <c r="A31" s="10" t="s">
        <v>2443</v>
      </c>
      <c r="B31" s="10" t="s">
        <v>2444</v>
      </c>
      <c r="C31" s="10" t="s">
        <v>2404</v>
      </c>
      <c r="D31" s="10" t="s">
        <v>2393</v>
      </c>
      <c r="E31" s="10" t="s">
        <v>1599</v>
      </c>
      <c r="F31" s="10" t="s">
        <v>1600</v>
      </c>
      <c r="G31" s="10" t="str">
        <f aca="false">IFERROR(INDEX('Employer Master'!$L$5:$L$99,MATCH(E31,'Employer Master'!$A$5:$A$99,0)),"")</f>
        <v>BRK-03</v>
      </c>
      <c r="H31" s="10" t="n">
        <v>2</v>
      </c>
    </row>
    <row r="32" customFormat="false" ht="15" hidden="false" customHeight="true" outlineLevel="0" collapsed="false">
      <c r="A32" s="12" t="s">
        <v>2445</v>
      </c>
      <c r="B32" s="12" t="s">
        <v>2446</v>
      </c>
      <c r="C32" s="12" t="s">
        <v>2392</v>
      </c>
      <c r="D32" s="12" t="s">
        <v>2393</v>
      </c>
      <c r="E32" s="12" t="s">
        <v>1601</v>
      </c>
      <c r="F32" s="12" t="s">
        <v>1602</v>
      </c>
      <c r="G32" s="12" t="str">
        <f aca="false">IFERROR(INDEX('Employer Master'!$L$5:$L$99,MATCH(E32,'Employer Master'!$A$5:$A$99,0)),"")</f>
        <v>BRK-04</v>
      </c>
      <c r="H32" s="12" t="n">
        <v>2</v>
      </c>
    </row>
    <row r="33" customFormat="false" ht="15" hidden="false" customHeight="true" outlineLevel="0" collapsed="false">
      <c r="A33" s="10" t="s">
        <v>2447</v>
      </c>
      <c r="B33" s="10" t="s">
        <v>2448</v>
      </c>
      <c r="C33" s="10" t="s">
        <v>2388</v>
      </c>
      <c r="D33" s="10" t="s">
        <v>2385</v>
      </c>
      <c r="E33" s="10" t="s">
        <v>1604</v>
      </c>
      <c r="F33" s="10" t="s">
        <v>1605</v>
      </c>
      <c r="G33" s="10" t="str">
        <f aca="false">IFERROR(INDEX('Employer Master'!$L$5:$L$99,MATCH(E33,'Employer Master'!$A$5:$A$99,0)),"")</f>
        <v>BRK-05</v>
      </c>
      <c r="H33" s="10" t="n">
        <v>2</v>
      </c>
    </row>
    <row r="34" customFormat="false" ht="15" hidden="false" customHeight="true" outlineLevel="0" collapsed="false">
      <c r="A34" s="12" t="s">
        <v>2449</v>
      </c>
      <c r="B34" s="12" t="s">
        <v>1804</v>
      </c>
      <c r="C34" s="12" t="s">
        <v>2407</v>
      </c>
      <c r="D34" s="12" t="s">
        <v>2385</v>
      </c>
      <c r="E34" s="12" t="s">
        <v>1606</v>
      </c>
      <c r="F34" s="12" t="s">
        <v>1607</v>
      </c>
      <c r="G34" s="12" t="str">
        <f aca="false">IFERROR(INDEX('Employer Master'!$L$5:$L$99,MATCH(E34,'Employer Master'!$A$5:$A$99,0)),"")</f>
        <v>BRK-06</v>
      </c>
      <c r="H34" s="12" t="n">
        <v>2</v>
      </c>
    </row>
    <row r="35" customFormat="false" ht="15" hidden="false" customHeight="true" outlineLevel="0" collapsed="false">
      <c r="A35" s="10" t="s">
        <v>2450</v>
      </c>
      <c r="B35" s="10" t="s">
        <v>2451</v>
      </c>
      <c r="C35" s="10" t="s">
        <v>2417</v>
      </c>
      <c r="D35" s="10" t="s">
        <v>2393</v>
      </c>
      <c r="E35" s="10" t="s">
        <v>1608</v>
      </c>
      <c r="F35" s="10" t="s">
        <v>1609</v>
      </c>
      <c r="G35" s="10" t="str">
        <f aca="false">IFERROR(INDEX('Employer Master'!$L$5:$L$99,MATCH(E35,'Employer Master'!$A$5:$A$99,0)),"")</f>
        <v>BRK-07</v>
      </c>
      <c r="H35" s="10" t="n">
        <v>2</v>
      </c>
    </row>
    <row r="36" customFormat="false" ht="15" hidden="false" customHeight="true" outlineLevel="0" collapsed="false">
      <c r="A36" s="12" t="s">
        <v>2452</v>
      </c>
      <c r="B36" s="12" t="s">
        <v>2453</v>
      </c>
      <c r="C36" s="12" t="s">
        <v>2407</v>
      </c>
      <c r="D36" s="12" t="s">
        <v>2385</v>
      </c>
      <c r="E36" s="12" t="s">
        <v>1610</v>
      </c>
      <c r="F36" s="12" t="s">
        <v>1611</v>
      </c>
      <c r="G36" s="12" t="str">
        <f aca="false">IFERROR(INDEX('Employer Master'!$L$5:$L$99,MATCH(E36,'Employer Master'!$A$5:$A$99,0)),"")</f>
        <v>BRK-08</v>
      </c>
      <c r="H36" s="12" t="n">
        <v>2</v>
      </c>
    </row>
    <row r="37" customFormat="false" ht="15" hidden="false" customHeight="true" outlineLevel="0" collapsed="false">
      <c r="A37" s="10" t="s">
        <v>2454</v>
      </c>
      <c r="B37" s="10" t="s">
        <v>2455</v>
      </c>
      <c r="C37" s="10" t="s">
        <v>2404</v>
      </c>
      <c r="D37" s="10" t="s">
        <v>2393</v>
      </c>
      <c r="E37" s="10" t="s">
        <v>1612</v>
      </c>
      <c r="F37" s="10" t="s">
        <v>1613</v>
      </c>
      <c r="G37" s="10" t="str">
        <f aca="false">IFERROR(INDEX('Employer Master'!$L$5:$L$99,MATCH(E37,'Employer Master'!$A$5:$A$99,0)),"")</f>
        <v>BRK-09</v>
      </c>
      <c r="H37" s="10" t="n">
        <v>2</v>
      </c>
    </row>
    <row r="38" customFormat="false" ht="15" hidden="false" customHeight="true" outlineLevel="0" collapsed="false">
      <c r="A38" s="12" t="s">
        <v>2456</v>
      </c>
      <c r="B38" s="12" t="s">
        <v>2457</v>
      </c>
      <c r="C38" s="12" t="s">
        <v>2417</v>
      </c>
      <c r="D38" s="12" t="s">
        <v>2393</v>
      </c>
      <c r="E38" s="12" t="s">
        <v>1614</v>
      </c>
      <c r="F38" s="12" t="s">
        <v>1615</v>
      </c>
      <c r="G38" s="12" t="str">
        <f aca="false">IFERROR(INDEX('Employer Master'!$L$5:$L$99,MATCH(E38,'Employer Master'!$A$5:$A$99,0)),"")</f>
        <v>BRK-10</v>
      </c>
      <c r="H38" s="12" t="n">
        <v>2</v>
      </c>
    </row>
    <row r="39" customFormat="false" ht="15" hidden="false" customHeight="true" outlineLevel="0" collapsed="false">
      <c r="A39" s="10" t="s">
        <v>2458</v>
      </c>
      <c r="B39" s="10" t="s">
        <v>2459</v>
      </c>
      <c r="C39" s="10" t="s">
        <v>2401</v>
      </c>
      <c r="D39" s="10" t="s">
        <v>2385</v>
      </c>
      <c r="E39" s="10" t="s">
        <v>1616</v>
      </c>
      <c r="F39" s="10" t="s">
        <v>1617</v>
      </c>
      <c r="G39" s="10" t="str">
        <f aca="false">IFERROR(INDEX('Employer Master'!$L$5:$L$99,MATCH(E39,'Employer Master'!$A$5:$A$99,0)),"")</f>
        <v>BRK-11</v>
      </c>
      <c r="H39" s="10" t="n">
        <v>1</v>
      </c>
    </row>
    <row r="40" customFormat="false" ht="15" hidden="false" customHeight="true" outlineLevel="0" collapsed="false">
      <c r="A40" s="12" t="s">
        <v>2460</v>
      </c>
      <c r="B40" s="12" t="s">
        <v>2461</v>
      </c>
      <c r="C40" s="12" t="s">
        <v>2401</v>
      </c>
      <c r="D40" s="12" t="s">
        <v>2385</v>
      </c>
      <c r="E40" s="12" t="s">
        <v>1619</v>
      </c>
      <c r="F40" s="12" t="s">
        <v>1620</v>
      </c>
      <c r="G40" s="12" t="str">
        <f aca="false">IFERROR(INDEX('Employer Master'!$L$5:$L$99,MATCH(E40,'Employer Master'!$A$5:$A$99,0)),"")</f>
        <v>BRK-12</v>
      </c>
      <c r="H40" s="12" t="n">
        <v>1</v>
      </c>
    </row>
    <row r="41" customFormat="false" ht="15" hidden="false" customHeight="true" outlineLevel="0" collapsed="false">
      <c r="A41" s="10" t="s">
        <v>2462</v>
      </c>
      <c r="B41" s="10" t="s">
        <v>2463</v>
      </c>
      <c r="C41" s="10" t="s">
        <v>2417</v>
      </c>
      <c r="D41" s="10" t="s">
        <v>2393</v>
      </c>
      <c r="E41" s="10" t="s">
        <v>1622</v>
      </c>
      <c r="F41" s="10" t="s">
        <v>1623</v>
      </c>
      <c r="G41" s="10" t="str">
        <f aca="false">IFERROR(INDEX('Employer Master'!$L$5:$L$99,MATCH(E41,'Employer Master'!$A$5:$A$99,0)),"")</f>
        <v>BRK-13</v>
      </c>
      <c r="H41" s="10" t="n">
        <v>1</v>
      </c>
    </row>
    <row r="42" customFormat="false" ht="15" hidden="false" customHeight="true" outlineLevel="0" collapsed="false">
      <c r="A42" s="12" t="s">
        <v>2464</v>
      </c>
      <c r="B42" s="12" t="s">
        <v>2465</v>
      </c>
      <c r="C42" s="12" t="s">
        <v>2401</v>
      </c>
      <c r="D42" s="12" t="s">
        <v>2385</v>
      </c>
      <c r="E42" s="12" t="s">
        <v>1625</v>
      </c>
      <c r="F42" s="12" t="s">
        <v>1626</v>
      </c>
      <c r="G42" s="12" t="str">
        <f aca="false">IFERROR(INDEX('Employer Master'!$L$5:$L$99,MATCH(E42,'Employer Master'!$A$5:$A$99,0)),"")</f>
        <v>BRK-16</v>
      </c>
      <c r="H42" s="12" t="n">
        <v>1</v>
      </c>
    </row>
    <row r="43" customFormat="false" ht="15" hidden="false" customHeight="true" outlineLevel="0" collapsed="false">
      <c r="A43" s="10" t="s">
        <v>2466</v>
      </c>
      <c r="B43" s="10" t="s">
        <v>2467</v>
      </c>
      <c r="C43" s="10" t="s">
        <v>2417</v>
      </c>
      <c r="D43" s="10" t="s">
        <v>2393</v>
      </c>
      <c r="E43" s="10" t="s">
        <v>1628</v>
      </c>
      <c r="F43" s="10" t="s">
        <v>1629</v>
      </c>
      <c r="G43" s="10" t="str">
        <f aca="false">IFERROR(INDEX('Employer Master'!$L$5:$L$99,MATCH(E43,'Employer Master'!$A$5:$A$99,0)),"")</f>
        <v>BRK-17</v>
      </c>
      <c r="H43" s="10" t="n">
        <v>1</v>
      </c>
    </row>
    <row r="44" customFormat="false" ht="15" hidden="false" customHeight="true" outlineLevel="0" collapsed="false">
      <c r="A44" s="12" t="s">
        <v>2468</v>
      </c>
      <c r="B44" s="12" t="s">
        <v>1930</v>
      </c>
      <c r="C44" s="12" t="s">
        <v>2417</v>
      </c>
      <c r="D44" s="12" t="s">
        <v>2393</v>
      </c>
      <c r="E44" s="12" t="s">
        <v>1631</v>
      </c>
      <c r="F44" s="12" t="s">
        <v>1632</v>
      </c>
      <c r="G44" s="12" t="str">
        <f aca="false">IFERROR(INDEX('Employer Master'!$L$5:$L$99,MATCH(E44,'Employer Master'!$A$5:$A$99,0)),"")</f>
        <v>BRK-20</v>
      </c>
      <c r="H44" s="12" t="n">
        <v>2</v>
      </c>
    </row>
    <row r="45" customFormat="false" ht="15" hidden="false" customHeight="true" outlineLevel="0" collapsed="false">
      <c r="A45" s="10" t="s">
        <v>2469</v>
      </c>
      <c r="B45" s="10" t="s">
        <v>2470</v>
      </c>
      <c r="C45" s="10" t="s">
        <v>2412</v>
      </c>
      <c r="D45" s="10" t="s">
        <v>2385</v>
      </c>
      <c r="E45" s="10" t="s">
        <v>1634</v>
      </c>
      <c r="F45" s="10" t="s">
        <v>1635</v>
      </c>
      <c r="G45" s="10" t="str">
        <f aca="false">IFERROR(INDEX('Employer Master'!$L$5:$L$99,MATCH(E45,'Employer Master'!$A$5:$A$99,0)),"")</f>
        <v>BRK-21</v>
      </c>
      <c r="H45" s="10" t="n">
        <v>2</v>
      </c>
    </row>
    <row r="46" customFormat="false" ht="15" hidden="false" customHeight="true" outlineLevel="0" collapsed="false">
      <c r="A46" s="12" t="s">
        <v>2471</v>
      </c>
      <c r="B46" s="12" t="s">
        <v>2472</v>
      </c>
      <c r="C46" s="12" t="s">
        <v>2388</v>
      </c>
      <c r="D46" s="12" t="s">
        <v>2385</v>
      </c>
      <c r="E46" s="12" t="s">
        <v>1637</v>
      </c>
      <c r="F46" s="12" t="s">
        <v>1638</v>
      </c>
      <c r="G46" s="12" t="str">
        <f aca="false">IFERROR(INDEX('Employer Master'!$L$5:$L$99,MATCH(E46,'Employer Master'!$A$5:$A$99,0)),"")</f>
        <v>BRK-24</v>
      </c>
      <c r="H46" s="12" t="n">
        <v>1</v>
      </c>
    </row>
    <row r="47" customFormat="false" ht="15" hidden="false" customHeight="true" outlineLevel="0" collapsed="false">
      <c r="A47" s="10" t="s">
        <v>2473</v>
      </c>
      <c r="B47" s="10" t="s">
        <v>2474</v>
      </c>
      <c r="C47" s="10" t="s">
        <v>2398</v>
      </c>
      <c r="D47" s="10" t="s">
        <v>2393</v>
      </c>
      <c r="E47" s="10" t="s">
        <v>1640</v>
      </c>
      <c r="F47" s="10" t="s">
        <v>1641</v>
      </c>
      <c r="G47" s="10" t="str">
        <f aca="false">IFERROR(INDEX('Employer Master'!$L$5:$L$99,MATCH(E47,'Employer Master'!$A$5:$A$99,0)),"")</f>
        <v>BRK-26</v>
      </c>
      <c r="H47" s="10" t="n">
        <v>1</v>
      </c>
    </row>
    <row r="48" customFormat="false" ht="15" hidden="false" customHeight="true" outlineLevel="0" collapsed="false">
      <c r="A48" s="12" t="s">
        <v>2475</v>
      </c>
      <c r="B48" s="12" t="s">
        <v>2031</v>
      </c>
      <c r="C48" s="12" t="s">
        <v>361</v>
      </c>
      <c r="D48" s="12" t="s">
        <v>2393</v>
      </c>
      <c r="E48" s="12" t="s">
        <v>1642</v>
      </c>
      <c r="F48" s="12" t="s">
        <v>1643</v>
      </c>
      <c r="G48" s="12" t="str">
        <f aca="false">IFERROR(INDEX('Employer Master'!$L$5:$L$99,MATCH(E48,'Employer Master'!$A$5:$A$99,0)),"")</f>
        <v>BRK-30</v>
      </c>
      <c r="H48" s="12" t="n">
        <v>1</v>
      </c>
    </row>
    <row r="49" customFormat="false" ht="15" hidden="false" customHeight="true" outlineLevel="0" collapsed="false">
      <c r="A49" s="10" t="s">
        <v>2476</v>
      </c>
      <c r="B49" s="10" t="s">
        <v>2477</v>
      </c>
      <c r="C49" s="10" t="s">
        <v>361</v>
      </c>
      <c r="D49" s="10" t="s">
        <v>2393</v>
      </c>
      <c r="E49" s="10" t="s">
        <v>1644</v>
      </c>
      <c r="F49" s="10" t="s">
        <v>1645</v>
      </c>
      <c r="G49" s="10" t="str">
        <f aca="false">IFERROR(INDEX('Employer Master'!$L$5:$L$99,MATCH(E49,'Employer Master'!$A$5:$A$99,0)),"")</f>
        <v>BRK-04</v>
      </c>
      <c r="H49" s="10" t="n">
        <v>1</v>
      </c>
    </row>
    <row r="50" customFormat="false" ht="15" hidden="false" customHeight="true" outlineLevel="0" collapsed="false">
      <c r="A50" s="12" t="s">
        <v>2478</v>
      </c>
      <c r="B50" s="12" t="s">
        <v>1824</v>
      </c>
      <c r="C50" s="12" t="s">
        <v>2392</v>
      </c>
      <c r="D50" s="12" t="s">
        <v>2393</v>
      </c>
      <c r="E50" s="12" t="s">
        <v>1646</v>
      </c>
      <c r="F50" s="12" t="s">
        <v>1647</v>
      </c>
      <c r="G50" s="12" t="str">
        <f aca="false">IFERROR(INDEX('Employer Master'!$L$5:$L$99,MATCH(E50,'Employer Master'!$A$5:$A$99,0)),"")</f>
        <v>BRK-05</v>
      </c>
      <c r="H50" s="12" t="n">
        <v>1</v>
      </c>
    </row>
    <row r="51" customFormat="false" ht="15" hidden="false" customHeight="true" outlineLevel="0" collapsed="false">
      <c r="A51" s="10" t="s">
        <v>2479</v>
      </c>
      <c r="B51" s="10" t="s">
        <v>2480</v>
      </c>
      <c r="C51" s="10" t="s">
        <v>2388</v>
      </c>
      <c r="D51" s="10" t="s">
        <v>2385</v>
      </c>
      <c r="E51" s="10" t="s">
        <v>1648</v>
      </c>
      <c r="F51" s="10" t="s">
        <v>1649</v>
      </c>
      <c r="G51" s="10" t="str">
        <f aca="false">IFERROR(INDEX('Employer Master'!$L$5:$L$99,MATCH(E51,'Employer Master'!$A$5:$A$99,0)),"")</f>
        <v>BRK-14</v>
      </c>
      <c r="H51" s="10" t="n">
        <v>2</v>
      </c>
    </row>
    <row r="52" customFormat="false" ht="15" hidden="false" customHeight="true" outlineLevel="0" collapsed="false">
      <c r="A52" s="12" t="s">
        <v>2481</v>
      </c>
      <c r="B52" s="12" t="s">
        <v>2482</v>
      </c>
      <c r="C52" s="12" t="s">
        <v>361</v>
      </c>
      <c r="D52" s="12" t="s">
        <v>2393</v>
      </c>
      <c r="E52" s="12" t="s">
        <v>1651</v>
      </c>
      <c r="F52" s="12" t="s">
        <v>1652</v>
      </c>
      <c r="G52" s="12" t="str">
        <f aca="false">IFERROR(INDEX('Employer Master'!$L$5:$L$99,MATCH(E52,'Employer Master'!$A$5:$A$99,0)),"")</f>
        <v>BRK-15</v>
      </c>
      <c r="H52" s="12" t="n">
        <v>2</v>
      </c>
    </row>
    <row r="53" customFormat="false" ht="15" hidden="false" customHeight="true" outlineLevel="0" collapsed="false">
      <c r="A53" s="10" t="s">
        <v>2483</v>
      </c>
      <c r="B53" s="10" t="s">
        <v>2484</v>
      </c>
      <c r="C53" s="10" t="s">
        <v>2392</v>
      </c>
      <c r="D53" s="10" t="s">
        <v>2393</v>
      </c>
      <c r="E53" s="10" t="s">
        <v>1654</v>
      </c>
      <c r="F53" s="10" t="s">
        <v>1655</v>
      </c>
      <c r="G53" s="10" t="str">
        <f aca="false">IFERROR(INDEX('Employer Master'!$L$5:$L$99,MATCH(E53,'Employer Master'!$A$5:$A$99,0)),"")</f>
        <v>BRK-18</v>
      </c>
      <c r="H53" s="10" t="n">
        <v>2</v>
      </c>
    </row>
    <row r="54" customFormat="false" ht="15" hidden="false" customHeight="true" outlineLevel="0" collapsed="false">
      <c r="A54" s="12" t="s">
        <v>2485</v>
      </c>
      <c r="B54" s="12" t="s">
        <v>2486</v>
      </c>
      <c r="C54" s="12" t="s">
        <v>2407</v>
      </c>
      <c r="D54" s="12" t="s">
        <v>2385</v>
      </c>
      <c r="E54" s="12" t="s">
        <v>1657</v>
      </c>
      <c r="F54" s="12" t="s">
        <v>1658</v>
      </c>
      <c r="G54" s="12" t="str">
        <f aca="false">IFERROR(INDEX('Employer Master'!$L$5:$L$99,MATCH(E54,'Employer Master'!$A$5:$A$99,0)),"")</f>
        <v>BRK-19</v>
      </c>
      <c r="H54" s="12" t="n">
        <v>2</v>
      </c>
    </row>
    <row r="55" customFormat="false" ht="15" hidden="false" customHeight="true" outlineLevel="0" collapsed="false">
      <c r="A55" s="10" t="s">
        <v>2487</v>
      </c>
      <c r="B55" s="10" t="s">
        <v>2488</v>
      </c>
      <c r="C55" s="10" t="s">
        <v>2388</v>
      </c>
      <c r="D55" s="10" t="s">
        <v>2385</v>
      </c>
      <c r="E55" s="10" t="s">
        <v>1660</v>
      </c>
      <c r="F55" s="10" t="s">
        <v>1661</v>
      </c>
      <c r="G55" s="10" t="str">
        <f aca="false">IFERROR(INDEX('Employer Master'!$L$5:$L$99,MATCH(E55,'Employer Master'!$A$5:$A$99,0)),"")</f>
        <v>BRK-25</v>
      </c>
      <c r="H55" s="10" t="n">
        <v>2</v>
      </c>
    </row>
    <row r="56" customFormat="false" ht="15" hidden="false" customHeight="true" outlineLevel="0" collapsed="false">
      <c r="A56" s="12" t="s">
        <v>2489</v>
      </c>
      <c r="B56" s="12" t="s">
        <v>2490</v>
      </c>
      <c r="C56" s="12" t="s">
        <v>2407</v>
      </c>
      <c r="D56" s="12" t="s">
        <v>2385</v>
      </c>
      <c r="E56" s="12" t="s">
        <v>1663</v>
      </c>
      <c r="F56" s="12" t="s">
        <v>1664</v>
      </c>
      <c r="G56" s="12" t="str">
        <f aca="false">IFERROR(INDEX('Employer Master'!$L$5:$L$99,MATCH(E56,'Employer Master'!$A$5:$A$99,0)),"")</f>
        <v>BRK-06</v>
      </c>
      <c r="H56" s="12" t="n">
        <v>1</v>
      </c>
    </row>
    <row r="57" customFormat="false" ht="15" hidden="false" customHeight="true" outlineLevel="0" collapsed="false">
      <c r="A57" s="10" t="s">
        <v>2491</v>
      </c>
      <c r="B57" s="10" t="s">
        <v>2492</v>
      </c>
      <c r="C57" s="10" t="s">
        <v>361</v>
      </c>
      <c r="D57" s="10" t="s">
        <v>2393</v>
      </c>
      <c r="E57" s="10" t="s">
        <v>1665</v>
      </c>
      <c r="F57" s="10" t="s">
        <v>1666</v>
      </c>
      <c r="G57" s="10" t="str">
        <f aca="false">IFERROR(INDEX('Employer Master'!$L$5:$L$99,MATCH(E57,'Employer Master'!$A$5:$A$99,0)),"")</f>
        <v>BRK-07</v>
      </c>
      <c r="H57" s="10" t="n">
        <v>1</v>
      </c>
    </row>
    <row r="58" customFormat="false" ht="15" hidden="false" customHeight="true" outlineLevel="0" collapsed="false">
      <c r="A58" s="12" t="s">
        <v>2493</v>
      </c>
      <c r="B58" s="12" t="s">
        <v>2494</v>
      </c>
      <c r="C58" s="12" t="s">
        <v>2384</v>
      </c>
      <c r="D58" s="12" t="s">
        <v>2385</v>
      </c>
      <c r="E58" s="12" t="s">
        <v>1667</v>
      </c>
      <c r="F58" s="12" t="s">
        <v>1668</v>
      </c>
      <c r="G58" s="12" t="str">
        <f aca="false">IFERROR(INDEX('Employer Master'!$L$5:$L$99,MATCH(E58,'Employer Master'!$A$5:$A$99,0)),"")</f>
        <v>BRK-08</v>
      </c>
      <c r="H58" s="12" t="n">
        <v>1</v>
      </c>
    </row>
    <row r="59" customFormat="false" ht="15" hidden="false" customHeight="true" outlineLevel="0" collapsed="false">
      <c r="A59" s="10" t="s">
        <v>2495</v>
      </c>
      <c r="B59" s="10" t="s">
        <v>2496</v>
      </c>
      <c r="C59" s="10" t="s">
        <v>2407</v>
      </c>
      <c r="D59" s="10" t="s">
        <v>2385</v>
      </c>
      <c r="E59" s="10" t="s">
        <v>1669</v>
      </c>
      <c r="F59" s="10" t="s">
        <v>1670</v>
      </c>
      <c r="G59" s="10" t="str">
        <f aca="false">IFERROR(INDEX('Employer Master'!$L$5:$L$99,MATCH(E59,'Employer Master'!$A$5:$A$99,0)),"")</f>
        <v>BRK-09</v>
      </c>
      <c r="H59" s="10" t="n">
        <v>1</v>
      </c>
    </row>
    <row r="60" customFormat="false" ht="15" hidden="false" customHeight="true" outlineLevel="0" collapsed="false">
      <c r="A60" s="12" t="s">
        <v>2497</v>
      </c>
      <c r="B60" s="12" t="s">
        <v>2498</v>
      </c>
      <c r="C60" s="12" t="s">
        <v>2404</v>
      </c>
      <c r="D60" s="12" t="s">
        <v>2393</v>
      </c>
      <c r="E60" s="12" t="s">
        <v>1671</v>
      </c>
      <c r="F60" s="12" t="s">
        <v>1672</v>
      </c>
      <c r="G60" s="12" t="str">
        <f aca="false">IFERROR(INDEX('Employer Master'!$L$5:$L$99,MATCH(E60,'Employer Master'!$A$5:$A$99,0)),"")</f>
        <v>BRK-10</v>
      </c>
      <c r="H60" s="12" t="n">
        <v>1</v>
      </c>
    </row>
    <row r="61" customFormat="false" ht="15" hidden="false" customHeight="true" outlineLevel="0" collapsed="false">
      <c r="A61" s="10" t="s">
        <v>2499</v>
      </c>
      <c r="B61" s="10" t="s">
        <v>2500</v>
      </c>
      <c r="C61" s="10" t="s">
        <v>2417</v>
      </c>
      <c r="D61" s="10" t="s">
        <v>2393</v>
      </c>
      <c r="E61" s="10" t="s">
        <v>1673</v>
      </c>
      <c r="F61" s="10" t="s">
        <v>1674</v>
      </c>
      <c r="G61" s="10" t="str">
        <f aca="false">IFERROR(INDEX('Employer Master'!$L$5:$L$99,MATCH(E61,'Employer Master'!$A$5:$A$99,0)),"")</f>
        <v>BRK-16</v>
      </c>
      <c r="H61" s="10" t="n">
        <v>1</v>
      </c>
    </row>
    <row r="62" customFormat="false" ht="15" hidden="false" customHeight="true" outlineLevel="0" collapsed="false">
      <c r="A62" s="12" t="s">
        <v>2501</v>
      </c>
      <c r="B62" s="12" t="s">
        <v>2502</v>
      </c>
      <c r="C62" s="12" t="s">
        <v>2407</v>
      </c>
      <c r="D62" s="12" t="s">
        <v>2385</v>
      </c>
      <c r="E62" s="12" t="s">
        <v>1675</v>
      </c>
      <c r="F62" s="12" t="s">
        <v>1676</v>
      </c>
      <c r="G62" s="12" t="str">
        <f aca="false">IFERROR(INDEX('Employer Master'!$L$5:$L$99,MATCH(E62,'Employer Master'!$A$5:$A$99,0)),"")</f>
        <v>BRK-17</v>
      </c>
      <c r="H62" s="12" t="n">
        <v>1</v>
      </c>
    </row>
    <row r="63" customFormat="false" ht="15" hidden="false" customHeight="true" outlineLevel="0" collapsed="false">
      <c r="A63" s="10" t="s">
        <v>2503</v>
      </c>
      <c r="B63" s="10" t="s">
        <v>2504</v>
      </c>
      <c r="C63" s="10" t="s">
        <v>2417</v>
      </c>
      <c r="D63" s="10" t="s">
        <v>2393</v>
      </c>
      <c r="E63" s="10" t="s">
        <v>1677</v>
      </c>
      <c r="F63" s="10" t="s">
        <v>1678</v>
      </c>
      <c r="G63" s="10" t="str">
        <f aca="false">IFERROR(INDEX('Employer Master'!$L$5:$L$99,MATCH(E63,'Employer Master'!$A$5:$A$99,0)),"")</f>
        <v>BRK-20</v>
      </c>
      <c r="H63" s="10" t="n">
        <v>1</v>
      </c>
    </row>
    <row r="64" customFormat="false" ht="15" hidden="false" customHeight="true" outlineLevel="0" collapsed="false">
      <c r="A64" s="12" t="s">
        <v>2505</v>
      </c>
      <c r="B64" s="12" t="s">
        <v>2506</v>
      </c>
      <c r="C64" s="12" t="s">
        <v>2407</v>
      </c>
      <c r="D64" s="12" t="s">
        <v>2385</v>
      </c>
      <c r="E64" s="12" t="s">
        <v>1679</v>
      </c>
      <c r="F64" s="12" t="s">
        <v>1680</v>
      </c>
      <c r="G64" s="12" t="str">
        <f aca="false">IFERROR(INDEX('Employer Master'!$L$5:$L$99,MATCH(E64,'Employer Master'!$A$5:$A$99,0)),"")</f>
        <v>BRK-21</v>
      </c>
      <c r="H64" s="12" t="n">
        <v>1</v>
      </c>
    </row>
    <row r="65" customFormat="false" ht="15" hidden="false" customHeight="true" outlineLevel="0" collapsed="false">
      <c r="A65" s="10" t="s">
        <v>2507</v>
      </c>
      <c r="B65" s="10" t="s">
        <v>2508</v>
      </c>
      <c r="C65" s="10" t="s">
        <v>2388</v>
      </c>
      <c r="D65" s="10" t="s">
        <v>2385</v>
      </c>
      <c r="E65" s="10" t="s">
        <v>1681</v>
      </c>
      <c r="F65" s="10" t="s">
        <v>1682</v>
      </c>
      <c r="G65" s="10" t="str">
        <f aca="false">IFERROR(INDEX('Employer Master'!$L$5:$L$99,MATCH(E65,'Employer Master'!$A$5:$A$99,0)),"")</f>
        <v>BRK-24</v>
      </c>
      <c r="H65" s="10" t="n">
        <v>1</v>
      </c>
    </row>
    <row r="66" customFormat="false" ht="15" hidden="false" customHeight="true" outlineLevel="0" collapsed="false">
      <c r="A66" s="12" t="s">
        <v>2509</v>
      </c>
      <c r="B66" s="12" t="s">
        <v>2279</v>
      </c>
      <c r="C66" s="12" t="s">
        <v>2388</v>
      </c>
      <c r="D66" s="12" t="s">
        <v>2385</v>
      </c>
      <c r="E66" s="12" t="s">
        <v>1683</v>
      </c>
      <c r="F66" s="12" t="s">
        <v>1684</v>
      </c>
      <c r="G66" s="12" t="str">
        <f aca="false">IFERROR(INDEX('Employer Master'!$L$5:$L$99,MATCH(E66,'Employer Master'!$A$5:$A$99,0)),"")</f>
        <v>BRK-26</v>
      </c>
      <c r="H66" s="12" t="n">
        <v>1</v>
      </c>
    </row>
    <row r="67" customFormat="false" ht="15" hidden="false" customHeight="true" outlineLevel="0" collapsed="false">
      <c r="A67" s="10" t="s">
        <v>2510</v>
      </c>
      <c r="B67" s="10" t="s">
        <v>2511</v>
      </c>
      <c r="C67" s="10" t="s">
        <v>2401</v>
      </c>
      <c r="D67" s="10" t="s">
        <v>2385</v>
      </c>
      <c r="E67" s="10" t="s">
        <v>1685</v>
      </c>
      <c r="F67" s="10" t="s">
        <v>1686</v>
      </c>
      <c r="G67" s="10" t="str">
        <f aca="false">IFERROR(INDEX('Employer Master'!$L$5:$L$99,MATCH(E67,'Employer Master'!$A$5:$A$99,0)),"")</f>
        <v>BRK-30</v>
      </c>
      <c r="H67" s="10" t="n">
        <v>1</v>
      </c>
    </row>
    <row r="68" customFormat="false" ht="15" hidden="false" customHeight="true" outlineLevel="0" collapsed="false">
      <c r="A68" s="12" t="s">
        <v>2512</v>
      </c>
      <c r="B68" s="12" t="s">
        <v>2513</v>
      </c>
      <c r="C68" s="12" t="s">
        <v>2417</v>
      </c>
      <c r="D68" s="12" t="s">
        <v>2393</v>
      </c>
      <c r="E68" s="12" t="s">
        <v>1687</v>
      </c>
      <c r="F68" s="12" t="s">
        <v>1688</v>
      </c>
      <c r="G68" s="12" t="str">
        <f aca="false">IFERROR(INDEX('Employer Master'!$L$5:$L$99,MATCH(E68,'Employer Master'!$A$5:$A$99,0)),"")</f>
        <v>BRK-11</v>
      </c>
      <c r="H68" s="12" t="n">
        <v>1</v>
      </c>
    </row>
    <row r="69" customFormat="false" ht="15" hidden="false" customHeight="true" outlineLevel="0" collapsed="false">
      <c r="A69" s="10" t="s">
        <v>2514</v>
      </c>
      <c r="B69" s="10" t="s">
        <v>2515</v>
      </c>
      <c r="C69" s="10" t="s">
        <v>2388</v>
      </c>
      <c r="D69" s="10" t="s">
        <v>2385</v>
      </c>
      <c r="E69" s="10" t="s">
        <v>1689</v>
      </c>
      <c r="F69" s="10" t="s">
        <v>1690</v>
      </c>
      <c r="G69" s="10" t="str">
        <f aca="false">IFERROR(INDEX('Employer Master'!$L$5:$L$99,MATCH(E69,'Employer Master'!$A$5:$A$99,0)),"")</f>
        <v>BRK-12</v>
      </c>
      <c r="H69" s="10" t="n">
        <v>1</v>
      </c>
    </row>
    <row r="70" customFormat="false" ht="15" hidden="false" customHeight="true" outlineLevel="0" collapsed="false">
      <c r="A70" s="12" t="s">
        <v>2516</v>
      </c>
      <c r="B70" s="12" t="s">
        <v>2517</v>
      </c>
      <c r="C70" s="12" t="s">
        <v>2384</v>
      </c>
      <c r="D70" s="12" t="s">
        <v>2385</v>
      </c>
      <c r="E70" s="12" t="s">
        <v>1691</v>
      </c>
      <c r="F70" s="12" t="s">
        <v>1692</v>
      </c>
      <c r="G70" s="12" t="str">
        <f aca="false">IFERROR(INDEX('Employer Master'!$L$5:$L$99,MATCH(E70,'Employer Master'!$A$5:$A$99,0)),"")</f>
        <v>BRK-13</v>
      </c>
      <c r="H70" s="12" t="n">
        <v>1</v>
      </c>
    </row>
    <row r="71" customFormat="false" ht="15" hidden="false" customHeight="true" outlineLevel="0" collapsed="false">
      <c r="A71" s="10" t="s">
        <v>2518</v>
      </c>
      <c r="B71" s="10" t="s">
        <v>2519</v>
      </c>
      <c r="C71" s="10" t="s">
        <v>2407</v>
      </c>
      <c r="D71" s="10" t="s">
        <v>2385</v>
      </c>
      <c r="E71" s="10" t="s">
        <v>1693</v>
      </c>
      <c r="F71" s="10" t="s">
        <v>1694</v>
      </c>
      <c r="G71" s="10" t="str">
        <f aca="false">IFERROR(INDEX('Employer Master'!$L$5:$L$99,MATCH(E71,'Employer Master'!$A$5:$A$99,0)),"")</f>
        <v>BRK-27</v>
      </c>
      <c r="H71" s="10" t="n">
        <v>1</v>
      </c>
    </row>
    <row r="72" customFormat="false" ht="15" hidden="false" customHeight="true" outlineLevel="0" collapsed="false">
      <c r="A72" s="12" t="s">
        <v>2520</v>
      </c>
      <c r="B72" s="12" t="s">
        <v>2521</v>
      </c>
      <c r="C72" s="12" t="s">
        <v>2384</v>
      </c>
      <c r="D72" s="12" t="s">
        <v>2385</v>
      </c>
      <c r="E72" s="12" t="s">
        <v>1696</v>
      </c>
      <c r="F72" s="12" t="s">
        <v>1697</v>
      </c>
      <c r="G72" s="12" t="str">
        <f aca="false">IFERROR(INDEX('Employer Master'!$L$5:$L$99,MATCH(E72,'Employer Master'!$A$5:$A$99,0)),"")</f>
        <v>BRK-28</v>
      </c>
      <c r="H72" s="12" t="n">
        <v>1</v>
      </c>
    </row>
    <row r="73" customFormat="false" ht="15" hidden="false" customHeight="true" outlineLevel="0" collapsed="false">
      <c r="A73" s="10" t="s">
        <v>2522</v>
      </c>
      <c r="B73" s="10" t="s">
        <v>2523</v>
      </c>
      <c r="C73" s="10" t="s">
        <v>2388</v>
      </c>
      <c r="D73" s="10" t="s">
        <v>2385</v>
      </c>
      <c r="E73" s="10" t="s">
        <v>1699</v>
      </c>
      <c r="F73" s="10" t="s">
        <v>1700</v>
      </c>
      <c r="G73" s="10" t="str">
        <f aca="false">IFERROR(INDEX('Employer Master'!$L$5:$L$99,MATCH(E73,'Employer Master'!$A$5:$A$99,0)),"")</f>
        <v>BRK-29</v>
      </c>
      <c r="H73" s="10" t="n">
        <v>1</v>
      </c>
    </row>
    <row r="74" customFormat="false" ht="15" hidden="false" customHeight="true" outlineLevel="0" collapsed="false">
      <c r="A74" s="12" t="s">
        <v>2524</v>
      </c>
      <c r="B74" s="12" t="s">
        <v>2525</v>
      </c>
      <c r="C74" s="12" t="s">
        <v>2412</v>
      </c>
      <c r="D74" s="12" t="s">
        <v>2385</v>
      </c>
      <c r="E74" s="12" t="s">
        <v>1702</v>
      </c>
      <c r="F74" s="12" t="s">
        <v>1703</v>
      </c>
      <c r="G74" s="12" t="str">
        <f aca="false">IFERROR(INDEX('Employer Master'!$L$5:$L$99,MATCH(E74,'Employer Master'!$A$5:$A$99,0)),"")</f>
        <v>BRK-04</v>
      </c>
      <c r="H74" s="12" t="n">
        <v>1</v>
      </c>
    </row>
    <row r="75" customFormat="false" ht="15" hidden="false" customHeight="true" outlineLevel="0" collapsed="false">
      <c r="A75" s="10" t="s">
        <v>2526</v>
      </c>
      <c r="B75" s="10" t="s">
        <v>2527</v>
      </c>
      <c r="C75" s="10" t="s">
        <v>2388</v>
      </c>
      <c r="D75" s="10" t="s">
        <v>2385</v>
      </c>
      <c r="E75" s="10" t="s">
        <v>1704</v>
      </c>
      <c r="F75" s="10" t="s">
        <v>1705</v>
      </c>
      <c r="G75" s="10" t="str">
        <f aca="false">IFERROR(INDEX('Employer Master'!$L$5:$L$99,MATCH(E75,'Employer Master'!$A$5:$A$99,0)),"")</f>
        <v>BRK-05</v>
      </c>
      <c r="H75" s="10" t="n">
        <v>1</v>
      </c>
    </row>
    <row r="76" customFormat="false" ht="15" hidden="false" customHeight="true" outlineLevel="0" collapsed="false">
      <c r="A76" s="12" t="s">
        <v>2528</v>
      </c>
      <c r="B76" s="12" t="s">
        <v>2529</v>
      </c>
      <c r="C76" s="12" t="s">
        <v>2404</v>
      </c>
      <c r="D76" s="12" t="s">
        <v>2393</v>
      </c>
      <c r="E76" s="12" t="s">
        <v>1706</v>
      </c>
      <c r="F76" s="12" t="s">
        <v>1707</v>
      </c>
      <c r="G76" s="12" t="str">
        <f aca="false">IFERROR(INDEX('Employer Master'!$L$5:$L$99,MATCH(E76,'Employer Master'!$A$5:$A$99,0)),"")</f>
        <v>BRK-14</v>
      </c>
      <c r="H76" s="12" t="n">
        <v>1</v>
      </c>
    </row>
    <row r="77" customFormat="false" ht="15" hidden="false" customHeight="true" outlineLevel="0" collapsed="false">
      <c r="A77" s="10" t="s">
        <v>2530</v>
      </c>
      <c r="B77" s="10" t="s">
        <v>2531</v>
      </c>
      <c r="C77" s="10" t="s">
        <v>2404</v>
      </c>
      <c r="D77" s="10" t="s">
        <v>2393</v>
      </c>
      <c r="E77" s="10" t="s">
        <v>1708</v>
      </c>
      <c r="F77" s="10" t="s">
        <v>1709</v>
      </c>
      <c r="G77" s="10" t="str">
        <f aca="false">IFERROR(INDEX('Employer Master'!$L$5:$L$99,MATCH(E77,'Employer Master'!$A$5:$A$99,0)),"")</f>
        <v>BRK-15</v>
      </c>
      <c r="H77" s="10" t="n">
        <v>1</v>
      </c>
    </row>
    <row r="78" customFormat="false" ht="15" hidden="false" customHeight="true" outlineLevel="0" collapsed="false">
      <c r="A78" s="12" t="s">
        <v>2532</v>
      </c>
      <c r="B78" s="12" t="s">
        <v>2533</v>
      </c>
      <c r="C78" s="12" t="s">
        <v>2407</v>
      </c>
      <c r="D78" s="12" t="s">
        <v>2385</v>
      </c>
      <c r="E78" s="12" t="s">
        <v>1710</v>
      </c>
      <c r="F78" s="12" t="s">
        <v>1711</v>
      </c>
      <c r="G78" s="12" t="str">
        <f aca="false">IFERROR(INDEX('Employer Master'!$L$5:$L$99,MATCH(E78,'Employer Master'!$A$5:$A$99,0)),"")</f>
        <v>BRK-18</v>
      </c>
      <c r="H78" s="12" t="n">
        <v>1</v>
      </c>
    </row>
    <row r="79" customFormat="false" ht="15" hidden="false" customHeight="true" outlineLevel="0" collapsed="false">
      <c r="A79" s="10" t="s">
        <v>2534</v>
      </c>
      <c r="B79" s="10" t="s">
        <v>2535</v>
      </c>
      <c r="C79" s="10" t="s">
        <v>361</v>
      </c>
      <c r="D79" s="10" t="s">
        <v>2393</v>
      </c>
      <c r="E79" s="10" t="s">
        <v>1712</v>
      </c>
      <c r="F79" s="10" t="s">
        <v>1713</v>
      </c>
      <c r="G79" s="10" t="str">
        <f aca="false">IFERROR(INDEX('Employer Master'!$L$5:$L$99,MATCH(E79,'Employer Master'!$A$5:$A$99,0)),"")</f>
        <v>BRK-19</v>
      </c>
      <c r="H79" s="10" t="n">
        <v>1</v>
      </c>
    </row>
    <row r="80" customFormat="false" ht="15" hidden="false" customHeight="true" outlineLevel="0" collapsed="false">
      <c r="A80" s="12" t="s">
        <v>2536</v>
      </c>
      <c r="B80" s="12" t="s">
        <v>2537</v>
      </c>
      <c r="C80" s="12" t="s">
        <v>2401</v>
      </c>
      <c r="D80" s="12" t="s">
        <v>2385</v>
      </c>
      <c r="E80" s="12" t="s">
        <v>1714</v>
      </c>
      <c r="F80" s="12" t="s">
        <v>1715</v>
      </c>
      <c r="G80" s="12" t="str">
        <f aca="false">IFERROR(INDEX('Employer Master'!$L$5:$L$99,MATCH(E80,'Employer Master'!$A$5:$A$99,0)),"")</f>
        <v>BRK-25</v>
      </c>
      <c r="H80" s="12" t="n">
        <v>1</v>
      </c>
    </row>
    <row r="81" customFormat="false" ht="15" hidden="false" customHeight="true" outlineLevel="0" collapsed="false">
      <c r="A81" s="10" t="s">
        <v>2538</v>
      </c>
      <c r="B81" s="10" t="s">
        <v>2539</v>
      </c>
      <c r="C81" s="10" t="s">
        <v>2392</v>
      </c>
      <c r="D81" s="10" t="s">
        <v>2393</v>
      </c>
      <c r="E81" s="10" t="s">
        <v>1716</v>
      </c>
      <c r="F81" s="10" t="s">
        <v>1717</v>
      </c>
      <c r="G81" s="10" t="str">
        <f aca="false">IFERROR(INDEX('Employer Master'!$L$5:$L$99,MATCH(E81,'Employer Master'!$A$5:$A$99,0)),"")</f>
        <v>BRK-22</v>
      </c>
      <c r="H81" s="10" t="n">
        <v>1</v>
      </c>
    </row>
    <row r="82" customFormat="false" ht="15" hidden="false" customHeight="true" outlineLevel="0" collapsed="false">
      <c r="A82" s="12" t="s">
        <v>2540</v>
      </c>
      <c r="B82" s="12" t="s">
        <v>2541</v>
      </c>
      <c r="C82" s="12" t="s">
        <v>2384</v>
      </c>
      <c r="D82" s="12" t="s">
        <v>2385</v>
      </c>
      <c r="E82" s="12" t="s">
        <v>1719</v>
      </c>
      <c r="F82" s="12" t="s">
        <v>1720</v>
      </c>
      <c r="G82" s="12" t="str">
        <f aca="false">IFERROR(INDEX('Employer Master'!$L$5:$L$99,MATCH(E82,'Employer Master'!$A$5:$A$99,0)),"")</f>
        <v>BRK-23</v>
      </c>
      <c r="H82" s="12" t="n">
        <v>1</v>
      </c>
    </row>
    <row r="83" customFormat="false" ht="15" hidden="false" customHeight="true" outlineLevel="0" collapsed="false">
      <c r="A83" s="10" t="s">
        <v>2542</v>
      </c>
      <c r="B83" s="10" t="s">
        <v>2543</v>
      </c>
      <c r="C83" s="10" t="s">
        <v>2404</v>
      </c>
      <c r="D83" s="10" t="s">
        <v>2393</v>
      </c>
      <c r="E83" s="10" t="s">
        <v>1722</v>
      </c>
      <c r="F83" s="10" t="s">
        <v>1723</v>
      </c>
      <c r="G83" s="10" t="str">
        <f aca="false">IFERROR(INDEX('Employer Master'!$L$5:$L$99,MATCH(E83,'Employer Master'!$A$5:$A$99,0)),"")</f>
        <v>BRK-27</v>
      </c>
      <c r="H83" s="10" t="n">
        <v>1</v>
      </c>
    </row>
    <row r="84" customFormat="false" ht="15" hidden="false" customHeight="true" outlineLevel="0" collapsed="false">
      <c r="A84" s="12" t="s">
        <v>2544</v>
      </c>
      <c r="B84" s="12" t="s">
        <v>2545</v>
      </c>
      <c r="C84" s="12" t="s">
        <v>2412</v>
      </c>
      <c r="D84" s="12" t="s">
        <v>2385</v>
      </c>
      <c r="E84" s="12" t="s">
        <v>1724</v>
      </c>
      <c r="F84" s="12" t="s">
        <v>1725</v>
      </c>
      <c r="G84" s="12" t="str">
        <f aca="false">IFERROR(INDEX('Employer Master'!$L$5:$L$99,MATCH(E84,'Employer Master'!$A$5:$A$99,0)),"")</f>
        <v>BRK-28</v>
      </c>
      <c r="H84" s="12" t="n">
        <v>1</v>
      </c>
    </row>
    <row r="85" customFormat="false" ht="15" hidden="false" customHeight="true" outlineLevel="0" collapsed="false">
      <c r="A85" s="10" t="s">
        <v>2546</v>
      </c>
      <c r="B85" s="10" t="s">
        <v>2547</v>
      </c>
      <c r="C85" s="10" t="s">
        <v>2412</v>
      </c>
      <c r="D85" s="10" t="s">
        <v>2385</v>
      </c>
      <c r="E85" s="10" t="s">
        <v>1726</v>
      </c>
      <c r="F85" s="10" t="s">
        <v>1727</v>
      </c>
      <c r="G85" s="10" t="str">
        <f aca="false">IFERROR(INDEX('Employer Master'!$L$5:$L$99,MATCH(E85,'Employer Master'!$A$5:$A$99,0)),"")</f>
        <v>BRK-29</v>
      </c>
      <c r="H85" s="10" t="n">
        <v>1</v>
      </c>
    </row>
    <row r="86" customFormat="false" ht="15" hidden="false" customHeight="true" outlineLevel="0" collapsed="false">
      <c r="A86" s="12" t="s">
        <v>2548</v>
      </c>
      <c r="B86" s="12" t="s">
        <v>2549</v>
      </c>
      <c r="C86" s="12" t="s">
        <v>361</v>
      </c>
      <c r="D86" s="12" t="s">
        <v>2393</v>
      </c>
      <c r="E86" s="12" t="s">
        <v>1728</v>
      </c>
      <c r="F86" s="12" t="s">
        <v>1729</v>
      </c>
      <c r="G86" s="12" t="str">
        <f aca="false">IFERROR(INDEX('Employer Master'!$L$5:$L$99,MATCH(E86,'Employer Master'!$A$5:$A$99,0)),"")</f>
        <v>BRK-07</v>
      </c>
      <c r="H86" s="12" t="n">
        <v>1</v>
      </c>
    </row>
    <row r="87" customFormat="false" ht="15" hidden="false" customHeight="true" outlineLevel="0" collapsed="false">
      <c r="A87" s="10" t="s">
        <v>2550</v>
      </c>
      <c r="B87" s="10" t="s">
        <v>2551</v>
      </c>
      <c r="C87" s="10" t="s">
        <v>2388</v>
      </c>
      <c r="D87" s="10" t="s">
        <v>2385</v>
      </c>
      <c r="E87" s="10" t="s">
        <v>1730</v>
      </c>
      <c r="F87" s="10" t="s">
        <v>1731</v>
      </c>
      <c r="G87" s="10" t="str">
        <f aca="false">IFERROR(INDEX('Employer Master'!$L$5:$L$99,MATCH(E87,'Employer Master'!$A$5:$A$99,0)),"")</f>
        <v>BRK-08</v>
      </c>
      <c r="H87" s="10" t="n">
        <v>1</v>
      </c>
    </row>
    <row r="88" customFormat="false" ht="15" hidden="false" customHeight="true" outlineLevel="0" collapsed="false">
      <c r="A88" s="12" t="s">
        <v>2552</v>
      </c>
      <c r="B88" s="12" t="s">
        <v>2553</v>
      </c>
      <c r="C88" s="12" t="s">
        <v>2412</v>
      </c>
      <c r="D88" s="12" t="s">
        <v>2385</v>
      </c>
      <c r="E88" s="12" t="s">
        <v>1732</v>
      </c>
      <c r="F88" s="12" t="s">
        <v>1733</v>
      </c>
      <c r="G88" s="12" t="str">
        <f aca="false">IFERROR(INDEX('Employer Master'!$L$5:$L$99,MATCH(E88,'Employer Master'!$A$5:$A$99,0)),"")</f>
        <v>BRK-09</v>
      </c>
      <c r="H88" s="12" t="n">
        <v>1</v>
      </c>
    </row>
    <row r="89" customFormat="false" ht="15" hidden="false" customHeight="true" outlineLevel="0" collapsed="false">
      <c r="A89" s="10" t="s">
        <v>2554</v>
      </c>
      <c r="B89" s="10" t="s">
        <v>2555</v>
      </c>
      <c r="C89" s="10" t="s">
        <v>2412</v>
      </c>
      <c r="D89" s="10" t="s">
        <v>2385</v>
      </c>
      <c r="E89" s="10" t="s">
        <v>1734</v>
      </c>
      <c r="F89" s="10" t="s">
        <v>1735</v>
      </c>
      <c r="G89" s="10" t="str">
        <f aca="false">IFERROR(INDEX('Employer Master'!$L$5:$L$99,MATCH(E89,'Employer Master'!$A$5:$A$99,0)),"")</f>
        <v>BRK-10</v>
      </c>
      <c r="H89" s="10" t="n">
        <v>1</v>
      </c>
    </row>
    <row r="90" customFormat="false" ht="15" hidden="false" customHeight="true" outlineLevel="0" collapsed="false">
      <c r="A90" s="12" t="s">
        <v>2556</v>
      </c>
      <c r="B90" s="12" t="s">
        <v>2557</v>
      </c>
      <c r="C90" s="12" t="s">
        <v>361</v>
      </c>
      <c r="D90" s="12" t="s">
        <v>2393</v>
      </c>
      <c r="E90" s="12" t="s">
        <v>1736</v>
      </c>
      <c r="F90" s="12" t="s">
        <v>1737</v>
      </c>
      <c r="G90" s="12" t="str">
        <f aca="false">IFERROR(INDEX('Employer Master'!$L$5:$L$99,MATCH(E90,'Employer Master'!$A$5:$A$99,0)),"")</f>
        <v>BRK-16</v>
      </c>
      <c r="H90" s="12" t="n">
        <v>1</v>
      </c>
    </row>
    <row r="91" customFormat="false" ht="15" hidden="false" customHeight="true" outlineLevel="0" collapsed="false">
      <c r="A91" s="10" t="s">
        <v>2558</v>
      </c>
      <c r="B91" s="10" t="s">
        <v>2559</v>
      </c>
      <c r="C91" s="10" t="s">
        <v>2388</v>
      </c>
      <c r="D91" s="10" t="s">
        <v>2385</v>
      </c>
      <c r="E91" s="10" t="s">
        <v>1738</v>
      </c>
      <c r="F91" s="10" t="s">
        <v>1739</v>
      </c>
      <c r="G91" s="10" t="str">
        <f aca="false">IFERROR(INDEX('Employer Master'!$L$5:$L$99,MATCH(E91,'Employer Master'!$A$5:$A$99,0)),"")</f>
        <v>BRK-17</v>
      </c>
      <c r="H91" s="10" t="n">
        <v>1</v>
      </c>
    </row>
    <row r="92" customFormat="false" ht="15" hidden="false" customHeight="true" outlineLevel="0" collapsed="false">
      <c r="A92" s="12" t="s">
        <v>2560</v>
      </c>
      <c r="B92" s="12" t="s">
        <v>2561</v>
      </c>
      <c r="C92" s="12" t="s">
        <v>2388</v>
      </c>
      <c r="D92" s="12" t="s">
        <v>2385</v>
      </c>
      <c r="E92" s="12" t="s">
        <v>1740</v>
      </c>
      <c r="F92" s="12" t="s">
        <v>1741</v>
      </c>
      <c r="G92" s="12" t="str">
        <f aca="false">IFERROR(INDEX('Employer Master'!$L$5:$L$99,MATCH(E92,'Employer Master'!$A$5:$A$99,0)),"")</f>
        <v>BRK-20</v>
      </c>
      <c r="H92" s="12" t="n">
        <v>1</v>
      </c>
    </row>
    <row r="93" customFormat="false" ht="15" hidden="false" customHeight="true" outlineLevel="0" collapsed="false">
      <c r="A93" s="10" t="s">
        <v>2562</v>
      </c>
      <c r="B93" s="10" t="s">
        <v>2563</v>
      </c>
      <c r="C93" s="10" t="s">
        <v>2388</v>
      </c>
      <c r="D93" s="10" t="s">
        <v>2385</v>
      </c>
      <c r="E93" s="10" t="s">
        <v>1742</v>
      </c>
      <c r="F93" s="10" t="s">
        <v>1743</v>
      </c>
      <c r="G93" s="10" t="str">
        <f aca="false">IFERROR(INDEX('Employer Master'!$L$5:$L$99,MATCH(E93,'Employer Master'!$A$5:$A$99,0)),"")</f>
        <v>BRK-21</v>
      </c>
      <c r="H93" s="10" t="n">
        <v>1</v>
      </c>
    </row>
    <row r="94" customFormat="false" ht="15" hidden="false" customHeight="true" outlineLevel="0" collapsed="false">
      <c r="A94" s="12" t="s">
        <v>2564</v>
      </c>
      <c r="B94" s="12" t="s">
        <v>2565</v>
      </c>
      <c r="C94" s="12" t="s">
        <v>2412</v>
      </c>
      <c r="D94" s="12" t="s">
        <v>2385</v>
      </c>
      <c r="E94" s="12" t="s">
        <v>1744</v>
      </c>
      <c r="F94" s="12" t="s">
        <v>1745</v>
      </c>
      <c r="G94" s="12" t="str">
        <f aca="false">IFERROR(INDEX('Employer Master'!$L$5:$L$99,MATCH(E94,'Employer Master'!$A$5:$A$99,0)),"")</f>
        <v>BRK-24</v>
      </c>
      <c r="H94" s="12" t="n">
        <v>1</v>
      </c>
    </row>
    <row r="95" customFormat="false" ht="15" hidden="false" customHeight="true" outlineLevel="0" collapsed="false">
      <c r="A95" s="10" t="s">
        <v>2566</v>
      </c>
      <c r="B95" s="10" t="s">
        <v>2567</v>
      </c>
      <c r="C95" s="10" t="s">
        <v>2412</v>
      </c>
      <c r="D95" s="10" t="s">
        <v>2385</v>
      </c>
      <c r="E95" s="10" t="s">
        <v>1746</v>
      </c>
      <c r="F95" s="10" t="s">
        <v>1747</v>
      </c>
      <c r="G95" s="10" t="str">
        <f aca="false">IFERROR(INDEX('Employer Master'!$L$5:$L$99,MATCH(E95,'Employer Master'!$A$5:$A$99,0)),"")</f>
        <v>BRK-26</v>
      </c>
      <c r="H95" s="10" t="n">
        <v>1</v>
      </c>
    </row>
    <row r="96" customFormat="false" ht="15" hidden="false" customHeight="true" outlineLevel="0" collapsed="false">
      <c r="A96" s="12" t="s">
        <v>2568</v>
      </c>
      <c r="B96" s="12" t="s">
        <v>2569</v>
      </c>
      <c r="C96" s="12" t="s">
        <v>2388</v>
      </c>
      <c r="D96" s="12" t="s">
        <v>2385</v>
      </c>
      <c r="E96" s="12" t="s">
        <v>1748</v>
      </c>
      <c r="F96" s="12" t="s">
        <v>1749</v>
      </c>
      <c r="G96" s="12" t="str">
        <f aca="false">IFERROR(INDEX('Employer Master'!$L$5:$L$99,MATCH(E96,'Employer Master'!$A$5:$A$99,0)),"")</f>
        <v>BRK-30</v>
      </c>
      <c r="H96" s="12" t="n">
        <v>1</v>
      </c>
    </row>
    <row r="97" customFormat="false" ht="15" hidden="false" customHeight="true" outlineLevel="0" collapsed="false">
      <c r="A97" s="10" t="s">
        <v>2570</v>
      </c>
      <c r="B97" s="10" t="s">
        <v>2571</v>
      </c>
      <c r="C97" s="10" t="s">
        <v>361</v>
      </c>
      <c r="D97" s="10" t="s">
        <v>2393</v>
      </c>
      <c r="E97" s="10" t="s">
        <v>1750</v>
      </c>
      <c r="F97" s="10" t="s">
        <v>1751</v>
      </c>
      <c r="G97" s="10" t="str">
        <f aca="false">IFERROR(INDEX('Employer Master'!$L$5:$L$99,MATCH(E97,'Employer Master'!$A$5:$A$99,0)),"")</f>
        <v>BRK-06</v>
      </c>
      <c r="H97" s="10" t="n">
        <v>1</v>
      </c>
    </row>
    <row r="98" customFormat="false" ht="15" hidden="false" customHeight="true" outlineLevel="0" collapsed="false">
      <c r="A98" s="12" t="s">
        <v>2572</v>
      </c>
      <c r="B98" s="12" t="s">
        <v>2573</v>
      </c>
      <c r="C98" s="12" t="s">
        <v>361</v>
      </c>
      <c r="D98" s="12" t="s">
        <v>2393</v>
      </c>
      <c r="E98" s="12" t="s">
        <v>1752</v>
      </c>
      <c r="F98" s="12" t="s">
        <v>1753</v>
      </c>
      <c r="G98" s="12" t="str">
        <f aca="false">IFERROR(INDEX('Employer Master'!$L$5:$L$99,MATCH(E98,'Employer Master'!$A$5:$A$99,0)),"")</f>
        <v>BRK-11</v>
      </c>
      <c r="H98" s="12" t="n">
        <v>1</v>
      </c>
    </row>
    <row r="99" customFormat="false" ht="15" hidden="false" customHeight="true" outlineLevel="0" collapsed="false">
      <c r="A99" s="10" t="s">
        <v>2574</v>
      </c>
      <c r="B99" s="10" t="s">
        <v>2575</v>
      </c>
      <c r="C99" s="10" t="s">
        <v>2412</v>
      </c>
      <c r="D99" s="10" t="s">
        <v>2385</v>
      </c>
      <c r="E99" s="10" t="s">
        <v>1754</v>
      </c>
      <c r="F99" s="10" t="s">
        <v>1755</v>
      </c>
      <c r="G99" s="10" t="str">
        <f aca="false">IFERROR(INDEX('Employer Master'!$L$5:$L$99,MATCH(E99,'Employer Master'!$A$5:$A$99,0)),"")</f>
        <v>BRK-12</v>
      </c>
      <c r="H99" s="10" t="n">
        <v>1</v>
      </c>
    </row>
    <row r="100" customFormat="false" ht="15" hidden="false" customHeight="true" outlineLevel="0" collapsed="false">
      <c r="A100" s="12" t="s">
        <v>2576</v>
      </c>
      <c r="B100" s="12" t="s">
        <v>2577</v>
      </c>
      <c r="C100" s="12" t="s">
        <v>2412</v>
      </c>
      <c r="D100" s="12" t="s">
        <v>2385</v>
      </c>
      <c r="E100" s="12" t="s">
        <v>1756</v>
      </c>
      <c r="F100" s="12" t="s">
        <v>1757</v>
      </c>
      <c r="G100" s="12" t="str">
        <f aca="false">IFERROR(INDEX('Employer Master'!$L$5:$L$99,MATCH(E100,'Employer Master'!$A$5:$A$99,0)),"")</f>
        <v>BRK-13</v>
      </c>
      <c r="H100" s="12" t="n">
        <v>1</v>
      </c>
    </row>
    <row r="101" customFormat="false" ht="15" hidden="false" customHeight="true" outlineLevel="0" collapsed="false">
      <c r="A101" s="10" t="s">
        <v>2578</v>
      </c>
      <c r="B101" s="10" t="s">
        <v>2579</v>
      </c>
      <c r="C101" s="10" t="s">
        <v>2412</v>
      </c>
      <c r="D101" s="10" t="s">
        <v>2385</v>
      </c>
      <c r="E101" s="10" t="s">
        <v>1758</v>
      </c>
      <c r="F101" s="10" t="s">
        <v>1759</v>
      </c>
      <c r="G101" s="10" t="str">
        <f aca="false">IFERROR(INDEX('Employer Master'!$L$5:$L$99,MATCH(E101,'Employer Master'!$A$5:$A$99,0)),"")</f>
        <v>BRK-27</v>
      </c>
      <c r="H101" s="10" t="n">
        <v>1</v>
      </c>
    </row>
    <row r="102" customFormat="false" ht="15" hidden="false" customHeight="true" outlineLevel="0" collapsed="false">
      <c r="A102" s="12" t="s">
        <v>2580</v>
      </c>
      <c r="B102" s="12" t="s">
        <v>2581</v>
      </c>
      <c r="C102" s="12" t="s">
        <v>361</v>
      </c>
      <c r="D102" s="12" t="s">
        <v>2393</v>
      </c>
      <c r="E102" s="12" t="s">
        <v>1760</v>
      </c>
      <c r="F102" s="12" t="s">
        <v>1761</v>
      </c>
      <c r="G102" s="12" t="str">
        <f aca="false">IFERROR(INDEX('Employer Master'!$L$5:$L$99,MATCH(E102,'Employer Master'!$A$5:$A$99,0)),"")</f>
        <v>BRK-28</v>
      </c>
      <c r="H102" s="12" t="n">
        <v>1</v>
      </c>
    </row>
    <row r="103" customFormat="false" ht="15" hidden="false" customHeight="true" outlineLevel="0" collapsed="false">
      <c r="A103" s="10" t="s">
        <v>2582</v>
      </c>
      <c r="B103" s="10" t="s">
        <v>2583</v>
      </c>
      <c r="C103" s="10" t="s">
        <v>2388</v>
      </c>
      <c r="D103" s="10" t="s">
        <v>2385</v>
      </c>
      <c r="E103" s="10" t="s">
        <v>1762</v>
      </c>
      <c r="F103" s="10" t="s">
        <v>1763</v>
      </c>
      <c r="G103" s="10" t="str">
        <f aca="false">IFERROR(INDEX('Employer Master'!$L$5:$L$99,MATCH(E103,'Employer Master'!$A$5:$A$99,0)),"")</f>
        <v>BRK-29</v>
      </c>
      <c r="H103" s="10" t="n">
        <v>1</v>
      </c>
    </row>
    <row r="104" customFormat="false" ht="15" hidden="false" customHeight="true" outlineLevel="0" collapsed="false">
      <c r="A104" s="12" t="s">
        <v>2584</v>
      </c>
      <c r="B104" s="12" t="s">
        <v>2585</v>
      </c>
      <c r="C104" s="12" t="s">
        <v>361</v>
      </c>
      <c r="D104" s="12" t="s">
        <v>2393</v>
      </c>
      <c r="E104" s="12" t="s">
        <v>1764</v>
      </c>
      <c r="F104" s="12" t="s">
        <v>1765</v>
      </c>
      <c r="G104" s="12" t="str">
        <f aca="false">IFERROR(INDEX('Employer Master'!$L$5:$L$99,MATCH(E104,'Employer Master'!$A$5:$A$99,0)),"")</f>
        <v>BRK-22</v>
      </c>
      <c r="H104" s="12" t="n">
        <v>1</v>
      </c>
    </row>
    <row r="105" customFormat="false" ht="15" hidden="false" customHeight="true" outlineLevel="0" collapsed="false">
      <c r="A105" s="10" t="s">
        <v>2586</v>
      </c>
      <c r="B105" s="10" t="s">
        <v>2587</v>
      </c>
      <c r="C105" s="10" t="s">
        <v>2412</v>
      </c>
      <c r="D105" s="10" t="s">
        <v>2385</v>
      </c>
      <c r="E105" s="10" t="s">
        <v>1766</v>
      </c>
      <c r="F105" s="10" t="s">
        <v>1767</v>
      </c>
      <c r="G105" s="10" t="str">
        <f aca="false">IFERROR(INDEX('Employer Master'!$L$5:$L$99,MATCH(E105,'Employer Master'!$A$5:$A$99,0)),"")</f>
        <v>BRK-23</v>
      </c>
      <c r="H105" s="10" t="n">
        <v>1</v>
      </c>
    </row>
    <row r="106" customFormat="false" ht="15" hidden="false" customHeight="true" outlineLevel="0" collapsed="false">
      <c r="A106" s="14" t="s">
        <v>1470</v>
      </c>
      <c r="H106" s="16" t="n">
        <f aca="false">SUM(H5:H105)</f>
        <v>210</v>
      </c>
    </row>
    <row r="108" customFormat="false" ht="15" hidden="false" customHeight="true" outlineLevel="0" collapsed="false">
      <c r="A108" s="14" t="s">
        <v>1471</v>
      </c>
      <c r="B108" s="21" t="str">
        <f aca="false">IF(H106=210,"OK — 210 employer calls","VARIANCE: "&amp;TEXT(H106-210,"+0;-0"))</f>
        <v>OK — 210 employer calls</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26"/>
    <col collapsed="false" customWidth="true" hidden="false" outlineLevel="0" max="4" min="4" style="1" width="12"/>
    <col collapsed="false" customWidth="true" hidden="false" outlineLevel="0" max="5" min="5" style="1" width="13"/>
    <col collapsed="false" customWidth="true" hidden="false" outlineLevel="0" max="6" min="6" style="1" width="15"/>
    <col collapsed="false" customWidth="true" hidden="false" outlineLevel="0" max="9" min="7" style="1" width="13"/>
    <col collapsed="false" customWidth="true" hidden="false" outlineLevel="0" max="10" min="10" style="1" width="36"/>
  </cols>
  <sheetData>
    <row r="1" customFormat="false" ht="21.75" hidden="false" customHeight="true" outlineLevel="0" collapsed="false">
      <c r="A1" s="7" t="s">
        <v>2588</v>
      </c>
    </row>
    <row r="2" customFormat="false" ht="74.25" hidden="false" customHeight="true" outlineLevel="0" collapsed="false">
      <c r="A2" s="8" t="s">
        <v>2589</v>
      </c>
      <c r="B2" s="8"/>
      <c r="C2" s="8"/>
      <c r="D2" s="8"/>
      <c r="E2" s="8"/>
      <c r="F2" s="8"/>
      <c r="G2" s="8"/>
    </row>
    <row r="3" customFormat="false" ht="6" hidden="false" customHeight="true" outlineLevel="0" collapsed="false"/>
    <row r="4" customFormat="false" ht="31.5" hidden="false" customHeight="true" outlineLevel="0" collapsed="false">
      <c r="A4" s="9" t="s">
        <v>2590</v>
      </c>
      <c r="B4" s="9" t="s">
        <v>36</v>
      </c>
      <c r="C4" s="9" t="s">
        <v>2591</v>
      </c>
      <c r="D4" s="9" t="s">
        <v>2592</v>
      </c>
      <c r="E4" s="9" t="s">
        <v>2593</v>
      </c>
      <c r="F4" s="9" t="s">
        <v>1482</v>
      </c>
      <c r="G4" s="9" t="s">
        <v>2594</v>
      </c>
      <c r="H4" s="9" t="s">
        <v>2595</v>
      </c>
      <c r="I4" s="9" t="s">
        <v>2596</v>
      </c>
      <c r="J4" s="9" t="s">
        <v>2597</v>
      </c>
    </row>
    <row r="5" customFormat="false" ht="15" hidden="false" customHeight="true" outlineLevel="0" collapsed="false">
      <c r="A5" s="10" t="s">
        <v>1538</v>
      </c>
      <c r="B5" s="10" t="s">
        <v>2598</v>
      </c>
      <c r="C5" s="10" t="s">
        <v>2599</v>
      </c>
      <c r="D5" s="10" t="n">
        <v>3</v>
      </c>
      <c r="E5" s="10" t="n">
        <f aca="false">COUNTIF('Employer Master'!$L$5:$L$99,A5)</f>
        <v>3</v>
      </c>
      <c r="F5" s="10" t="s">
        <v>1502</v>
      </c>
      <c r="G5" s="10" t="n">
        <v>10</v>
      </c>
      <c r="H5" s="31" t="n">
        <f aca="false">IFERROR(G5/D5,0)</f>
        <v>3.33333333333333</v>
      </c>
      <c r="I5" s="32" t="n">
        <f aca="false">IFERROR(H5/MEDIAN($H$5:$H$34),0)</f>
        <v>32.9971988795518</v>
      </c>
      <c r="J5" s="11" t="s">
        <v>2600</v>
      </c>
    </row>
    <row r="6" customFormat="false" ht="23.25" hidden="false" customHeight="true" outlineLevel="0" collapsed="false">
      <c r="A6" s="12" t="s">
        <v>1504</v>
      </c>
      <c r="B6" s="12" t="s">
        <v>2601</v>
      </c>
      <c r="C6" s="12" t="s">
        <v>2602</v>
      </c>
      <c r="D6" s="12" t="n">
        <v>4</v>
      </c>
      <c r="E6" s="12" t="n">
        <f aca="false">COUNTIF('Employer Master'!$L$5:$L$99,A6)</f>
        <v>4</v>
      </c>
      <c r="F6" s="12" t="s">
        <v>1513</v>
      </c>
      <c r="G6" s="12" t="n">
        <v>10</v>
      </c>
      <c r="H6" s="33" t="n">
        <f aca="false">IFERROR(G6/D6,0)</f>
        <v>2.5</v>
      </c>
      <c r="I6" s="34" t="n">
        <f aca="false">IFERROR(H6/MEDIAN($H$5:$H$34),0)</f>
        <v>24.7478991596639</v>
      </c>
      <c r="J6" s="13" t="s">
        <v>2603</v>
      </c>
    </row>
    <row r="7" customFormat="false" ht="15" hidden="false" customHeight="true" outlineLevel="0" collapsed="false">
      <c r="A7" s="10" t="s">
        <v>1543</v>
      </c>
      <c r="B7" s="10" t="s">
        <v>2604</v>
      </c>
      <c r="C7" s="10" t="s">
        <v>2605</v>
      </c>
      <c r="D7" s="10" t="n">
        <v>5</v>
      </c>
      <c r="E7" s="10" t="n">
        <f aca="false">COUNTIF('Employer Master'!$L$5:$L$99,A7)</f>
        <v>4</v>
      </c>
      <c r="F7" s="10" t="s">
        <v>1521</v>
      </c>
      <c r="G7" s="10" t="n">
        <v>10</v>
      </c>
      <c r="H7" s="31" t="n">
        <f aca="false">IFERROR(G7/D7,0)</f>
        <v>2</v>
      </c>
      <c r="I7" s="32" t="n">
        <f aca="false">IFERROR(H7/MEDIAN($H$5:$H$34),0)</f>
        <v>19.7983193277311</v>
      </c>
      <c r="J7" s="11" t="s">
        <v>2606</v>
      </c>
    </row>
    <row r="8" customFormat="false" ht="15" hidden="false" customHeight="true" outlineLevel="0" collapsed="false">
      <c r="A8" s="12" t="s">
        <v>1603</v>
      </c>
      <c r="B8" s="12" t="s">
        <v>2607</v>
      </c>
      <c r="C8" s="12" t="s">
        <v>2608</v>
      </c>
      <c r="D8" s="12" t="n">
        <v>7</v>
      </c>
      <c r="E8" s="12" t="n">
        <f aca="false">COUNTIF('Employer Master'!$L$5:$L$99,A8)</f>
        <v>3</v>
      </c>
      <c r="F8" s="12" t="s">
        <v>1530</v>
      </c>
      <c r="G8" s="12" t="n">
        <v>3</v>
      </c>
      <c r="H8" s="33" t="n">
        <f aca="false">IFERROR(G8/D8,0)</f>
        <v>0.428571428571429</v>
      </c>
      <c r="I8" s="34" t="n">
        <f aca="false">IFERROR(H8/MEDIAN($H$5:$H$34),0)</f>
        <v>4.24249699879952</v>
      </c>
      <c r="J8" s="13" t="s">
        <v>2609</v>
      </c>
    </row>
    <row r="9" customFormat="false" ht="15" hidden="false" customHeight="true" outlineLevel="0" collapsed="false">
      <c r="A9" s="10" t="s">
        <v>1584</v>
      </c>
      <c r="B9" s="10" t="s">
        <v>2610</v>
      </c>
      <c r="C9" s="10" t="s">
        <v>2611</v>
      </c>
      <c r="D9" s="10" t="n">
        <v>9</v>
      </c>
      <c r="E9" s="10" t="n">
        <f aca="false">COUNTIF('Employer Master'!$L$5:$L$99,A9)</f>
        <v>4</v>
      </c>
      <c r="F9" s="10" t="s">
        <v>1542</v>
      </c>
      <c r="G9" s="10" t="n">
        <v>3</v>
      </c>
      <c r="H9" s="31" t="n">
        <f aca="false">IFERROR(G9/D9,0)</f>
        <v>0.333333333333333</v>
      </c>
      <c r="I9" s="32" t="n">
        <f aca="false">IFERROR(H9/MEDIAN($H$5:$H$34),0)</f>
        <v>3.29971988795518</v>
      </c>
      <c r="J9" s="11" t="s">
        <v>2609</v>
      </c>
    </row>
    <row r="10" customFormat="false" ht="15" hidden="false" customHeight="true" outlineLevel="0" collapsed="false">
      <c r="A10" s="12" t="s">
        <v>1531</v>
      </c>
      <c r="B10" s="12" t="s">
        <v>2612</v>
      </c>
      <c r="C10" s="12" t="s">
        <v>2613</v>
      </c>
      <c r="D10" s="12" t="n">
        <v>22</v>
      </c>
      <c r="E10" s="12" t="n">
        <f aca="false">COUNTIF('Employer Master'!$L$5:$L$99,A10)</f>
        <v>5</v>
      </c>
      <c r="F10" s="12" t="s">
        <v>1502</v>
      </c>
      <c r="G10" s="12" t="n">
        <v>5</v>
      </c>
      <c r="H10" s="33" t="n">
        <f aca="false">IFERROR(G10/D10,0)</f>
        <v>0.227272727272727</v>
      </c>
      <c r="I10" s="34" t="n">
        <f aca="false">IFERROR(H10/MEDIAN($H$5:$H$34),0)</f>
        <v>2.2498090145149</v>
      </c>
      <c r="J10" s="13" t="s">
        <v>2614</v>
      </c>
    </row>
    <row r="11" customFormat="false" ht="15" hidden="false" customHeight="true" outlineLevel="0" collapsed="false">
      <c r="A11" s="10" t="s">
        <v>1576</v>
      </c>
      <c r="B11" s="10" t="s">
        <v>2615</v>
      </c>
      <c r="C11" s="10" t="s">
        <v>2616</v>
      </c>
      <c r="D11" s="10" t="n">
        <v>34</v>
      </c>
      <c r="E11" s="10" t="n">
        <f aca="false">COUNTIF('Employer Master'!$L$5:$L$99,A11)</f>
        <v>4</v>
      </c>
      <c r="F11" s="10" t="s">
        <v>1513</v>
      </c>
      <c r="G11" s="10" t="n">
        <v>9</v>
      </c>
      <c r="H11" s="31" t="n">
        <f aca="false">IFERROR(G11/D11,0)</f>
        <v>0.264705882352941</v>
      </c>
      <c r="I11" s="32" t="n">
        <f aca="false">IFERROR(H11/MEDIAN($H$5:$H$34),0)</f>
        <v>2.62036579337617</v>
      </c>
      <c r="J11" s="11" t="s">
        <v>2617</v>
      </c>
    </row>
    <row r="12" customFormat="false" ht="15" hidden="false" customHeight="true" outlineLevel="0" collapsed="false">
      <c r="A12" s="12" t="s">
        <v>1580</v>
      </c>
      <c r="B12" s="12" t="s">
        <v>2618</v>
      </c>
      <c r="C12" s="12" t="s">
        <v>2619</v>
      </c>
      <c r="D12" s="12" t="n">
        <v>41</v>
      </c>
      <c r="E12" s="12" t="n">
        <f aca="false">COUNTIF('Employer Master'!$L$5:$L$99,A12)</f>
        <v>4</v>
      </c>
      <c r="F12" s="12" t="s">
        <v>1536</v>
      </c>
      <c r="G12" s="12" t="n">
        <v>11</v>
      </c>
      <c r="H12" s="33" t="n">
        <f aca="false">IFERROR(G12/D12,0)</f>
        <v>0.268292682926829</v>
      </c>
      <c r="I12" s="34" t="n">
        <f aca="false">IFERROR(H12/MEDIAN($H$5:$H$34),0)</f>
        <v>2.65587210493954</v>
      </c>
      <c r="J12" s="13" t="s">
        <v>2617</v>
      </c>
    </row>
    <row r="13" customFormat="false" ht="23.25" hidden="false" customHeight="true" outlineLevel="0" collapsed="false">
      <c r="A13" s="10" t="s">
        <v>1523</v>
      </c>
      <c r="B13" s="10" t="s">
        <v>2620</v>
      </c>
      <c r="C13" s="10" t="s">
        <v>2621</v>
      </c>
      <c r="D13" s="10" t="n">
        <v>58</v>
      </c>
      <c r="E13" s="10" t="n">
        <f aca="false">COUNTIF('Employer Master'!$L$5:$L$99,A13)</f>
        <v>5</v>
      </c>
      <c r="F13" s="10" t="s">
        <v>1513</v>
      </c>
      <c r="G13" s="10" t="n">
        <v>14</v>
      </c>
      <c r="H13" s="31" t="n">
        <f aca="false">IFERROR(G13/D13,0)</f>
        <v>0.241379310344828</v>
      </c>
      <c r="I13" s="32" t="n">
        <f aca="false">IFERROR(H13/MEDIAN($H$5:$H$34),0)</f>
        <v>2.3894523326572</v>
      </c>
      <c r="J13" s="11" t="s">
        <v>2622</v>
      </c>
    </row>
    <row r="14" customFormat="false" ht="23.25" hidden="false" customHeight="true" outlineLevel="0" collapsed="false">
      <c r="A14" s="12" t="s">
        <v>1588</v>
      </c>
      <c r="B14" s="12" t="s">
        <v>2623</v>
      </c>
      <c r="C14" s="12" t="s">
        <v>2624</v>
      </c>
      <c r="D14" s="12" t="n">
        <v>67</v>
      </c>
      <c r="E14" s="12" t="n">
        <f aca="false">COUNTIF('Employer Master'!$L$5:$L$99,A14)</f>
        <v>4</v>
      </c>
      <c r="F14" s="12" t="s">
        <v>1502</v>
      </c>
      <c r="G14" s="12" t="n">
        <v>12</v>
      </c>
      <c r="H14" s="33" t="n">
        <f aca="false">IFERROR(G14/D14,0)</f>
        <v>0.17910447761194</v>
      </c>
      <c r="I14" s="34" t="n">
        <f aca="false">IFERROR(H14/MEDIAN($H$5:$H$34),0)</f>
        <v>1.77298382039383</v>
      </c>
      <c r="J14" s="13" t="s">
        <v>2625</v>
      </c>
    </row>
    <row r="15" customFormat="false" ht="15" hidden="false" customHeight="true" outlineLevel="0" collapsed="false">
      <c r="A15" s="10" t="s">
        <v>1618</v>
      </c>
      <c r="B15" s="10" t="s">
        <v>2626</v>
      </c>
      <c r="C15" s="10" t="s">
        <v>2627</v>
      </c>
      <c r="D15" s="10" t="n">
        <v>12</v>
      </c>
      <c r="E15" s="10" t="n">
        <f aca="false">COUNTIF('Employer Master'!$L$5:$L$99,A15)</f>
        <v>3</v>
      </c>
      <c r="F15" s="10" t="s">
        <v>1521</v>
      </c>
      <c r="G15" s="10" t="n">
        <v>1</v>
      </c>
      <c r="H15" s="31" t="n">
        <f aca="false">IFERROR(G15/D15,0)</f>
        <v>0.0833333333333333</v>
      </c>
      <c r="I15" s="32" t="n">
        <f aca="false">IFERROR(H15/MEDIAN($H$5:$H$34),0)</f>
        <v>0.824929971988796</v>
      </c>
      <c r="J15" s="11" t="s">
        <v>2628</v>
      </c>
    </row>
    <row r="16" customFormat="false" ht="15" hidden="false" customHeight="true" outlineLevel="0" collapsed="false">
      <c r="A16" s="12" t="s">
        <v>1621</v>
      </c>
      <c r="B16" s="12" t="s">
        <v>2629</v>
      </c>
      <c r="C16" s="12" t="s">
        <v>2630</v>
      </c>
      <c r="D16" s="12" t="n">
        <v>15</v>
      </c>
      <c r="E16" s="12" t="n">
        <f aca="false">COUNTIF('Employer Master'!$L$5:$L$99,A16)</f>
        <v>3</v>
      </c>
      <c r="F16" s="12" t="s">
        <v>1542</v>
      </c>
      <c r="G16" s="12" t="n">
        <v>1</v>
      </c>
      <c r="H16" s="33" t="n">
        <f aca="false">IFERROR(G16/D16,0)</f>
        <v>0.0666666666666667</v>
      </c>
      <c r="I16" s="34" t="n">
        <f aca="false">IFERROR(H16/MEDIAN($H$5:$H$34),0)</f>
        <v>0.659943977591036</v>
      </c>
      <c r="J16" s="13" t="s">
        <v>2628</v>
      </c>
    </row>
    <row r="17" customFormat="false" ht="15" hidden="false" customHeight="true" outlineLevel="0" collapsed="false">
      <c r="A17" s="10" t="s">
        <v>1624</v>
      </c>
      <c r="B17" s="10" t="s">
        <v>2631</v>
      </c>
      <c r="C17" s="10" t="s">
        <v>2632</v>
      </c>
      <c r="D17" s="10" t="n">
        <v>18</v>
      </c>
      <c r="E17" s="10" t="n">
        <f aca="false">COUNTIF('Employer Master'!$L$5:$L$99,A17)</f>
        <v>3</v>
      </c>
      <c r="F17" s="10" t="s">
        <v>1530</v>
      </c>
      <c r="G17" s="10" t="n">
        <v>1</v>
      </c>
      <c r="H17" s="31" t="n">
        <f aca="false">IFERROR(G17/D17,0)</f>
        <v>0.0555555555555556</v>
      </c>
      <c r="I17" s="32" t="n">
        <f aca="false">IFERROR(H17/MEDIAN($H$5:$H$34),0)</f>
        <v>0.549953314659197</v>
      </c>
      <c r="J17" s="11" t="s">
        <v>2628</v>
      </c>
    </row>
    <row r="18" customFormat="false" ht="15" hidden="false" customHeight="true" outlineLevel="0" collapsed="false">
      <c r="A18" s="12" t="s">
        <v>1650</v>
      </c>
      <c r="B18" s="12" t="s">
        <v>2633</v>
      </c>
      <c r="C18" s="12" t="s">
        <v>2634</v>
      </c>
      <c r="D18" s="12" t="n">
        <v>7</v>
      </c>
      <c r="E18" s="12" t="n">
        <f aca="false">COUNTIF('Employer Master'!$L$5:$L$99,A18)</f>
        <v>2</v>
      </c>
      <c r="F18" s="12" t="s">
        <v>1536</v>
      </c>
      <c r="G18" s="12" t="n">
        <v>0</v>
      </c>
      <c r="H18" s="33" t="n">
        <f aca="false">IFERROR(G18/D18,0)</f>
        <v>0</v>
      </c>
      <c r="I18" s="34" t="n">
        <f aca="false">IFERROR(H18/MEDIAN($H$5:$H$34),0)</f>
        <v>0</v>
      </c>
      <c r="J18" s="13" t="s">
        <v>2628</v>
      </c>
    </row>
    <row r="19" customFormat="false" ht="15" hidden="false" customHeight="true" outlineLevel="0" collapsed="false">
      <c r="A19" s="10" t="s">
        <v>1653</v>
      </c>
      <c r="B19" s="10" t="s">
        <v>2635</v>
      </c>
      <c r="C19" s="10" t="s">
        <v>2636</v>
      </c>
      <c r="D19" s="10" t="n">
        <v>11</v>
      </c>
      <c r="E19" s="10" t="n">
        <f aca="false">COUNTIF('Employer Master'!$L$5:$L$99,A19)</f>
        <v>2</v>
      </c>
      <c r="F19" s="10" t="s">
        <v>1502</v>
      </c>
      <c r="G19" s="10" t="n">
        <v>0</v>
      </c>
      <c r="H19" s="31" t="n">
        <f aca="false">IFERROR(G19/D19,0)</f>
        <v>0</v>
      </c>
      <c r="I19" s="32" t="n">
        <f aca="false">IFERROR(H19/MEDIAN($H$5:$H$34),0)</f>
        <v>0</v>
      </c>
      <c r="J19" s="11" t="s">
        <v>2628</v>
      </c>
    </row>
    <row r="20" customFormat="false" ht="15" hidden="false" customHeight="true" outlineLevel="0" collapsed="false">
      <c r="A20" s="12" t="s">
        <v>1627</v>
      </c>
      <c r="B20" s="12" t="s">
        <v>2637</v>
      </c>
      <c r="C20" s="12" t="s">
        <v>2638</v>
      </c>
      <c r="D20" s="12" t="n">
        <v>26</v>
      </c>
      <c r="E20" s="12" t="n">
        <f aca="false">COUNTIF('Employer Master'!$L$5:$L$99,A20)</f>
        <v>3</v>
      </c>
      <c r="F20" s="12" t="s">
        <v>1513</v>
      </c>
      <c r="G20" s="12" t="n">
        <v>3</v>
      </c>
      <c r="H20" s="33" t="n">
        <f aca="false">IFERROR(G20/D20,0)</f>
        <v>0.115384615384615</v>
      </c>
      <c r="I20" s="34" t="n">
        <f aca="false">IFERROR(H20/MEDIAN($H$5:$H$34),0)</f>
        <v>1.14221073044602</v>
      </c>
      <c r="J20" s="13" t="s">
        <v>2628</v>
      </c>
    </row>
    <row r="21" customFormat="false" ht="15" hidden="false" customHeight="true" outlineLevel="0" collapsed="false">
      <c r="A21" s="10" t="s">
        <v>1630</v>
      </c>
      <c r="B21" s="10" t="s">
        <v>2639</v>
      </c>
      <c r="C21" s="10" t="s">
        <v>2640</v>
      </c>
      <c r="D21" s="10" t="n">
        <v>31</v>
      </c>
      <c r="E21" s="10" t="n">
        <f aca="false">COUNTIF('Employer Master'!$L$5:$L$99,A21)</f>
        <v>3</v>
      </c>
      <c r="F21" s="10" t="s">
        <v>1521</v>
      </c>
      <c r="G21" s="10" t="n">
        <v>3</v>
      </c>
      <c r="H21" s="31" t="n">
        <f aca="false">IFERROR(G21/D21,0)</f>
        <v>0.0967741935483871</v>
      </c>
      <c r="I21" s="32" t="n">
        <f aca="false">IFERROR(H21/MEDIAN($H$5:$H$34),0)</f>
        <v>0.957983193277311</v>
      </c>
      <c r="J21" s="11" t="s">
        <v>2628</v>
      </c>
    </row>
    <row r="22" customFormat="false" ht="15" hidden="false" customHeight="true" outlineLevel="0" collapsed="false">
      <c r="A22" s="12" t="s">
        <v>1656</v>
      </c>
      <c r="B22" s="12" t="s">
        <v>2641</v>
      </c>
      <c r="C22" s="12" t="s">
        <v>2642</v>
      </c>
      <c r="D22" s="12" t="n">
        <v>8</v>
      </c>
      <c r="E22" s="12" t="n">
        <f aca="false">COUNTIF('Employer Master'!$L$5:$L$99,A22)</f>
        <v>2</v>
      </c>
      <c r="F22" s="12" t="s">
        <v>1536</v>
      </c>
      <c r="G22" s="12" t="n">
        <v>0</v>
      </c>
      <c r="H22" s="33" t="n">
        <f aca="false">IFERROR(G22/D22,0)</f>
        <v>0</v>
      </c>
      <c r="I22" s="34" t="n">
        <f aca="false">IFERROR(H22/MEDIAN($H$5:$H$34),0)</f>
        <v>0</v>
      </c>
      <c r="J22" s="13" t="s">
        <v>2628</v>
      </c>
    </row>
    <row r="23" customFormat="false" ht="15" hidden="false" customHeight="true" outlineLevel="0" collapsed="false">
      <c r="A23" s="10" t="s">
        <v>1659</v>
      </c>
      <c r="B23" s="10" t="s">
        <v>2643</v>
      </c>
      <c r="C23" s="10" t="s">
        <v>2644</v>
      </c>
      <c r="D23" s="10" t="n">
        <v>13</v>
      </c>
      <c r="E23" s="10" t="n">
        <f aca="false">COUNTIF('Employer Master'!$L$5:$L$99,A23)</f>
        <v>2</v>
      </c>
      <c r="F23" s="10" t="s">
        <v>1542</v>
      </c>
      <c r="G23" s="10" t="n">
        <v>0</v>
      </c>
      <c r="H23" s="31" t="n">
        <f aca="false">IFERROR(G23/D23,0)</f>
        <v>0</v>
      </c>
      <c r="I23" s="32" t="n">
        <f aca="false">IFERROR(H23/MEDIAN($H$5:$H$34),0)</f>
        <v>0</v>
      </c>
      <c r="J23" s="11" t="s">
        <v>2628</v>
      </c>
    </row>
    <row r="24" customFormat="false" ht="15" hidden="false" customHeight="true" outlineLevel="0" collapsed="false">
      <c r="A24" s="12" t="s">
        <v>1633</v>
      </c>
      <c r="B24" s="12" t="s">
        <v>2645</v>
      </c>
      <c r="C24" s="12" t="s">
        <v>2646</v>
      </c>
      <c r="D24" s="12" t="n">
        <v>19</v>
      </c>
      <c r="E24" s="12" t="n">
        <f aca="false">COUNTIF('Employer Master'!$L$5:$L$99,A24)</f>
        <v>3</v>
      </c>
      <c r="F24" s="12" t="s">
        <v>1502</v>
      </c>
      <c r="G24" s="12" t="n">
        <v>4</v>
      </c>
      <c r="H24" s="33" t="n">
        <f aca="false">IFERROR(G24/D24,0)</f>
        <v>0.210526315789474</v>
      </c>
      <c r="I24" s="34" t="n">
        <f aca="false">IFERROR(H24/MEDIAN($H$5:$H$34),0)</f>
        <v>2.08403361344538</v>
      </c>
      <c r="J24" s="13" t="s">
        <v>2647</v>
      </c>
    </row>
    <row r="25" customFormat="false" ht="15" hidden="false" customHeight="true" outlineLevel="0" collapsed="false">
      <c r="A25" s="10" t="s">
        <v>1636</v>
      </c>
      <c r="B25" s="10" t="s">
        <v>2648</v>
      </c>
      <c r="C25" s="10" t="s">
        <v>2649</v>
      </c>
      <c r="D25" s="10" t="n">
        <v>24</v>
      </c>
      <c r="E25" s="10" t="n">
        <f aca="false">COUNTIF('Employer Master'!$L$5:$L$99,A25)</f>
        <v>3</v>
      </c>
      <c r="F25" s="10" t="s">
        <v>1530</v>
      </c>
      <c r="G25" s="10" t="n">
        <v>2</v>
      </c>
      <c r="H25" s="31" t="n">
        <f aca="false">IFERROR(G25/D25,0)</f>
        <v>0.0833333333333333</v>
      </c>
      <c r="I25" s="32" t="n">
        <f aca="false">IFERROR(H25/MEDIAN($H$5:$H$34),0)</f>
        <v>0.824929971988796</v>
      </c>
      <c r="J25" s="11" t="s">
        <v>2628</v>
      </c>
    </row>
    <row r="26" customFormat="false" ht="15" hidden="false" customHeight="true" outlineLevel="0" collapsed="false">
      <c r="A26" s="12" t="s">
        <v>1718</v>
      </c>
      <c r="B26" s="12" t="s">
        <v>2650</v>
      </c>
      <c r="C26" s="12" t="s">
        <v>2651</v>
      </c>
      <c r="D26" s="12" t="n">
        <v>5</v>
      </c>
      <c r="E26" s="12" t="n">
        <f aca="false">COUNTIF('Employer Master'!$L$5:$L$99,A26)</f>
        <v>2</v>
      </c>
      <c r="F26" s="12" t="s">
        <v>1513</v>
      </c>
      <c r="G26" s="12" t="n">
        <v>0</v>
      </c>
      <c r="H26" s="33" t="n">
        <f aca="false">IFERROR(G26/D26,0)</f>
        <v>0</v>
      </c>
      <c r="I26" s="34" t="n">
        <f aca="false">IFERROR(H26/MEDIAN($H$5:$H$34),0)</f>
        <v>0</v>
      </c>
      <c r="J26" s="13" t="s">
        <v>2652</v>
      </c>
    </row>
    <row r="27" customFormat="false" ht="15" hidden="false" customHeight="true" outlineLevel="0" collapsed="false">
      <c r="A27" s="10" t="s">
        <v>1721</v>
      </c>
      <c r="B27" s="10" t="s">
        <v>2653</v>
      </c>
      <c r="C27" s="10" t="s">
        <v>2654</v>
      </c>
      <c r="D27" s="10" t="n">
        <v>3</v>
      </c>
      <c r="E27" s="10" t="n">
        <f aca="false">COUNTIF('Employer Master'!$L$5:$L$99,A27)</f>
        <v>2</v>
      </c>
      <c r="F27" s="10" t="s">
        <v>1542</v>
      </c>
      <c r="G27" s="10" t="n">
        <v>0</v>
      </c>
      <c r="H27" s="31" t="n">
        <f aca="false">IFERROR(G27/D27,0)</f>
        <v>0</v>
      </c>
      <c r="I27" s="32" t="n">
        <f aca="false">IFERROR(H27/MEDIAN($H$5:$H$34),0)</f>
        <v>0</v>
      </c>
      <c r="J27" s="11" t="s">
        <v>2652</v>
      </c>
    </row>
    <row r="28" customFormat="false" ht="15" hidden="false" customHeight="true" outlineLevel="0" collapsed="false">
      <c r="A28" s="12" t="s">
        <v>1639</v>
      </c>
      <c r="B28" s="12" t="s">
        <v>2655</v>
      </c>
      <c r="C28" s="12" t="s">
        <v>2656</v>
      </c>
      <c r="D28" s="12" t="n">
        <v>29</v>
      </c>
      <c r="E28" s="12" t="n">
        <f aca="false">COUNTIF('Employer Master'!$L$5:$L$99,A28)</f>
        <v>3</v>
      </c>
      <c r="F28" s="12" t="s">
        <v>1521</v>
      </c>
      <c r="G28" s="12" t="n">
        <v>4</v>
      </c>
      <c r="H28" s="33" t="n">
        <f aca="false">IFERROR(G28/D28,0)</f>
        <v>0.137931034482759</v>
      </c>
      <c r="I28" s="34" t="n">
        <f aca="false">IFERROR(H28/MEDIAN($H$5:$H$34),0)</f>
        <v>1.36540133294697</v>
      </c>
      <c r="J28" s="13" t="s">
        <v>2647</v>
      </c>
    </row>
    <row r="29" customFormat="false" ht="15" hidden="false" customHeight="true" outlineLevel="0" collapsed="false">
      <c r="A29" s="10" t="s">
        <v>1662</v>
      </c>
      <c r="B29" s="10" t="s">
        <v>2657</v>
      </c>
      <c r="C29" s="10" t="s">
        <v>2658</v>
      </c>
      <c r="D29" s="10" t="n">
        <v>6</v>
      </c>
      <c r="E29" s="10" t="n">
        <f aca="false">COUNTIF('Employer Master'!$L$5:$L$99,A29)</f>
        <v>2</v>
      </c>
      <c r="F29" s="10" t="s">
        <v>1536</v>
      </c>
      <c r="G29" s="10" t="n">
        <v>0</v>
      </c>
      <c r="H29" s="31" t="n">
        <f aca="false">IFERROR(G29/D29,0)</f>
        <v>0</v>
      </c>
      <c r="I29" s="32" t="n">
        <f aca="false">IFERROR(H29/MEDIAN($H$5:$H$34),0)</f>
        <v>0</v>
      </c>
      <c r="J29" s="11" t="s">
        <v>2628</v>
      </c>
    </row>
    <row r="30" customFormat="false" ht="15" hidden="false" customHeight="true" outlineLevel="0" collapsed="false">
      <c r="A30" s="12" t="s">
        <v>1591</v>
      </c>
      <c r="B30" s="12" t="s">
        <v>2659</v>
      </c>
      <c r="C30" s="12" t="s">
        <v>2660</v>
      </c>
      <c r="D30" s="12" t="n">
        <v>44</v>
      </c>
      <c r="E30" s="12" t="n">
        <f aca="false">COUNTIF('Employer Master'!$L$5:$L$99,A30)</f>
        <v>4</v>
      </c>
      <c r="F30" s="12" t="s">
        <v>1513</v>
      </c>
      <c r="G30" s="12" t="n">
        <v>5</v>
      </c>
      <c r="H30" s="33" t="n">
        <f aca="false">IFERROR(G30/D30,0)</f>
        <v>0.113636363636364</v>
      </c>
      <c r="I30" s="34" t="n">
        <f aca="false">IFERROR(H30/MEDIAN($H$5:$H$34),0)</f>
        <v>1.12490450725745</v>
      </c>
      <c r="J30" s="13" t="s">
        <v>2628</v>
      </c>
    </row>
    <row r="31" customFormat="false" ht="15" hidden="false" customHeight="true" outlineLevel="0" collapsed="false">
      <c r="A31" s="10" t="s">
        <v>1695</v>
      </c>
      <c r="B31" s="10" t="s">
        <v>2661</v>
      </c>
      <c r="C31" s="10" t="s">
        <v>2662</v>
      </c>
      <c r="D31" s="10" t="n">
        <v>16</v>
      </c>
      <c r="E31" s="10" t="n">
        <f aca="false">COUNTIF('Employer Master'!$L$5:$L$99,A31)</f>
        <v>3</v>
      </c>
      <c r="F31" s="10" t="s">
        <v>1502</v>
      </c>
      <c r="G31" s="10" t="n">
        <v>0</v>
      </c>
      <c r="H31" s="31" t="n">
        <f aca="false">IFERROR(G31/D31,0)</f>
        <v>0</v>
      </c>
      <c r="I31" s="32" t="n">
        <f aca="false">IFERROR(H31/MEDIAN($H$5:$H$34),0)</f>
        <v>0</v>
      </c>
      <c r="J31" s="11" t="s">
        <v>2628</v>
      </c>
    </row>
    <row r="32" customFormat="false" ht="15" hidden="false" customHeight="true" outlineLevel="0" collapsed="false">
      <c r="A32" s="12" t="s">
        <v>1698</v>
      </c>
      <c r="B32" s="12" t="s">
        <v>2663</v>
      </c>
      <c r="C32" s="12" t="s">
        <v>2664</v>
      </c>
      <c r="D32" s="12" t="n">
        <v>21</v>
      </c>
      <c r="E32" s="12" t="n">
        <f aca="false">COUNTIF('Employer Master'!$L$5:$L$99,A32)</f>
        <v>3</v>
      </c>
      <c r="F32" s="12" t="s">
        <v>1530</v>
      </c>
      <c r="G32" s="12" t="n">
        <v>2</v>
      </c>
      <c r="H32" s="33" t="n">
        <f aca="false">IFERROR(G32/D32,0)</f>
        <v>0.0952380952380952</v>
      </c>
      <c r="I32" s="34" t="n">
        <f aca="false">IFERROR(H32/MEDIAN($H$5:$H$34),0)</f>
        <v>0.942777110844338</v>
      </c>
      <c r="J32" s="13" t="s">
        <v>2647</v>
      </c>
    </row>
    <row r="33" customFormat="false" ht="15" hidden="false" customHeight="true" outlineLevel="0" collapsed="false">
      <c r="A33" s="10" t="s">
        <v>1701</v>
      </c>
      <c r="B33" s="10" t="s">
        <v>2665</v>
      </c>
      <c r="C33" s="10" t="s">
        <v>2666</v>
      </c>
      <c r="D33" s="10" t="n">
        <v>10</v>
      </c>
      <c r="E33" s="10" t="n">
        <f aca="false">COUNTIF('Employer Master'!$L$5:$L$99,A33)</f>
        <v>3</v>
      </c>
      <c r="F33" s="10" t="s">
        <v>1521</v>
      </c>
      <c r="G33" s="10" t="n">
        <v>0</v>
      </c>
      <c r="H33" s="31" t="n">
        <f aca="false">IFERROR(G33/D33,0)</f>
        <v>0</v>
      </c>
      <c r="I33" s="32" t="n">
        <f aca="false">IFERROR(H33/MEDIAN($H$5:$H$34),0)</f>
        <v>0</v>
      </c>
      <c r="J33" s="11" t="s">
        <v>2628</v>
      </c>
    </row>
    <row r="34" customFormat="false" ht="15" hidden="false" customHeight="true" outlineLevel="0" collapsed="false">
      <c r="A34" s="12" t="s">
        <v>1595</v>
      </c>
      <c r="B34" s="12" t="s">
        <v>2667</v>
      </c>
      <c r="C34" s="12" t="s">
        <v>2668</v>
      </c>
      <c r="D34" s="12" t="n">
        <v>38</v>
      </c>
      <c r="E34" s="12" t="n">
        <f aca="false">COUNTIF('Employer Master'!$L$5:$L$99,A34)</f>
        <v>4</v>
      </c>
      <c r="F34" s="12" t="s">
        <v>1542</v>
      </c>
      <c r="G34" s="12" t="n">
        <v>4</v>
      </c>
      <c r="H34" s="33" t="n">
        <f aca="false">IFERROR(G34/D34,0)</f>
        <v>0.105263157894737</v>
      </c>
      <c r="I34" s="34" t="n">
        <f aca="false">IFERROR(H34/MEDIAN($H$5:$H$34),0)</f>
        <v>1.04201680672269</v>
      </c>
      <c r="J34" s="13" t="s">
        <v>2628</v>
      </c>
    </row>
    <row r="35" customFormat="false" ht="15" hidden="false" customHeight="true" outlineLevel="0" collapsed="false">
      <c r="A35" s="14" t="s">
        <v>1470</v>
      </c>
      <c r="D35" s="16" t="n">
        <f aca="false">SUM(D5:D34)</f>
        <v>606</v>
      </c>
      <c r="E35" s="16" t="n">
        <f aca="false">SUM(E5:E34)</f>
        <v>95</v>
      </c>
      <c r="G35" s="16" t="n">
        <f aca="false">SUM(G5:G34)</f>
        <v>117</v>
      </c>
    </row>
    <row r="37" customFormat="false" ht="15" hidden="false" customHeight="true" outlineLevel="0" collapsed="false">
      <c r="A37" s="14" t="s">
        <v>1471</v>
      </c>
      <c r="B37" s="21" t="str">
        <f aca="false">IF(E35=95,"OK — all 95 employers assigned a broker","VARIANCE: "&amp;TEXT(E35-95,"+0;-0"))</f>
        <v>OK — all 95 employers assigned a broker</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28"/>
    <col collapsed="false" customWidth="true" hidden="false" outlineLevel="0" max="3" min="3" style="1" width="13"/>
    <col collapsed="false" customWidth="true" hidden="false" outlineLevel="0" max="4" min="4" style="1" width="11"/>
    <col collapsed="false" customWidth="true" hidden="false" outlineLevel="0" max="5" min="5" style="1" width="12"/>
    <col collapsed="false" customWidth="true" hidden="false" outlineLevel="0" max="6" min="6" style="1" width="11"/>
    <col collapsed="false" customWidth="true" hidden="false" outlineLevel="0" max="7" min="7" style="1" width="17"/>
    <col collapsed="false" customWidth="true" hidden="false" outlineLevel="0" max="8" min="8" style="1" width="12"/>
    <col collapsed="false" customWidth="true" hidden="false" outlineLevel="0" max="9" min="9" style="1" width="50"/>
  </cols>
  <sheetData>
    <row r="1" customFormat="false" ht="21.75" hidden="false" customHeight="true" outlineLevel="0" collapsed="false">
      <c r="A1" s="7" t="s">
        <v>2669</v>
      </c>
    </row>
    <row r="2" customFormat="false" ht="74.25" hidden="false" customHeight="true" outlineLevel="0" collapsed="false">
      <c r="A2" s="8" t="s">
        <v>2670</v>
      </c>
      <c r="B2" s="8"/>
      <c r="C2" s="8"/>
      <c r="D2" s="8"/>
      <c r="E2" s="8"/>
      <c r="F2" s="8"/>
      <c r="G2" s="8"/>
    </row>
    <row r="3" customFormat="false" ht="6" hidden="false" customHeight="true" outlineLevel="0" collapsed="false"/>
    <row r="4" customFormat="false" ht="31.5" hidden="false" customHeight="true" outlineLevel="0" collapsed="false">
      <c r="A4" s="9" t="s">
        <v>2671</v>
      </c>
      <c r="B4" s="9" t="s">
        <v>2672</v>
      </c>
      <c r="C4" s="9" t="s">
        <v>2673</v>
      </c>
      <c r="D4" s="9" t="s">
        <v>2674</v>
      </c>
      <c r="E4" s="9" t="s">
        <v>1439</v>
      </c>
      <c r="F4" s="9" t="s">
        <v>2675</v>
      </c>
      <c r="G4" s="9" t="s">
        <v>2676</v>
      </c>
      <c r="H4" s="9" t="s">
        <v>2677</v>
      </c>
      <c r="I4" s="9" t="s">
        <v>2678</v>
      </c>
    </row>
    <row r="5" customFormat="false" ht="45.75" hidden="false" customHeight="true" outlineLevel="0" collapsed="false">
      <c r="A5" s="10" t="s">
        <v>1544</v>
      </c>
      <c r="B5" s="11" t="s">
        <v>2679</v>
      </c>
      <c r="C5" s="22" t="n">
        <v>3661</v>
      </c>
      <c r="D5" s="23" t="n">
        <f aca="false">IFERROR(C5/'Employer Master'!$F$100,0)</f>
        <v>0.880048076923077</v>
      </c>
      <c r="E5" s="10" t="n">
        <v>270</v>
      </c>
      <c r="F5" s="35" t="n">
        <f aca="false">IFERROR(E5/$E$10,0)</f>
        <v>0.45</v>
      </c>
      <c r="G5" s="36" t="n">
        <f aca="false">IFERROR(E5*(52/12)/C5*1000,0)</f>
        <v>319.584812892652</v>
      </c>
      <c r="H5" s="32" t="n">
        <f aca="false">IFERROR(G5/$G$5,0)</f>
        <v>1</v>
      </c>
      <c r="I5" s="11" t="s">
        <v>2680</v>
      </c>
    </row>
    <row r="6" customFormat="false" ht="45.75" hidden="false" customHeight="true" outlineLevel="0" collapsed="false">
      <c r="A6" s="12" t="s">
        <v>1808</v>
      </c>
      <c r="B6" s="13" t="s">
        <v>2681</v>
      </c>
      <c r="C6" s="26" t="n">
        <v>1489</v>
      </c>
      <c r="D6" s="27" t="n">
        <f aca="false">IFERROR(C6/'Employer Master'!$F$100,0)</f>
        <v>0.357932692307692</v>
      </c>
      <c r="E6" s="12" t="n">
        <v>132</v>
      </c>
      <c r="F6" s="37" t="n">
        <f aca="false">IFERROR(E6/$E$10,0)</f>
        <v>0.22</v>
      </c>
      <c r="G6" s="38" t="n">
        <f aca="false">IFERROR(E6*(52/12)/C6*1000,0)</f>
        <v>384.150436534587</v>
      </c>
      <c r="H6" s="34" t="n">
        <f aca="false">IFERROR(G6/$G$5,0)</f>
        <v>1.20202969927617</v>
      </c>
      <c r="I6" s="13" t="s">
        <v>2682</v>
      </c>
    </row>
    <row r="7" customFormat="false" ht="45.75" hidden="false" customHeight="true" outlineLevel="0" collapsed="false">
      <c r="A7" s="10" t="s">
        <v>1991</v>
      </c>
      <c r="B7" s="11" t="s">
        <v>2683</v>
      </c>
      <c r="C7" s="22" t="n">
        <v>354</v>
      </c>
      <c r="D7" s="23" t="n">
        <f aca="false">IFERROR(C7/'Employer Master'!$F$100,0)</f>
        <v>0.0850961538461539</v>
      </c>
      <c r="E7" s="10" t="n">
        <v>78</v>
      </c>
      <c r="F7" s="35" t="n">
        <f aca="false">IFERROR(E7/$E$10,0)</f>
        <v>0.13</v>
      </c>
      <c r="G7" s="36" t="n">
        <f aca="false">IFERROR(E7*(52/12)/C7*1000,0)</f>
        <v>954.802259887006</v>
      </c>
      <c r="H7" s="32" t="n">
        <f aca="false">IFERROR(G7/$G$5,0)</f>
        <v>2.98763339610797</v>
      </c>
      <c r="I7" s="11" t="s">
        <v>2684</v>
      </c>
    </row>
    <row r="8" customFormat="false" ht="45.75" hidden="false" customHeight="true" outlineLevel="0" collapsed="false">
      <c r="A8" s="12" t="s">
        <v>2685</v>
      </c>
      <c r="B8" s="13" t="s">
        <v>2686</v>
      </c>
      <c r="C8" s="26" t="n">
        <v>300</v>
      </c>
      <c r="D8" s="27" t="n">
        <f aca="false">IFERROR(C8/'Employer Master'!$F$100,0)</f>
        <v>0.0721153846153846</v>
      </c>
      <c r="E8" s="12" t="n">
        <v>53</v>
      </c>
      <c r="F8" s="37" t="n">
        <f aca="false">IFERROR(E8/$E$10,0)</f>
        <v>0.0883333333333333</v>
      </c>
      <c r="G8" s="38" t="n">
        <f aca="false">IFERROR(E8*(52/12)/C8*1000,0)</f>
        <v>765.555555555556</v>
      </c>
      <c r="H8" s="34" t="n">
        <f aca="false">IFERROR(G8/$G$5,0)</f>
        <v>2.39546913580247</v>
      </c>
      <c r="I8" s="13" t="s">
        <v>2687</v>
      </c>
    </row>
    <row r="9" customFormat="false" ht="45.75" hidden="false" customHeight="true" outlineLevel="0" collapsed="false">
      <c r="A9" s="10" t="s">
        <v>2688</v>
      </c>
      <c r="B9" s="11" t="s">
        <v>561</v>
      </c>
      <c r="C9" s="22" t="n">
        <v>0</v>
      </c>
      <c r="D9" s="23" t="n">
        <f aca="false">IFERROR(C9/'Employer Master'!$F$100,0)</f>
        <v>0</v>
      </c>
      <c r="E9" s="10" t="n">
        <v>67</v>
      </c>
      <c r="F9" s="35" t="n">
        <f aca="false">IFERROR(E9/$E$10,0)</f>
        <v>0.111666666666667</v>
      </c>
      <c r="G9" s="36" t="n">
        <f aca="false">IFERROR(E9*(52/12)/C9*1000,0)</f>
        <v>0</v>
      </c>
      <c r="H9" s="32" t="n">
        <f aca="false">IFERROR(G9/$G$5,0)</f>
        <v>0</v>
      </c>
      <c r="I9" s="11" t="s">
        <v>2689</v>
      </c>
    </row>
    <row r="10" customFormat="false" ht="15" hidden="false" customHeight="true" outlineLevel="0" collapsed="false">
      <c r="A10" s="14" t="s">
        <v>1470</v>
      </c>
      <c r="C10" s="39" t="n">
        <f aca="false">SUM(C5:C9)</f>
        <v>5804</v>
      </c>
      <c r="E10" s="39" t="n">
        <f aca="false">SUM(E5:E9)</f>
        <v>600</v>
      </c>
    </row>
    <row r="12" customFormat="false" ht="15" hidden="false" customHeight="true" outlineLevel="0" collapsed="false">
      <c r="A12" s="14" t="s">
        <v>1471</v>
      </c>
      <c r="B12" s="21" t="str">
        <f aca="false">IF(E10=600,"OK — planned calls sum to 600","VARIANCE: "&amp;TEXT(E10-600,"+0;-0"))</f>
        <v>OK — planned calls sum to 600</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4" min="3" style="1" width="13"/>
    <col collapsed="false" customWidth="true" hidden="false" outlineLevel="0" max="5" min="5" style="1" width="16"/>
    <col collapsed="false" customWidth="true" hidden="false" outlineLevel="0" max="6" min="6" style="1" width="14"/>
    <col collapsed="false" customWidth="true" hidden="false" outlineLevel="0" max="7" min="7" style="1" width="46"/>
  </cols>
  <sheetData>
    <row r="1" customFormat="false" ht="21.75" hidden="false" customHeight="true" outlineLevel="0" collapsed="false">
      <c r="A1" s="7" t="s">
        <v>2690</v>
      </c>
    </row>
    <row r="2" customFormat="false" ht="61.5" hidden="false" customHeight="true" outlineLevel="0" collapsed="false">
      <c r="A2" s="8" t="s">
        <v>2691</v>
      </c>
      <c r="B2" s="8"/>
      <c r="C2" s="8"/>
      <c r="D2" s="8"/>
      <c r="E2" s="8"/>
      <c r="F2" s="8"/>
      <c r="G2" s="8"/>
    </row>
    <row r="3" customFormat="false" ht="6" hidden="false" customHeight="true" outlineLevel="0" collapsed="false"/>
    <row r="4" customFormat="false" ht="31.5" hidden="false" customHeight="true" outlineLevel="0" collapsed="false">
      <c r="A4" s="9" t="s">
        <v>2692</v>
      </c>
      <c r="B4" s="9" t="s">
        <v>58</v>
      </c>
      <c r="C4" s="9" t="s">
        <v>2693</v>
      </c>
      <c r="D4" s="9" t="s">
        <v>1439</v>
      </c>
      <c r="E4" s="9" t="s">
        <v>2694</v>
      </c>
      <c r="F4" s="9" t="s">
        <v>2695</v>
      </c>
      <c r="G4" s="9" t="s">
        <v>2696</v>
      </c>
    </row>
    <row r="5" customFormat="false" ht="15" hidden="false" customHeight="true" outlineLevel="0" collapsed="false">
      <c r="A5" s="10" t="s">
        <v>2697</v>
      </c>
      <c r="B5" s="10" t="s">
        <v>2698</v>
      </c>
      <c r="C5" s="10" t="s">
        <v>2699</v>
      </c>
      <c r="D5" s="10" t="n">
        <v>32</v>
      </c>
      <c r="E5" s="10" t="n">
        <v>88</v>
      </c>
      <c r="F5" s="10" t="n">
        <v>7</v>
      </c>
      <c r="G5" s="11" t="s">
        <v>2700</v>
      </c>
    </row>
    <row r="6" customFormat="false" ht="15" hidden="false" customHeight="true" outlineLevel="0" collapsed="false">
      <c r="A6" s="12" t="s">
        <v>2701</v>
      </c>
      <c r="B6" s="12" t="s">
        <v>2702</v>
      </c>
      <c r="C6" s="12" t="s">
        <v>2699</v>
      </c>
      <c r="D6" s="12" t="n">
        <v>31</v>
      </c>
      <c r="E6" s="12" t="n">
        <v>88</v>
      </c>
      <c r="F6" s="12" t="n">
        <v>7</v>
      </c>
      <c r="G6" s="13" t="s">
        <v>2703</v>
      </c>
    </row>
    <row r="7" customFormat="false" ht="15" hidden="false" customHeight="true" outlineLevel="0" collapsed="false">
      <c r="A7" s="10" t="s">
        <v>2704</v>
      </c>
      <c r="B7" s="10" t="s">
        <v>2705</v>
      </c>
      <c r="C7" s="10" t="s">
        <v>2699</v>
      </c>
      <c r="D7" s="10" t="n">
        <v>31</v>
      </c>
      <c r="E7" s="10" t="n">
        <v>88</v>
      </c>
      <c r="F7" s="10" t="n">
        <v>7</v>
      </c>
      <c r="G7" s="11" t="s">
        <v>2706</v>
      </c>
    </row>
    <row r="8" customFormat="false" ht="15" hidden="false" customHeight="true" outlineLevel="0" collapsed="false">
      <c r="A8" s="12" t="s">
        <v>2707</v>
      </c>
      <c r="B8" s="12" t="s">
        <v>2708</v>
      </c>
      <c r="C8" s="12" t="s">
        <v>2699</v>
      </c>
      <c r="D8" s="12" t="n">
        <v>30</v>
      </c>
      <c r="E8" s="12" t="n">
        <v>88</v>
      </c>
      <c r="F8" s="12" t="n">
        <v>7</v>
      </c>
      <c r="G8" s="13" t="s">
        <v>2709</v>
      </c>
    </row>
    <row r="9" customFormat="false" ht="15" hidden="false" customHeight="true" outlineLevel="0" collapsed="false">
      <c r="A9" s="10" t="s">
        <v>2710</v>
      </c>
      <c r="B9" s="10" t="s">
        <v>2711</v>
      </c>
      <c r="C9" s="10" t="s">
        <v>2699</v>
      </c>
      <c r="D9" s="10" t="n">
        <v>30</v>
      </c>
      <c r="E9" s="10" t="n">
        <v>88</v>
      </c>
      <c r="F9" s="10" t="n">
        <v>7</v>
      </c>
      <c r="G9" s="11" t="s">
        <v>2712</v>
      </c>
    </row>
    <row r="10" customFormat="false" ht="15" hidden="false" customHeight="true" outlineLevel="0" collapsed="false">
      <c r="A10" s="12" t="s">
        <v>2713</v>
      </c>
      <c r="B10" s="12" t="s">
        <v>2714</v>
      </c>
      <c r="C10" s="12" t="s">
        <v>2715</v>
      </c>
      <c r="D10" s="12" t="n">
        <v>31</v>
      </c>
      <c r="E10" s="12" t="n">
        <v>76</v>
      </c>
      <c r="F10" s="12" t="n">
        <v>11</v>
      </c>
      <c r="G10" s="13" t="s">
        <v>2716</v>
      </c>
    </row>
    <row r="11" customFormat="false" ht="15" hidden="false" customHeight="true" outlineLevel="0" collapsed="false">
      <c r="A11" s="10" t="s">
        <v>2717</v>
      </c>
      <c r="B11" s="10" t="s">
        <v>2718</v>
      </c>
      <c r="C11" s="10" t="s">
        <v>2715</v>
      </c>
      <c r="D11" s="10" t="n">
        <v>31</v>
      </c>
      <c r="E11" s="10" t="n">
        <v>76</v>
      </c>
      <c r="F11" s="10" t="n">
        <v>11</v>
      </c>
      <c r="G11" s="11" t="s">
        <v>2719</v>
      </c>
    </row>
    <row r="12" customFormat="false" ht="15" hidden="false" customHeight="true" outlineLevel="0" collapsed="false">
      <c r="A12" s="12" t="s">
        <v>2720</v>
      </c>
      <c r="B12" s="12" t="s">
        <v>2721</v>
      </c>
      <c r="C12" s="12" t="s">
        <v>2715</v>
      </c>
      <c r="D12" s="12" t="n">
        <v>30</v>
      </c>
      <c r="E12" s="12" t="n">
        <v>76</v>
      </c>
      <c r="F12" s="12" t="n">
        <v>11</v>
      </c>
      <c r="G12" s="13" t="s">
        <v>2722</v>
      </c>
    </row>
    <row r="13" customFormat="false" ht="15" hidden="false" customHeight="true" outlineLevel="0" collapsed="false">
      <c r="A13" s="10" t="s">
        <v>2723</v>
      </c>
      <c r="B13" s="10" t="s">
        <v>2724</v>
      </c>
      <c r="C13" s="10" t="s">
        <v>2715</v>
      </c>
      <c r="D13" s="10" t="n">
        <v>30</v>
      </c>
      <c r="E13" s="10" t="n">
        <v>76</v>
      </c>
      <c r="F13" s="10" t="n">
        <v>11</v>
      </c>
      <c r="G13" s="11" t="s">
        <v>2725</v>
      </c>
    </row>
    <row r="14" customFormat="false" ht="15" hidden="false" customHeight="true" outlineLevel="0" collapsed="false">
      <c r="A14" s="12" t="s">
        <v>2726</v>
      </c>
      <c r="B14" s="12" t="s">
        <v>2727</v>
      </c>
      <c r="C14" s="12" t="s">
        <v>2715</v>
      </c>
      <c r="D14" s="12" t="n">
        <v>30</v>
      </c>
      <c r="E14" s="12" t="n">
        <v>76</v>
      </c>
      <c r="F14" s="12" t="n">
        <v>11</v>
      </c>
      <c r="G14" s="13" t="s">
        <v>2728</v>
      </c>
    </row>
    <row r="15" customFormat="false" ht="15" hidden="false" customHeight="true" outlineLevel="0" collapsed="false">
      <c r="A15" s="10" t="s">
        <v>2729</v>
      </c>
      <c r="B15" s="10" t="s">
        <v>2730</v>
      </c>
      <c r="C15" s="10" t="s">
        <v>2715</v>
      </c>
      <c r="D15" s="10" t="n">
        <v>30</v>
      </c>
      <c r="E15" s="10" t="n">
        <v>76</v>
      </c>
      <c r="F15" s="10" t="n">
        <v>11</v>
      </c>
      <c r="G15" s="11" t="s">
        <v>2731</v>
      </c>
    </row>
    <row r="16" customFormat="false" ht="15" hidden="false" customHeight="true" outlineLevel="0" collapsed="false">
      <c r="A16" s="12" t="s">
        <v>2732</v>
      </c>
      <c r="B16" s="12" t="s">
        <v>2733</v>
      </c>
      <c r="C16" s="12" t="s">
        <v>2715</v>
      </c>
      <c r="D16" s="12" t="n">
        <v>30</v>
      </c>
      <c r="E16" s="12" t="n">
        <v>76</v>
      </c>
      <c r="F16" s="12" t="n">
        <v>11</v>
      </c>
      <c r="G16" s="13" t="s">
        <v>2734</v>
      </c>
    </row>
    <row r="17" customFormat="false" ht="15" hidden="false" customHeight="true" outlineLevel="0" collapsed="false">
      <c r="A17" s="10" t="s">
        <v>2735</v>
      </c>
      <c r="B17" s="10" t="s">
        <v>2736</v>
      </c>
      <c r="C17" s="10" t="s">
        <v>2737</v>
      </c>
      <c r="D17" s="10" t="n">
        <v>30</v>
      </c>
      <c r="E17" s="10" t="n">
        <v>61</v>
      </c>
      <c r="F17" s="10" t="n">
        <v>14</v>
      </c>
      <c r="G17" s="11" t="s">
        <v>2738</v>
      </c>
    </row>
    <row r="18" customFormat="false" ht="15" hidden="false" customHeight="true" outlineLevel="0" collapsed="false">
      <c r="A18" s="12" t="s">
        <v>2739</v>
      </c>
      <c r="B18" s="12" t="s">
        <v>2740</v>
      </c>
      <c r="C18" s="12" t="s">
        <v>2737</v>
      </c>
      <c r="D18" s="12" t="n">
        <v>30</v>
      </c>
      <c r="E18" s="12" t="n">
        <v>61</v>
      </c>
      <c r="F18" s="12" t="n">
        <v>14</v>
      </c>
      <c r="G18" s="13" t="s">
        <v>2741</v>
      </c>
    </row>
    <row r="19" customFormat="false" ht="15" hidden="false" customHeight="true" outlineLevel="0" collapsed="false">
      <c r="A19" s="10" t="s">
        <v>2742</v>
      </c>
      <c r="B19" s="10" t="s">
        <v>2743</v>
      </c>
      <c r="C19" s="10" t="s">
        <v>2737</v>
      </c>
      <c r="D19" s="10" t="n">
        <v>30</v>
      </c>
      <c r="E19" s="10" t="n">
        <v>61</v>
      </c>
      <c r="F19" s="10" t="n">
        <v>14</v>
      </c>
      <c r="G19" s="11" t="s">
        <v>2744</v>
      </c>
    </row>
    <row r="20" customFormat="false" ht="15" hidden="false" customHeight="true" outlineLevel="0" collapsed="false">
      <c r="A20" s="12" t="s">
        <v>2745</v>
      </c>
      <c r="B20" s="12" t="s">
        <v>2746</v>
      </c>
      <c r="C20" s="12" t="s">
        <v>2737</v>
      </c>
      <c r="D20" s="12" t="n">
        <v>29</v>
      </c>
      <c r="E20" s="12" t="n">
        <v>61</v>
      </c>
      <c r="F20" s="12" t="n">
        <v>14</v>
      </c>
      <c r="G20" s="13" t="s">
        <v>2747</v>
      </c>
    </row>
    <row r="21" customFormat="false" ht="15" hidden="false" customHeight="true" outlineLevel="0" collapsed="false">
      <c r="A21" s="10" t="s">
        <v>2748</v>
      </c>
      <c r="B21" s="10" t="s">
        <v>2749</v>
      </c>
      <c r="C21" s="10" t="s">
        <v>2737</v>
      </c>
      <c r="D21" s="10" t="n">
        <v>29</v>
      </c>
      <c r="E21" s="10" t="n">
        <v>61</v>
      </c>
      <c r="F21" s="10" t="n">
        <v>14</v>
      </c>
      <c r="G21" s="11" t="s">
        <v>2750</v>
      </c>
    </row>
    <row r="22" customFormat="false" ht="15" hidden="false" customHeight="true" outlineLevel="0" collapsed="false">
      <c r="A22" s="12" t="s">
        <v>2751</v>
      </c>
      <c r="B22" s="12" t="s">
        <v>2752</v>
      </c>
      <c r="C22" s="12" t="s">
        <v>2737</v>
      </c>
      <c r="D22" s="12" t="n">
        <v>29</v>
      </c>
      <c r="E22" s="12" t="n">
        <v>61</v>
      </c>
      <c r="F22" s="12" t="n">
        <v>14</v>
      </c>
      <c r="G22" s="13" t="s">
        <v>2753</v>
      </c>
    </row>
    <row r="23" customFormat="false" ht="15" hidden="false" customHeight="true" outlineLevel="0" collapsed="false">
      <c r="A23" s="10" t="s">
        <v>2754</v>
      </c>
      <c r="B23" s="10" t="s">
        <v>2755</v>
      </c>
      <c r="C23" s="10" t="s">
        <v>2737</v>
      </c>
      <c r="D23" s="10" t="n">
        <v>29</v>
      </c>
      <c r="E23" s="10" t="n">
        <v>61</v>
      </c>
      <c r="F23" s="10" t="n">
        <v>14</v>
      </c>
      <c r="G23" s="11" t="s">
        <v>2756</v>
      </c>
    </row>
    <row r="24" customFormat="false" ht="15" hidden="false" customHeight="true" outlineLevel="0" collapsed="false">
      <c r="A24" s="12" t="s">
        <v>2757</v>
      </c>
      <c r="B24" s="12" t="s">
        <v>2758</v>
      </c>
      <c r="C24" s="12" t="s">
        <v>2737</v>
      </c>
      <c r="D24" s="12" t="n">
        <v>28</v>
      </c>
      <c r="E24" s="12" t="n">
        <v>61</v>
      </c>
      <c r="F24" s="12" t="n">
        <v>14</v>
      </c>
      <c r="G24" s="13" t="s">
        <v>2759</v>
      </c>
    </row>
    <row r="25" customFormat="false" ht="15" hidden="false" customHeight="true" outlineLevel="0" collapsed="false">
      <c r="A25" s="14" t="s">
        <v>1470</v>
      </c>
      <c r="D25" s="16" t="n">
        <f aca="false">SUM(D5:D24)</f>
        <v>600</v>
      </c>
    </row>
    <row r="27" customFormat="false" ht="15" hidden="false" customHeight="true" outlineLevel="0" collapsed="false">
      <c r="A27" s="14" t="s">
        <v>1471</v>
      </c>
      <c r="B27" s="21" t="str">
        <f aca="false">IF(D25=600,"OK — planned calls sum to 600","VARIANCE: "&amp;TEXT(D25-600,"+0;-0"))</f>
        <v>OK — planned calls sum to 600</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2"/>
    <col collapsed="false" customWidth="true" hidden="false" outlineLevel="0" max="3" min="3" style="1" width="13"/>
    <col collapsed="false" customWidth="true" hidden="false" outlineLevel="0" max="4" min="4" style="1" width="10"/>
    <col collapsed="false" customWidth="true" hidden="false" outlineLevel="0" max="5" min="5" style="1" width="16"/>
    <col collapsed="false" customWidth="true" hidden="false" outlineLevel="0" max="6" min="6" style="1" width="50"/>
  </cols>
  <sheetData>
    <row r="1" customFormat="false" ht="21.75" hidden="false" customHeight="true" outlineLevel="0" collapsed="false">
      <c r="A1" s="7" t="s">
        <v>2760</v>
      </c>
    </row>
    <row r="2" customFormat="false" ht="86.25" hidden="false" customHeight="true" outlineLevel="0" collapsed="false">
      <c r="A2" s="8" t="s">
        <v>2761</v>
      </c>
      <c r="B2" s="8"/>
      <c r="C2" s="8"/>
      <c r="D2" s="8"/>
      <c r="E2" s="8"/>
      <c r="F2" s="8"/>
    </row>
    <row r="3" customFormat="false" ht="6" hidden="false" customHeight="true" outlineLevel="0" collapsed="false"/>
    <row r="4" customFormat="false" ht="31.5" hidden="false" customHeight="true" outlineLevel="0" collapsed="false">
      <c r="A4" s="9" t="s">
        <v>2762</v>
      </c>
      <c r="B4" s="9" t="s">
        <v>2763</v>
      </c>
      <c r="C4" s="9" t="s">
        <v>2764</v>
      </c>
      <c r="D4" s="9" t="s">
        <v>2765</v>
      </c>
      <c r="E4" s="9" t="s">
        <v>2766</v>
      </c>
      <c r="F4" s="9" t="s">
        <v>230</v>
      </c>
    </row>
    <row r="5" customFormat="false" ht="23.25" hidden="false" customHeight="true" outlineLevel="0" collapsed="false">
      <c r="A5" s="10" t="s">
        <v>2767</v>
      </c>
      <c r="B5" s="11" t="s">
        <v>2768</v>
      </c>
      <c r="C5" s="40" t="n">
        <v>0.65</v>
      </c>
      <c r="D5" s="10" t="n">
        <f aca="false">ROUND(C5*600,0)</f>
        <v>390</v>
      </c>
      <c r="E5" s="10" t="s">
        <v>2769</v>
      </c>
      <c r="F5" s="11" t="s">
        <v>2770</v>
      </c>
    </row>
    <row r="6" customFormat="false" ht="15" hidden="false" customHeight="true" outlineLevel="0" collapsed="false">
      <c r="A6" s="12"/>
      <c r="B6" s="13" t="s">
        <v>2771</v>
      </c>
      <c r="C6" s="40" t="n">
        <v>0.35</v>
      </c>
      <c r="D6" s="12" t="n">
        <f aca="false">ROUND(C6*600,0)</f>
        <v>210</v>
      </c>
      <c r="E6" s="12" t="s">
        <v>2772</v>
      </c>
      <c r="F6" s="13" t="s">
        <v>2773</v>
      </c>
    </row>
    <row r="7" customFormat="false" ht="15" hidden="false" customHeight="true" outlineLevel="0" collapsed="false">
      <c r="A7" s="10" t="s">
        <v>2774</v>
      </c>
      <c r="B7" s="11" t="s">
        <v>2775</v>
      </c>
      <c r="C7" s="40" t="n">
        <v>0.62</v>
      </c>
      <c r="D7" s="10" t="n">
        <f aca="false">ROUND(C7*600,0)</f>
        <v>372</v>
      </c>
      <c r="E7" s="10" t="s">
        <v>38</v>
      </c>
      <c r="F7" s="11"/>
    </row>
    <row r="8" customFormat="false" ht="15" hidden="false" customHeight="true" outlineLevel="0" collapsed="false">
      <c r="A8" s="12"/>
      <c r="B8" s="13" t="s">
        <v>2776</v>
      </c>
      <c r="C8" s="40" t="n">
        <v>0.12</v>
      </c>
      <c r="D8" s="12" t="n">
        <f aca="false">ROUND(C8*600,0)</f>
        <v>72</v>
      </c>
      <c r="E8" s="12" t="s">
        <v>38</v>
      </c>
      <c r="F8" s="13" t="s">
        <v>2777</v>
      </c>
    </row>
    <row r="9" customFormat="false" ht="15" hidden="false" customHeight="true" outlineLevel="0" collapsed="false">
      <c r="A9" s="10"/>
      <c r="B9" s="11" t="s">
        <v>2778</v>
      </c>
      <c r="C9" s="40" t="n">
        <v>0.05</v>
      </c>
      <c r="D9" s="10" t="n">
        <f aca="false">ROUND(C9*600,0)</f>
        <v>30</v>
      </c>
      <c r="E9" s="10" t="s">
        <v>2779</v>
      </c>
      <c r="F9" s="11" t="s">
        <v>2780</v>
      </c>
    </row>
    <row r="10" customFormat="false" ht="15" hidden="false" customHeight="true" outlineLevel="0" collapsed="false">
      <c r="A10" s="12"/>
      <c r="B10" s="13" t="s">
        <v>2781</v>
      </c>
      <c r="C10" s="40" t="n">
        <v>0.21</v>
      </c>
      <c r="D10" s="12" t="n">
        <f aca="false">ROUND(C10*600,0)</f>
        <v>126</v>
      </c>
      <c r="E10" s="12" t="s">
        <v>2782</v>
      </c>
      <c r="F10" s="13" t="s">
        <v>2783</v>
      </c>
    </row>
    <row r="11" customFormat="false" ht="15" hidden="false" customHeight="true" outlineLevel="0" collapsed="false">
      <c r="A11" s="10" t="s">
        <v>2784</v>
      </c>
      <c r="B11" s="11" t="s">
        <v>2785</v>
      </c>
      <c r="C11" s="40" t="n">
        <v>0.48</v>
      </c>
      <c r="D11" s="10" t="n">
        <f aca="false">ROUND(C11*600,0)</f>
        <v>288</v>
      </c>
      <c r="E11" s="10" t="s">
        <v>38</v>
      </c>
      <c r="F11" s="11"/>
    </row>
    <row r="12" customFormat="false" ht="23.25" hidden="false" customHeight="true" outlineLevel="0" collapsed="false">
      <c r="A12" s="12"/>
      <c r="B12" s="13" t="s">
        <v>2786</v>
      </c>
      <c r="C12" s="40" t="n">
        <v>0.17</v>
      </c>
      <c r="D12" s="12" t="n">
        <f aca="false">ROUND(C12*600,0)</f>
        <v>102</v>
      </c>
      <c r="E12" s="12" t="s">
        <v>38</v>
      </c>
      <c r="F12" s="13" t="s">
        <v>2787</v>
      </c>
    </row>
    <row r="13" customFormat="false" ht="23.25" hidden="false" customHeight="true" outlineLevel="0" collapsed="false">
      <c r="A13" s="10"/>
      <c r="B13" s="11" t="s">
        <v>2788</v>
      </c>
      <c r="C13" s="40" t="n">
        <v>0.14</v>
      </c>
      <c r="D13" s="10" t="n">
        <f aca="false">ROUND(C13*600,0)</f>
        <v>84</v>
      </c>
      <c r="E13" s="10" t="s">
        <v>38</v>
      </c>
      <c r="F13" s="11" t="s">
        <v>2789</v>
      </c>
    </row>
    <row r="14" customFormat="false" ht="15" hidden="false" customHeight="true" outlineLevel="0" collapsed="false">
      <c r="A14" s="12"/>
      <c r="B14" s="13" t="s">
        <v>2790</v>
      </c>
      <c r="C14" s="40" t="n">
        <v>0.13</v>
      </c>
      <c r="D14" s="12" t="n">
        <f aca="false">ROUND(C14*600,0)</f>
        <v>78</v>
      </c>
      <c r="E14" s="12" t="s">
        <v>38</v>
      </c>
      <c r="F14" s="13" t="s">
        <v>2791</v>
      </c>
    </row>
    <row r="15" customFormat="false" ht="15" hidden="false" customHeight="true" outlineLevel="0" collapsed="false">
      <c r="A15" s="10"/>
      <c r="B15" s="11" t="s">
        <v>2792</v>
      </c>
      <c r="C15" s="40" t="n">
        <v>0.08</v>
      </c>
      <c r="D15" s="10" t="n">
        <f aca="false">ROUND(C15*600,0)</f>
        <v>48</v>
      </c>
      <c r="E15" s="10" t="s">
        <v>2779</v>
      </c>
      <c r="F15" s="11"/>
    </row>
    <row r="16" customFormat="false" ht="15" hidden="false" customHeight="true" outlineLevel="0" collapsed="false">
      <c r="A16" s="12" t="s">
        <v>2793</v>
      </c>
      <c r="B16" s="13" t="s">
        <v>2794</v>
      </c>
      <c r="C16" s="27"/>
      <c r="D16" s="41" t="n">
        <v>36</v>
      </c>
      <c r="E16" s="12" t="s">
        <v>2795</v>
      </c>
      <c r="F16" s="13" t="s">
        <v>2796</v>
      </c>
    </row>
    <row r="17" customFormat="false" ht="15" hidden="false" customHeight="true" outlineLevel="0" collapsed="false">
      <c r="A17" s="10"/>
      <c r="B17" s="11" t="s">
        <v>2797</v>
      </c>
      <c r="C17" s="23"/>
      <c r="D17" s="41" t="n">
        <v>30</v>
      </c>
      <c r="E17" s="10" t="s">
        <v>2795</v>
      </c>
      <c r="F17" s="11" t="s">
        <v>2798</v>
      </c>
    </row>
    <row r="18" customFormat="false" ht="15" hidden="false" customHeight="true" outlineLevel="0" collapsed="false">
      <c r="A18" s="12"/>
      <c r="B18" s="13" t="s">
        <v>2799</v>
      </c>
      <c r="C18" s="27"/>
      <c r="D18" s="41" t="n">
        <v>21</v>
      </c>
      <c r="E18" s="12" t="s">
        <v>2795</v>
      </c>
      <c r="F18" s="13" t="s">
        <v>2800</v>
      </c>
    </row>
    <row r="19" customFormat="false" ht="15" hidden="false" customHeight="true" outlineLevel="0" collapsed="false">
      <c r="A19" s="10" t="s">
        <v>2801</v>
      </c>
      <c r="B19" s="11" t="s">
        <v>2802</v>
      </c>
      <c r="C19" s="23"/>
      <c r="D19" s="41" t="n">
        <v>72</v>
      </c>
      <c r="E19" s="10" t="s">
        <v>2779</v>
      </c>
      <c r="F19" s="11"/>
    </row>
    <row r="20" customFormat="false" ht="15" hidden="false" customHeight="true" outlineLevel="0" collapsed="false">
      <c r="A20" s="12"/>
      <c r="B20" s="13" t="s">
        <v>2803</v>
      </c>
      <c r="C20" s="27"/>
      <c r="D20" s="41" t="n">
        <v>30</v>
      </c>
      <c r="E20" s="12" t="s">
        <v>2779</v>
      </c>
      <c r="F20" s="13"/>
    </row>
    <row r="21" customFormat="false" ht="15" hidden="false" customHeight="true" outlineLevel="0" collapsed="false">
      <c r="A21" s="10"/>
      <c r="B21" s="11" t="s">
        <v>2804</v>
      </c>
      <c r="C21" s="23"/>
      <c r="D21" s="41" t="n">
        <v>42</v>
      </c>
      <c r="E21" s="10" t="s">
        <v>2779</v>
      </c>
      <c r="F21" s="11" t="s">
        <v>2805</v>
      </c>
    </row>
    <row r="22" customFormat="false" ht="23.25" hidden="false" customHeight="true" outlineLevel="0" collapsed="false">
      <c r="A22" s="12"/>
      <c r="B22" s="13" t="s">
        <v>2806</v>
      </c>
      <c r="C22" s="27"/>
      <c r="D22" s="41" t="n">
        <v>15</v>
      </c>
      <c r="E22" s="12" t="s">
        <v>2779</v>
      </c>
      <c r="F22" s="13" t="s">
        <v>2807</v>
      </c>
    </row>
    <row r="23" customFormat="false" ht="15" hidden="false" customHeight="true" outlineLevel="0" collapsed="false">
      <c r="A23" s="10" t="s">
        <v>2808</v>
      </c>
      <c r="B23" s="11" t="s">
        <v>2809</v>
      </c>
      <c r="C23" s="23"/>
      <c r="D23" s="41" t="n">
        <v>107</v>
      </c>
      <c r="E23" s="10" t="s">
        <v>2810</v>
      </c>
      <c r="F23" s="11"/>
    </row>
    <row r="24" customFormat="false" ht="15" hidden="false" customHeight="true" outlineLevel="0" collapsed="false">
      <c r="A24" s="12"/>
      <c r="B24" s="13" t="s">
        <v>2811</v>
      </c>
      <c r="C24" s="27"/>
      <c r="D24" s="41" t="n">
        <v>48</v>
      </c>
      <c r="E24" s="12" t="s">
        <v>2782</v>
      </c>
      <c r="F24" s="13" t="s">
        <v>2812</v>
      </c>
    </row>
    <row r="25" customFormat="false" ht="15" hidden="false" customHeight="true" outlineLevel="0" collapsed="false">
      <c r="A25" s="10" t="s">
        <v>2813</v>
      </c>
      <c r="B25" s="11" t="s">
        <v>2814</v>
      </c>
      <c r="C25" s="23"/>
      <c r="D25" s="41" t="n">
        <v>72</v>
      </c>
      <c r="E25" s="10" t="s">
        <v>2815</v>
      </c>
      <c r="F25" s="11" t="s">
        <v>2816</v>
      </c>
    </row>
    <row r="26" customFormat="false" ht="15" hidden="false" customHeight="true" outlineLevel="0" collapsed="false">
      <c r="A26" s="12"/>
      <c r="B26" s="13" t="s">
        <v>2817</v>
      </c>
      <c r="C26" s="27"/>
      <c r="D26" s="41" t="n">
        <v>15</v>
      </c>
      <c r="E26" s="12" t="s">
        <v>2815</v>
      </c>
      <c r="F26" s="13" t="s">
        <v>2818</v>
      </c>
    </row>
    <row r="27" customFormat="false" ht="15" hidden="false" customHeight="true" outlineLevel="0" collapsed="false">
      <c r="A27" s="10" t="s">
        <v>2819</v>
      </c>
      <c r="B27" s="11" t="s">
        <v>2820</v>
      </c>
      <c r="C27" s="23"/>
      <c r="D27" s="41" t="n">
        <v>54</v>
      </c>
      <c r="E27" s="10" t="s">
        <v>2821</v>
      </c>
      <c r="F27" s="11" t="s">
        <v>2822</v>
      </c>
    </row>
    <row r="28" customFormat="false" ht="15" hidden="false" customHeight="true" outlineLevel="0" collapsed="false">
      <c r="A28" s="12"/>
      <c r="B28" s="13" t="s">
        <v>2823</v>
      </c>
      <c r="C28" s="27"/>
      <c r="D28" s="41" t="n">
        <v>12</v>
      </c>
      <c r="E28" s="12" t="s">
        <v>2821</v>
      </c>
      <c r="F28" s="13"/>
    </row>
    <row r="29" customFormat="false" ht="15" hidden="false" customHeight="true" outlineLevel="0" collapsed="false">
      <c r="A29" s="10" t="s">
        <v>2824</v>
      </c>
      <c r="B29" s="11" t="s">
        <v>2825</v>
      </c>
      <c r="C29" s="23"/>
      <c r="D29" s="41" t="n">
        <v>117</v>
      </c>
      <c r="E29" s="10" t="s">
        <v>2826</v>
      </c>
      <c r="F29" s="11" t="s">
        <v>2827</v>
      </c>
    </row>
    <row r="30" customFormat="false" ht="15" hidden="false" customHeight="true" outlineLevel="0" collapsed="false">
      <c r="A30" s="12"/>
      <c r="B30" s="13" t="s">
        <v>2828</v>
      </c>
      <c r="C30" s="27"/>
      <c r="D30" s="41" t="n">
        <v>30</v>
      </c>
      <c r="E30" s="12" t="s">
        <v>2826</v>
      </c>
      <c r="F30" s="13" t="s">
        <v>2829</v>
      </c>
    </row>
    <row r="31" customFormat="false" ht="15" hidden="false" customHeight="true" outlineLevel="0" collapsed="false">
      <c r="A31" s="10"/>
      <c r="B31" s="11" t="s">
        <v>2830</v>
      </c>
      <c r="C31" s="23"/>
      <c r="D31" s="41" t="n">
        <v>15</v>
      </c>
      <c r="E31" s="10" t="s">
        <v>2826</v>
      </c>
      <c r="F31" s="11"/>
    </row>
    <row r="32" customFormat="false" ht="15" hidden="false" customHeight="true" outlineLevel="0" collapsed="false">
      <c r="A32" s="12" t="s">
        <v>659</v>
      </c>
      <c r="B32" s="13" t="s">
        <v>2831</v>
      </c>
      <c r="C32" s="27"/>
      <c r="D32" s="41" t="n">
        <v>30</v>
      </c>
      <c r="E32" s="12" t="s">
        <v>552</v>
      </c>
      <c r="F32" s="13"/>
    </row>
    <row r="33" customFormat="false" ht="15" hidden="false" customHeight="true" outlineLevel="0" collapsed="false">
      <c r="A33" s="10"/>
      <c r="B33" s="11" t="s">
        <v>2832</v>
      </c>
      <c r="C33" s="23"/>
      <c r="D33" s="41" t="n">
        <v>24</v>
      </c>
      <c r="E33" s="10" t="s">
        <v>2833</v>
      </c>
      <c r="F33" s="11"/>
    </row>
    <row r="34" customFormat="false" ht="15" hidden="false" customHeight="true" outlineLevel="0" collapsed="false">
      <c r="A34" s="12" t="s">
        <v>2834</v>
      </c>
      <c r="B34" s="13" t="s">
        <v>2835</v>
      </c>
      <c r="C34" s="42" t="n">
        <v>486</v>
      </c>
      <c r="D34" s="12"/>
      <c r="E34" s="12" t="s">
        <v>2836</v>
      </c>
      <c r="F34" s="13" t="s">
        <v>2837</v>
      </c>
    </row>
    <row r="36" customFormat="false" ht="15" hidden="false" customHeight="true" outlineLevel="0" collapsed="false">
      <c r="A36" s="14" t="s">
        <v>1471</v>
      </c>
      <c r="B36" s="21" t="str">
        <f aca="false">IF(AND(SUM(D5:D6)=600,SUM(D7:D10)=600,SUM(D11:D15)=600),"OK — caller mix, outcomes and archetypes each sum to 600","VARIANCE — check mix rows")</f>
        <v>OK — caller mix, outcomes and archetypes each sum to 600</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0"/>
    <col collapsed="false" customWidth="true" hidden="false" outlineLevel="0" max="3" min="3" style="1" width="14"/>
    <col collapsed="false" customWidth="true" hidden="false" outlineLevel="0" max="4" min="4" style="1" width="34"/>
    <col collapsed="false" customWidth="true" hidden="false" outlineLevel="0" max="5" min="5" style="1" width="58"/>
    <col collapsed="false" customWidth="true" hidden="false" outlineLevel="0" max="8" min="6" style="1" width="17"/>
  </cols>
  <sheetData>
    <row r="1" customFormat="false" ht="17.25" hidden="false" customHeight="true" outlineLevel="0" collapsed="false">
      <c r="A1" s="7" t="s">
        <v>2838</v>
      </c>
    </row>
    <row r="2" customFormat="false" ht="66" hidden="false" customHeight="true" outlineLevel="0" collapsed="false">
      <c r="A2" s="8" t="s">
        <v>2839</v>
      </c>
      <c r="B2" s="8"/>
      <c r="C2" s="8"/>
      <c r="D2" s="8"/>
      <c r="E2" s="8"/>
      <c r="F2" s="8"/>
      <c r="G2" s="8"/>
    </row>
    <row r="4" customFormat="false" ht="33.75" hidden="false" customHeight="true" outlineLevel="0" collapsed="false">
      <c r="A4" s="9" t="s">
        <v>2840</v>
      </c>
      <c r="B4" s="9" t="s">
        <v>2841</v>
      </c>
      <c r="C4" s="9" t="s">
        <v>2842</v>
      </c>
      <c r="D4" s="9" t="s">
        <v>2843</v>
      </c>
      <c r="E4" s="9" t="s">
        <v>2844</v>
      </c>
      <c r="F4" s="9" t="s">
        <v>2845</v>
      </c>
      <c r="G4" s="9" t="s">
        <v>2846</v>
      </c>
      <c r="H4" s="9" t="s">
        <v>2847</v>
      </c>
    </row>
    <row r="5" customFormat="false" ht="21.75" hidden="false" customHeight="true" outlineLevel="0" collapsed="false">
      <c r="A5" s="14" t="s">
        <v>170</v>
      </c>
      <c r="B5" s="43" t="n">
        <v>74</v>
      </c>
      <c r="C5" s="43" t="n">
        <v>6</v>
      </c>
      <c r="D5" s="43" t="n">
        <v>3</v>
      </c>
      <c r="E5" s="44" t="s">
        <v>38</v>
      </c>
      <c r="F5" s="44" t="s">
        <v>38</v>
      </c>
      <c r="G5" s="43" t="n">
        <v>4</v>
      </c>
      <c r="H5" s="45" t="n">
        <v>87</v>
      </c>
    </row>
    <row r="6" customFormat="false" ht="21.75" hidden="false" customHeight="true" outlineLevel="0" collapsed="false">
      <c r="A6" s="14" t="s">
        <v>177</v>
      </c>
      <c r="B6" s="43" t="n">
        <v>20</v>
      </c>
      <c r="C6" s="43" t="n">
        <v>3</v>
      </c>
      <c r="D6" s="44" t="s">
        <v>38</v>
      </c>
      <c r="E6" s="44" t="s">
        <v>38</v>
      </c>
      <c r="F6" s="44" t="s">
        <v>38</v>
      </c>
      <c r="G6" s="43" t="n">
        <v>3</v>
      </c>
      <c r="H6" s="45" t="n">
        <v>26</v>
      </c>
    </row>
    <row r="7" customFormat="false" ht="21.75" hidden="false" customHeight="true" outlineLevel="0" collapsed="false">
      <c r="A7" s="14" t="s">
        <v>184</v>
      </c>
      <c r="B7" s="46" t="n">
        <v>2</v>
      </c>
      <c r="C7" s="46" t="n">
        <v>1</v>
      </c>
      <c r="D7" s="44" t="s">
        <v>38</v>
      </c>
      <c r="E7" s="44" t="s">
        <v>38</v>
      </c>
      <c r="F7" s="46" t="n">
        <v>1</v>
      </c>
      <c r="G7" s="43" t="n">
        <v>9</v>
      </c>
      <c r="H7" s="45" t="n">
        <v>13</v>
      </c>
    </row>
    <row r="8" customFormat="false" ht="21.75" hidden="false" customHeight="true" outlineLevel="0" collapsed="false">
      <c r="A8" s="14" t="s">
        <v>191</v>
      </c>
      <c r="B8" s="43" t="n">
        <v>10</v>
      </c>
      <c r="C8" s="43" t="n">
        <v>7</v>
      </c>
      <c r="D8" s="43" t="n">
        <v>5</v>
      </c>
      <c r="E8" s="43" t="n">
        <v>5</v>
      </c>
      <c r="F8" s="44" t="s">
        <v>38</v>
      </c>
      <c r="G8" s="43" t="n">
        <v>3</v>
      </c>
      <c r="H8" s="45" t="n">
        <v>30</v>
      </c>
    </row>
    <row r="10" customFormat="false" ht="30" hidden="false" customHeight="true" outlineLevel="0" collapsed="false">
      <c r="A10" s="14" t="s">
        <v>2848</v>
      </c>
      <c r="B10" s="47" t="s">
        <v>2849</v>
      </c>
      <c r="C10" s="47"/>
      <c r="D10" s="47"/>
      <c r="E10" s="47"/>
      <c r="F10" s="47"/>
      <c r="G10" s="47"/>
      <c r="H10" s="47"/>
    </row>
    <row r="12" customFormat="false" ht="15" hidden="false" customHeight="true" outlineLevel="0" collapsed="false">
      <c r="A12" s="16" t="s">
        <v>2850</v>
      </c>
    </row>
    <row r="13" customFormat="false" ht="15" hidden="false" customHeight="true" outlineLevel="0" collapsed="false">
      <c r="A13" s="9" t="s">
        <v>317</v>
      </c>
      <c r="B13" s="9" t="s">
        <v>2851</v>
      </c>
      <c r="C13" s="9" t="s">
        <v>2852</v>
      </c>
      <c r="D13" s="9" t="s">
        <v>2853</v>
      </c>
      <c r="E13" s="9" t="s">
        <v>2854</v>
      </c>
    </row>
    <row r="14" customFormat="false" ht="39.75" hidden="false" customHeight="true" outlineLevel="0" collapsed="false">
      <c r="A14" s="13" t="s">
        <v>2855</v>
      </c>
      <c r="B14" s="12" t="n">
        <v>4</v>
      </c>
      <c r="C14" s="12" t="n">
        <v>24</v>
      </c>
      <c r="D14" s="13" t="s">
        <v>2856</v>
      </c>
      <c r="E14" s="13" t="s">
        <v>2857</v>
      </c>
    </row>
    <row r="15" customFormat="false" ht="39.75" hidden="false" customHeight="true" outlineLevel="0" collapsed="false">
      <c r="A15" s="11" t="s">
        <v>2858</v>
      </c>
      <c r="B15" s="10" t="n">
        <v>8</v>
      </c>
      <c r="C15" s="10" t="n">
        <v>75</v>
      </c>
      <c r="D15" s="11" t="s">
        <v>2859</v>
      </c>
      <c r="E15" s="11" t="s">
        <v>2860</v>
      </c>
    </row>
    <row r="16" customFormat="false" ht="39.75" hidden="false" customHeight="true" outlineLevel="0" collapsed="false">
      <c r="A16" s="13" t="s">
        <v>2861</v>
      </c>
      <c r="B16" s="12" t="n">
        <v>4</v>
      </c>
      <c r="C16" s="12" t="n">
        <v>24</v>
      </c>
      <c r="D16" s="13" t="s">
        <v>2862</v>
      </c>
      <c r="E16" s="13" t="s">
        <v>2863</v>
      </c>
    </row>
    <row r="17" customFormat="false" ht="39.75" hidden="false" customHeight="true" outlineLevel="0" collapsed="false">
      <c r="A17" s="11" t="s">
        <v>2864</v>
      </c>
      <c r="B17" s="10" t="n">
        <v>13</v>
      </c>
      <c r="C17" s="10" t="n">
        <v>52</v>
      </c>
      <c r="D17" s="11" t="s">
        <v>2865</v>
      </c>
      <c r="E17" s="11" t="s">
        <v>2866</v>
      </c>
    </row>
    <row r="18" customFormat="false" ht="39.75" hidden="false" customHeight="true" outlineLevel="0" collapsed="false">
      <c r="A18" s="13" t="s">
        <v>2867</v>
      </c>
      <c r="B18" s="12" t="n">
        <v>22</v>
      </c>
      <c r="C18" s="12" t="n">
        <v>88</v>
      </c>
      <c r="D18" s="13" t="s">
        <v>2868</v>
      </c>
      <c r="E18" s="13" t="s">
        <v>2869</v>
      </c>
    </row>
    <row r="19" customFormat="false" ht="39.75" hidden="false" customHeight="true" outlineLevel="0" collapsed="false">
      <c r="A19" s="11" t="s">
        <v>2870</v>
      </c>
      <c r="B19" s="10" t="n">
        <v>95</v>
      </c>
      <c r="C19" s="10" t="n">
        <v>95</v>
      </c>
      <c r="D19" s="11" t="s">
        <v>2871</v>
      </c>
      <c r="E19" s="11" t="s">
        <v>2872</v>
      </c>
    </row>
    <row r="20" customFormat="false" ht="39.75" hidden="false" customHeight="true" outlineLevel="0" collapsed="false">
      <c r="A20" s="13" t="s">
        <v>2873</v>
      </c>
      <c r="B20" s="12" t="n">
        <v>150</v>
      </c>
      <c r="C20" s="12" t="n">
        <v>600</v>
      </c>
      <c r="D20" s="13" t="s">
        <v>2874</v>
      </c>
      <c r="E20" s="13" t="s">
        <v>2875</v>
      </c>
    </row>
    <row r="21" customFormat="false" ht="39.75" hidden="false" customHeight="true" outlineLevel="0" collapsed="false">
      <c r="A21" s="11" t="s">
        <v>2876</v>
      </c>
      <c r="B21" s="10" t="n">
        <v>2</v>
      </c>
      <c r="C21" s="10" t="n">
        <v>12</v>
      </c>
      <c r="D21" s="11" t="s">
        <v>2877</v>
      </c>
      <c r="E21" s="11" t="s">
        <v>2878</v>
      </c>
    </row>
  </sheetData>
  <mergeCells count="2">
    <mergeCell ref="A2:G2"/>
    <mergeCell ref="B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9"/>
    <col collapsed="false" customWidth="true" hidden="false" outlineLevel="0" max="4" min="4" style="1" width="26"/>
    <col collapsed="false" customWidth="true" hidden="false" outlineLevel="0" max="5" min="5" style="1" width="64"/>
  </cols>
  <sheetData>
    <row r="1" customFormat="false" ht="17.25" hidden="false" customHeight="true" outlineLevel="0" collapsed="false">
      <c r="A1" s="7" t="s">
        <v>2879</v>
      </c>
    </row>
    <row r="2" customFormat="false" ht="54" hidden="false" customHeight="true" outlineLevel="0" collapsed="false">
      <c r="A2" s="8" t="s">
        <v>2880</v>
      </c>
      <c r="B2" s="8"/>
      <c r="C2" s="8"/>
      <c r="D2" s="8"/>
      <c r="E2" s="8"/>
    </row>
    <row r="4" customFormat="false" ht="15" hidden="false" customHeight="true" outlineLevel="0" collapsed="false">
      <c r="A4" s="9" t="s">
        <v>2881</v>
      </c>
      <c r="B4" s="9" t="s">
        <v>2765</v>
      </c>
      <c r="C4" s="9" t="s">
        <v>490</v>
      </c>
      <c r="D4" s="9" t="s">
        <v>2882</v>
      </c>
      <c r="E4" s="9" t="s">
        <v>2883</v>
      </c>
    </row>
    <row r="5" customFormat="false" ht="30" hidden="false" customHeight="true" outlineLevel="0" collapsed="false">
      <c r="A5" s="10" t="s">
        <v>2884</v>
      </c>
      <c r="B5" s="10" t="n">
        <v>67</v>
      </c>
      <c r="C5" s="10" t="s">
        <v>2885</v>
      </c>
      <c r="D5" s="10" t="s">
        <v>2886</v>
      </c>
      <c r="E5" s="11" t="s">
        <v>2887</v>
      </c>
    </row>
    <row r="6" customFormat="false" ht="30" hidden="false" customHeight="true" outlineLevel="0" collapsed="false">
      <c r="A6" s="12" t="s">
        <v>2888</v>
      </c>
      <c r="B6" s="12" t="n">
        <v>64</v>
      </c>
      <c r="C6" s="12" t="s">
        <v>2889</v>
      </c>
      <c r="D6" s="12" t="s">
        <v>1509</v>
      </c>
      <c r="E6" s="13" t="s">
        <v>2890</v>
      </c>
    </row>
    <row r="7" customFormat="false" ht="30" hidden="false" customHeight="true" outlineLevel="0" collapsed="false">
      <c r="A7" s="10" t="s">
        <v>2824</v>
      </c>
      <c r="B7" s="10" t="n">
        <v>8</v>
      </c>
      <c r="C7" s="10" t="s">
        <v>2891</v>
      </c>
      <c r="D7" s="10" t="s">
        <v>2892</v>
      </c>
      <c r="E7" s="11" t="s">
        <v>2893</v>
      </c>
    </row>
    <row r="8" customFormat="false" ht="30" hidden="false" customHeight="true" outlineLevel="0" collapsed="false">
      <c r="A8" s="12" t="s">
        <v>2894</v>
      </c>
      <c r="B8" s="12" t="n">
        <v>4</v>
      </c>
      <c r="C8" s="12" t="s">
        <v>2895</v>
      </c>
      <c r="D8" s="12" t="s">
        <v>1554</v>
      </c>
      <c r="E8" s="13" t="s">
        <v>2896</v>
      </c>
    </row>
    <row r="9" customFormat="false" ht="30" hidden="false" customHeight="true" outlineLevel="0" collapsed="false">
      <c r="A9" s="10" t="s">
        <v>2897</v>
      </c>
      <c r="B9" s="10" t="n">
        <v>4</v>
      </c>
      <c r="C9" s="10" t="s">
        <v>2895</v>
      </c>
      <c r="D9" s="10" t="s">
        <v>2898</v>
      </c>
      <c r="E9" s="11" t="s">
        <v>2899</v>
      </c>
    </row>
    <row r="10" customFormat="false" ht="30" hidden="false" customHeight="true" outlineLevel="0" collapsed="false">
      <c r="A10" s="12" t="s">
        <v>2900</v>
      </c>
      <c r="B10" s="12" t="n">
        <v>2</v>
      </c>
      <c r="C10" s="12" t="s">
        <v>2901</v>
      </c>
      <c r="D10" s="12" t="s">
        <v>1509</v>
      </c>
      <c r="E10" s="13" t="s">
        <v>2902</v>
      </c>
    </row>
    <row r="11" customFormat="false" ht="30" hidden="false" customHeight="true" outlineLevel="0" collapsed="false">
      <c r="A11" s="10" t="s">
        <v>2903</v>
      </c>
      <c r="B11" s="10" t="n">
        <v>1</v>
      </c>
      <c r="C11" s="10" t="s">
        <v>2901</v>
      </c>
      <c r="D11" s="10" t="s">
        <v>2904</v>
      </c>
      <c r="E11" s="11" t="s">
        <v>2905</v>
      </c>
    </row>
    <row r="13" customFormat="false" ht="36" hidden="false" customHeight="true" outlineLevel="0" collapsed="false">
      <c r="A13" s="14" t="s">
        <v>2906</v>
      </c>
      <c r="B13" s="47" t="s">
        <v>2907</v>
      </c>
      <c r="C13" s="47"/>
      <c r="D13" s="47"/>
      <c r="E13" s="47"/>
    </row>
  </sheetData>
  <mergeCells count="2">
    <mergeCell ref="A2:E2"/>
    <mergeCell ref="B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3" min="3" style="1" width="11"/>
    <col collapsed="false" customWidth="true" hidden="false" outlineLevel="0" max="4" min="4" style="1" width="13"/>
    <col collapsed="false" customWidth="true" hidden="false" outlineLevel="0" max="5" min="5" style="1" width="9"/>
    <col collapsed="false" customWidth="true" hidden="false" outlineLevel="0" max="6" min="6" style="1" width="54"/>
    <col collapsed="false" customWidth="true" hidden="false" outlineLevel="0" max="7" min="7" style="1" width="32"/>
    <col collapsed="false" customWidth="true" hidden="false" outlineLevel="0" max="8" min="8" style="1" width="26"/>
  </cols>
  <sheetData>
    <row r="1" customFormat="false" ht="17.25" hidden="false" customHeight="true" outlineLevel="0" collapsed="false">
      <c r="A1" s="7" t="s">
        <v>2908</v>
      </c>
    </row>
    <row r="2" customFormat="false" ht="75.75" hidden="false" customHeight="true" outlineLevel="0" collapsed="false">
      <c r="A2" s="8" t="s">
        <v>2909</v>
      </c>
      <c r="B2" s="8"/>
      <c r="C2" s="8"/>
      <c r="D2" s="8"/>
      <c r="E2" s="8"/>
      <c r="F2" s="8"/>
      <c r="G2" s="8"/>
      <c r="H2" s="8"/>
    </row>
    <row r="3" customFormat="false" ht="6" hidden="false" customHeight="true" outlineLevel="0" collapsed="false"/>
    <row r="4" customFormat="false" ht="30" hidden="false" customHeight="true" outlineLevel="0" collapsed="false">
      <c r="A4" s="9" t="s">
        <v>2910</v>
      </c>
      <c r="B4" s="9" t="s">
        <v>1492</v>
      </c>
      <c r="C4" s="9" t="s">
        <v>2911</v>
      </c>
      <c r="D4" s="9" t="s">
        <v>2912</v>
      </c>
      <c r="E4" s="9" t="s">
        <v>2913</v>
      </c>
      <c r="F4" s="9" t="s">
        <v>2914</v>
      </c>
      <c r="G4" s="9" t="s">
        <v>2915</v>
      </c>
      <c r="H4" s="9" t="s">
        <v>2916</v>
      </c>
    </row>
    <row r="5" customFormat="false" ht="43.5" hidden="false" customHeight="true" outlineLevel="0" collapsed="false">
      <c r="A5" s="11" t="s">
        <v>1511</v>
      </c>
      <c r="B5" s="10" t="s">
        <v>2917</v>
      </c>
      <c r="C5" s="10" t="n">
        <v>34</v>
      </c>
      <c r="D5" s="10" t="n">
        <v>9</v>
      </c>
      <c r="E5" s="10" t="s">
        <v>1503</v>
      </c>
      <c r="F5" s="11" t="s">
        <v>2918</v>
      </c>
      <c r="G5" s="11" t="s">
        <v>2919</v>
      </c>
      <c r="H5" s="11" t="s">
        <v>2920</v>
      </c>
    </row>
    <row r="6" customFormat="false" ht="43.5" hidden="false" customHeight="true" outlineLevel="0" collapsed="false">
      <c r="A6" s="13" t="s">
        <v>1499</v>
      </c>
      <c r="B6" s="12" t="s">
        <v>2917</v>
      </c>
      <c r="C6" s="12" t="n">
        <v>36</v>
      </c>
      <c r="D6" s="12" t="n">
        <v>9</v>
      </c>
      <c r="E6" s="12" t="s">
        <v>1503</v>
      </c>
      <c r="F6" s="13" t="s">
        <v>2921</v>
      </c>
      <c r="G6" s="13" t="s">
        <v>2922</v>
      </c>
      <c r="H6" s="18" t="s">
        <v>2923</v>
      </c>
    </row>
    <row r="7" customFormat="false" ht="43.5" hidden="false" customHeight="true" outlineLevel="0" collapsed="false">
      <c r="A7" s="11" t="s">
        <v>1518</v>
      </c>
      <c r="B7" s="10" t="s">
        <v>2917</v>
      </c>
      <c r="C7" s="10" t="n">
        <v>31</v>
      </c>
      <c r="D7" s="10" t="n">
        <v>7</v>
      </c>
      <c r="E7" s="10" t="s">
        <v>1522</v>
      </c>
      <c r="F7" s="11" t="s">
        <v>2924</v>
      </c>
      <c r="G7" s="11" t="s">
        <v>2925</v>
      </c>
      <c r="H7" s="11" t="s">
        <v>2926</v>
      </c>
    </row>
    <row r="8" customFormat="false" ht="43.5" hidden="false" customHeight="true" outlineLevel="0" collapsed="false">
      <c r="A8" s="13" t="s">
        <v>1527</v>
      </c>
      <c r="B8" s="12" t="s">
        <v>2917</v>
      </c>
      <c r="C8" s="12" t="n">
        <v>30</v>
      </c>
      <c r="D8" s="12" t="n">
        <v>4</v>
      </c>
      <c r="E8" s="12" t="s">
        <v>1503</v>
      </c>
      <c r="F8" s="13" t="s">
        <v>2927</v>
      </c>
      <c r="G8" s="13" t="s">
        <v>2928</v>
      </c>
      <c r="H8" s="13" t="s">
        <v>2929</v>
      </c>
    </row>
    <row r="9" customFormat="false" ht="43.5" hidden="false" customHeight="true" outlineLevel="0" collapsed="false">
      <c r="A9" s="11" t="s">
        <v>1534</v>
      </c>
      <c r="B9" s="10" t="s">
        <v>2917</v>
      </c>
      <c r="C9" s="10" t="n">
        <v>29</v>
      </c>
      <c r="D9" s="10" t="n">
        <v>4</v>
      </c>
      <c r="E9" s="10" t="s">
        <v>1537</v>
      </c>
      <c r="F9" s="11" t="s">
        <v>2930</v>
      </c>
      <c r="G9" s="11" t="s">
        <v>2928</v>
      </c>
      <c r="H9" s="11" t="s">
        <v>2931</v>
      </c>
    </row>
    <row r="10" customFormat="false" ht="43.5" hidden="false" customHeight="true" outlineLevel="0" collapsed="false">
      <c r="A10" s="13" t="s">
        <v>1540</v>
      </c>
      <c r="B10" s="12" t="s">
        <v>2917</v>
      </c>
      <c r="C10" s="12" t="n">
        <v>28</v>
      </c>
      <c r="D10" s="12" t="n">
        <v>3</v>
      </c>
      <c r="E10" s="12" t="s">
        <v>1503</v>
      </c>
      <c r="F10" s="13" t="s">
        <v>2932</v>
      </c>
      <c r="G10" s="13" t="s">
        <v>2933</v>
      </c>
      <c r="H10" s="13" t="s">
        <v>2934</v>
      </c>
    </row>
    <row r="11" customFormat="false" ht="43.5" hidden="false" customHeight="true" outlineLevel="0" collapsed="false">
      <c r="A11" s="11" t="s">
        <v>2935</v>
      </c>
      <c r="B11" s="10" t="s">
        <v>2936</v>
      </c>
      <c r="C11" s="10" t="s">
        <v>2937</v>
      </c>
      <c r="D11" s="10" t="s">
        <v>2938</v>
      </c>
      <c r="E11" s="10" t="s">
        <v>2939</v>
      </c>
      <c r="F11" s="11" t="s">
        <v>2940</v>
      </c>
      <c r="G11" s="11" t="s">
        <v>2941</v>
      </c>
      <c r="H11" s="11" t="s">
        <v>2722</v>
      </c>
    </row>
    <row r="12" customFormat="false" ht="43.5" hidden="false" customHeight="true" outlineLevel="0" collapsed="false">
      <c r="A12" s="13" t="s">
        <v>2942</v>
      </c>
      <c r="B12" s="12" t="s">
        <v>2943</v>
      </c>
      <c r="C12" s="12" t="s">
        <v>2944</v>
      </c>
      <c r="D12" s="12" t="s">
        <v>38</v>
      </c>
      <c r="E12" s="12" t="s">
        <v>2939</v>
      </c>
      <c r="F12" s="13" t="s">
        <v>2945</v>
      </c>
      <c r="G12" s="13" t="s">
        <v>2946</v>
      </c>
      <c r="H12" s="13" t="s">
        <v>2947</v>
      </c>
    </row>
    <row r="13" customFormat="false" ht="43.5" hidden="false" customHeight="true" outlineLevel="0" collapsed="false">
      <c r="A13" s="11" t="s">
        <v>2948</v>
      </c>
      <c r="B13" s="10" t="s">
        <v>2949</v>
      </c>
      <c r="C13" s="10" t="s">
        <v>2950</v>
      </c>
      <c r="D13" s="10" t="s">
        <v>38</v>
      </c>
      <c r="E13" s="10" t="s">
        <v>2939</v>
      </c>
      <c r="F13" s="11" t="s">
        <v>2951</v>
      </c>
      <c r="G13" s="11" t="s">
        <v>2952</v>
      </c>
      <c r="H13" s="11" t="s">
        <v>2947</v>
      </c>
    </row>
    <row r="15" customFormat="false" ht="48" hidden="false" customHeight="true" outlineLevel="0" collapsed="false">
      <c r="A15" s="14" t="s">
        <v>2953</v>
      </c>
      <c r="B15" s="47" t="s">
        <v>2954</v>
      </c>
      <c r="C15" s="47"/>
      <c r="D15" s="47"/>
      <c r="E15" s="47"/>
      <c r="F15" s="47"/>
      <c r="G15" s="47"/>
      <c r="H15" s="47"/>
    </row>
    <row r="17" customFormat="false" ht="33.75" hidden="false" customHeight="true" outlineLevel="0" collapsed="false">
      <c r="A17" s="14" t="s">
        <v>2955</v>
      </c>
      <c r="B17" s="47" t="s">
        <v>2956</v>
      </c>
      <c r="C17" s="47"/>
      <c r="D17" s="47"/>
      <c r="E17" s="47"/>
      <c r="F17" s="47"/>
      <c r="G17" s="47"/>
      <c r="H17" s="47"/>
    </row>
  </sheetData>
  <mergeCells count="3">
    <mergeCell ref="A2:H2"/>
    <mergeCell ref="B15:H15"/>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6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7"/>
    <col collapsed="false" customWidth="true" hidden="false" outlineLevel="0" max="3" min="3" style="1" width="7"/>
    <col collapsed="false" customWidth="true" hidden="false" outlineLevel="0" max="4" min="4" style="1" width="12"/>
    <col collapsed="false" customWidth="true" hidden="false" outlineLevel="0" max="5" min="5" style="1" width="13"/>
    <col collapsed="false" customWidth="true" hidden="false" outlineLevel="0" max="7" min="6" style="1" width="20"/>
    <col collapsed="false" customWidth="true" hidden="false" outlineLevel="0" max="8" min="8" style="1" width="19"/>
    <col collapsed="false" customWidth="true" hidden="false" outlineLevel="0" max="9" min="9" style="1" width="12"/>
    <col collapsed="false" customWidth="true" hidden="false" outlineLevel="0" max="10" min="10" style="1" width="16"/>
    <col collapsed="false" customWidth="true" hidden="false" outlineLevel="0" max="11" min="11" style="1" width="20"/>
    <col collapsed="false" customWidth="true" hidden="false" outlineLevel="0" max="12" min="12" style="1" width="17"/>
    <col collapsed="false" customWidth="true" hidden="false" outlineLevel="0" max="13" min="13" style="1" width="7"/>
    <col collapsed="false" customWidth="true" hidden="false" outlineLevel="0" max="14" min="14" style="1" width="8"/>
    <col collapsed="false" customWidth="true" hidden="false" outlineLevel="0" max="15" min="15" style="1" width="26"/>
    <col collapsed="false" customWidth="true" hidden="false" outlineLevel="0" max="16" min="16" style="1" width="17"/>
    <col collapsed="false" customWidth="true" hidden="false" outlineLevel="0" max="18" min="17" style="1" width="40"/>
    <col collapsed="false" customWidth="true" hidden="false" outlineLevel="0" max="19" min="19" style="1" width="26"/>
    <col collapsed="false" customWidth="true" hidden="false" outlineLevel="0" max="20" min="20" style="1" width="44"/>
    <col collapsed="false" customWidth="true" hidden="false" outlineLevel="0" max="21" min="21" style="1" width="22"/>
    <col collapsed="false" customWidth="true" hidden="false" outlineLevel="0" max="22" min="22" style="1" width="44"/>
    <col collapsed="false" customWidth="true" hidden="false" outlineLevel="0" max="23" min="23" style="1" width="20"/>
    <col collapsed="false" customWidth="true" hidden="false" outlineLevel="0" max="24" min="24" style="1" width="26"/>
    <col collapsed="false" customWidth="true" hidden="false" outlineLevel="0" max="25" min="25" style="1" width="22"/>
    <col collapsed="false" customWidth="true" hidden="false" outlineLevel="0" max="26" min="26" style="1" width="24"/>
    <col collapsed="false" customWidth="true" hidden="false" outlineLevel="0" max="27" min="27" style="1" width="32"/>
    <col collapsed="false" customWidth="true" hidden="false" outlineLevel="0" max="28" min="28" style="1" width="44"/>
    <col collapsed="false" customWidth="true" hidden="false" outlineLevel="0" max="29" min="29" style="1" width="22"/>
  </cols>
  <sheetData>
    <row r="1" customFormat="false" ht="21.75" hidden="false" customHeight="true" outlineLevel="0" collapsed="false">
      <c r="A1" s="7" t="s">
        <v>2957</v>
      </c>
    </row>
    <row r="2" customFormat="false" ht="61.5" hidden="false" customHeight="true" outlineLevel="0" collapsed="false">
      <c r="A2" s="8" t="s">
        <v>2958</v>
      </c>
      <c r="B2" s="8"/>
      <c r="C2" s="8"/>
      <c r="D2" s="8"/>
      <c r="E2" s="8"/>
      <c r="F2" s="8"/>
      <c r="G2" s="8"/>
      <c r="H2" s="8"/>
    </row>
    <row r="3" customFormat="false" ht="6" hidden="false" customHeight="true" outlineLevel="0" collapsed="false"/>
    <row r="4" customFormat="false" ht="31.5" hidden="false" customHeight="true" outlineLevel="0" collapsed="false">
      <c r="A4" s="9" t="s">
        <v>2959</v>
      </c>
      <c r="B4" s="9" t="s">
        <v>2960</v>
      </c>
      <c r="C4" s="9" t="s">
        <v>2961</v>
      </c>
      <c r="D4" s="9" t="s">
        <v>2962</v>
      </c>
      <c r="E4" s="9" t="s">
        <v>134</v>
      </c>
      <c r="F4" s="9" t="s">
        <v>2963</v>
      </c>
      <c r="G4" s="9" t="s">
        <v>58</v>
      </c>
      <c r="H4" s="9" t="s">
        <v>2964</v>
      </c>
      <c r="I4" s="9" t="s">
        <v>2671</v>
      </c>
      <c r="J4" s="9" t="s">
        <v>2965</v>
      </c>
      <c r="K4" s="9" t="s">
        <v>410</v>
      </c>
      <c r="L4" s="9" t="s">
        <v>163</v>
      </c>
      <c r="M4" s="9" t="s">
        <v>2966</v>
      </c>
      <c r="N4" s="9" t="s">
        <v>2967</v>
      </c>
      <c r="O4" s="9" t="s">
        <v>2968</v>
      </c>
      <c r="P4" s="9" t="s">
        <v>2969</v>
      </c>
      <c r="Q4" s="9" t="s">
        <v>2970</v>
      </c>
      <c r="R4" s="9" t="s">
        <v>2971</v>
      </c>
      <c r="S4" s="9" t="s">
        <v>2972</v>
      </c>
      <c r="T4" s="9" t="s">
        <v>2973</v>
      </c>
      <c r="U4" s="9" t="s">
        <v>2974</v>
      </c>
      <c r="V4" s="9" t="s">
        <v>2975</v>
      </c>
      <c r="W4" s="9" t="s">
        <v>2976</v>
      </c>
      <c r="X4" s="9" t="s">
        <v>2977</v>
      </c>
      <c r="Y4" s="9" t="s">
        <v>2881</v>
      </c>
      <c r="Z4" s="9" t="s">
        <v>2978</v>
      </c>
      <c r="AA4" s="9" t="s">
        <v>2979</v>
      </c>
      <c r="AB4" s="9" t="s">
        <v>2980</v>
      </c>
      <c r="AC4" s="9" t="s">
        <v>2981</v>
      </c>
    </row>
    <row r="5" customFormat="false" ht="30" hidden="false" customHeight="true" outlineLevel="0" collapsed="false">
      <c r="A5" s="10" t="s">
        <v>2982</v>
      </c>
      <c r="B5" s="10" t="s">
        <v>2983</v>
      </c>
      <c r="C5" s="10" t="s">
        <v>564</v>
      </c>
      <c r="D5" s="10" t="s">
        <v>2984</v>
      </c>
      <c r="E5" s="10" t="s">
        <v>2214</v>
      </c>
      <c r="F5" s="10" t="s">
        <v>2215</v>
      </c>
      <c r="G5" s="11" t="s">
        <v>2985</v>
      </c>
      <c r="H5" s="10" t="s">
        <v>2986</v>
      </c>
      <c r="I5" s="10" t="s">
        <v>2987</v>
      </c>
      <c r="J5" s="11" t="s">
        <v>2988</v>
      </c>
      <c r="K5" s="11" t="s">
        <v>433</v>
      </c>
      <c r="L5" s="10" t="s">
        <v>170</v>
      </c>
      <c r="M5" s="10" t="n">
        <v>91</v>
      </c>
      <c r="N5" s="10" t="n">
        <v>380</v>
      </c>
      <c r="O5" s="11" t="s">
        <v>2785</v>
      </c>
      <c r="P5" s="10" t="s">
        <v>2989</v>
      </c>
      <c r="Q5" s="11" t="s">
        <v>2990</v>
      </c>
      <c r="R5" s="11" t="s">
        <v>2991</v>
      </c>
      <c r="S5" s="11"/>
      <c r="T5" s="11" t="s">
        <v>2992</v>
      </c>
      <c r="U5" s="10"/>
      <c r="V5" s="11" t="s">
        <v>2993</v>
      </c>
      <c r="W5" s="10"/>
      <c r="X5" s="11"/>
      <c r="Y5" s="10" t="s">
        <v>2888</v>
      </c>
      <c r="Z5" s="10" t="s">
        <v>1509</v>
      </c>
      <c r="AA5" s="11" t="s">
        <v>2994</v>
      </c>
      <c r="AB5" s="11"/>
      <c r="AC5" s="10" t="s">
        <v>2995</v>
      </c>
    </row>
    <row r="6" customFormat="false" ht="30" hidden="false" customHeight="true" outlineLevel="0" collapsed="false">
      <c r="A6" s="12" t="s">
        <v>2996</v>
      </c>
      <c r="B6" s="12" t="s">
        <v>2997</v>
      </c>
      <c r="C6" s="12" t="s">
        <v>564</v>
      </c>
      <c r="D6" s="12" t="s">
        <v>2984</v>
      </c>
      <c r="E6" s="12" t="s">
        <v>2144</v>
      </c>
      <c r="F6" s="12" t="s">
        <v>2145</v>
      </c>
      <c r="G6" s="13" t="s">
        <v>2998</v>
      </c>
      <c r="H6" s="12" t="s">
        <v>2999</v>
      </c>
      <c r="I6" s="12" t="s">
        <v>2987</v>
      </c>
      <c r="J6" s="13" t="s">
        <v>432</v>
      </c>
      <c r="K6" s="13" t="s">
        <v>429</v>
      </c>
      <c r="L6" s="12" t="s">
        <v>191</v>
      </c>
      <c r="M6" s="12" t="n">
        <v>44</v>
      </c>
      <c r="N6" s="12" t="n">
        <v>245</v>
      </c>
      <c r="O6" s="13" t="s">
        <v>3000</v>
      </c>
      <c r="P6" s="12" t="s">
        <v>2989</v>
      </c>
      <c r="Q6" s="13" t="s">
        <v>3001</v>
      </c>
      <c r="R6" s="13" t="s">
        <v>2991</v>
      </c>
      <c r="S6" s="13" t="s">
        <v>3002</v>
      </c>
      <c r="T6" s="13" t="s">
        <v>3003</v>
      </c>
      <c r="U6" s="12"/>
      <c r="V6" s="13"/>
      <c r="W6" s="12"/>
      <c r="X6" s="13"/>
      <c r="Y6" s="12" t="s">
        <v>2888</v>
      </c>
      <c r="Z6" s="12" t="s">
        <v>1509</v>
      </c>
      <c r="AA6" s="13" t="s">
        <v>3004</v>
      </c>
      <c r="AB6" s="13"/>
      <c r="AC6" s="12" t="s">
        <v>2995</v>
      </c>
    </row>
    <row r="7" customFormat="false" ht="30" hidden="false" customHeight="true" outlineLevel="0" collapsed="false">
      <c r="A7" s="10" t="s">
        <v>3005</v>
      </c>
      <c r="B7" s="10" t="s">
        <v>3006</v>
      </c>
      <c r="C7" s="10" t="s">
        <v>564</v>
      </c>
      <c r="D7" s="10" t="s">
        <v>2903</v>
      </c>
      <c r="E7" s="10" t="s">
        <v>2462</v>
      </c>
      <c r="F7" s="10" t="s">
        <v>2463</v>
      </c>
      <c r="G7" s="11" t="s">
        <v>3007</v>
      </c>
      <c r="H7" s="10" t="s">
        <v>3008</v>
      </c>
      <c r="I7" s="10" t="s">
        <v>3009</v>
      </c>
      <c r="J7" s="11" t="s">
        <v>3010</v>
      </c>
      <c r="K7" s="11" t="s">
        <v>438</v>
      </c>
      <c r="L7" s="10" t="s">
        <v>170</v>
      </c>
      <c r="M7" s="10" t="n">
        <v>88</v>
      </c>
      <c r="N7" s="10" t="n">
        <v>468</v>
      </c>
      <c r="O7" s="11" t="s">
        <v>2785</v>
      </c>
      <c r="P7" s="10" t="s">
        <v>3011</v>
      </c>
      <c r="Q7" s="11"/>
      <c r="R7" s="11" t="s">
        <v>2991</v>
      </c>
      <c r="S7" s="11"/>
      <c r="T7" s="11"/>
      <c r="U7" s="10"/>
      <c r="V7" s="11" t="s">
        <v>3012</v>
      </c>
      <c r="W7" s="10"/>
      <c r="X7" s="11"/>
      <c r="Y7" s="10" t="s">
        <v>2884</v>
      </c>
      <c r="Z7" s="10" t="s">
        <v>2886</v>
      </c>
      <c r="AA7" s="11" t="s">
        <v>3013</v>
      </c>
      <c r="AB7" s="11"/>
      <c r="AC7" s="10" t="s">
        <v>3014</v>
      </c>
    </row>
    <row r="8" customFormat="false" ht="30" hidden="false" customHeight="true" outlineLevel="0" collapsed="false">
      <c r="A8" s="12" t="s">
        <v>3015</v>
      </c>
      <c r="B8" s="12" t="s">
        <v>3016</v>
      </c>
      <c r="C8" s="12" t="s">
        <v>564</v>
      </c>
      <c r="D8" s="12" t="s">
        <v>2984</v>
      </c>
      <c r="E8" s="12" t="s">
        <v>2226</v>
      </c>
      <c r="F8" s="12" t="s">
        <v>2227</v>
      </c>
      <c r="G8" s="13" t="s">
        <v>3017</v>
      </c>
      <c r="H8" s="12" t="s">
        <v>3018</v>
      </c>
      <c r="I8" s="12" t="s">
        <v>2987</v>
      </c>
      <c r="J8" s="13" t="s">
        <v>38</v>
      </c>
      <c r="K8" s="13" t="s">
        <v>38</v>
      </c>
      <c r="L8" s="12" t="s">
        <v>170</v>
      </c>
      <c r="M8" s="12" t="n">
        <v>70</v>
      </c>
      <c r="N8" s="12" t="n">
        <v>192</v>
      </c>
      <c r="O8" s="13" t="s">
        <v>2785</v>
      </c>
      <c r="P8" s="12" t="s">
        <v>3011</v>
      </c>
      <c r="Q8" s="13"/>
      <c r="R8" s="13" t="s">
        <v>2991</v>
      </c>
      <c r="S8" s="13"/>
      <c r="T8" s="13"/>
      <c r="U8" s="12"/>
      <c r="V8" s="13"/>
      <c r="W8" s="12"/>
      <c r="X8" s="13"/>
      <c r="Y8" s="12" t="s">
        <v>2884</v>
      </c>
      <c r="Z8" s="12" t="s">
        <v>2886</v>
      </c>
      <c r="AA8" s="13" t="s">
        <v>3019</v>
      </c>
      <c r="AB8" s="13"/>
      <c r="AC8" s="12" t="s">
        <v>2995</v>
      </c>
    </row>
    <row r="9" customFormat="false" ht="30" hidden="false" customHeight="true" outlineLevel="0" collapsed="false">
      <c r="A9" s="10" t="s">
        <v>3020</v>
      </c>
      <c r="B9" s="10" t="s">
        <v>3021</v>
      </c>
      <c r="C9" s="10" t="s">
        <v>564</v>
      </c>
      <c r="D9" s="10" t="s">
        <v>2984</v>
      </c>
      <c r="E9" s="10" t="s">
        <v>1873</v>
      </c>
      <c r="F9" s="10" t="s">
        <v>1874</v>
      </c>
      <c r="G9" s="11" t="s">
        <v>3022</v>
      </c>
      <c r="H9" s="10" t="s">
        <v>3018</v>
      </c>
      <c r="I9" s="10" t="s">
        <v>3023</v>
      </c>
      <c r="J9" s="11" t="s">
        <v>1244</v>
      </c>
      <c r="K9" s="11" t="s">
        <v>452</v>
      </c>
      <c r="L9" s="10" t="s">
        <v>191</v>
      </c>
      <c r="M9" s="10" t="n">
        <v>51</v>
      </c>
      <c r="N9" s="10" t="n">
        <v>722</v>
      </c>
      <c r="O9" s="11" t="s">
        <v>3024</v>
      </c>
      <c r="P9" s="10" t="s">
        <v>2989</v>
      </c>
      <c r="Q9" s="11" t="s">
        <v>3025</v>
      </c>
      <c r="R9" s="11" t="s">
        <v>2991</v>
      </c>
      <c r="S9" s="11"/>
      <c r="T9" s="11" t="s">
        <v>3026</v>
      </c>
      <c r="U9" s="10"/>
      <c r="V9" s="11"/>
      <c r="W9" s="10"/>
      <c r="X9" s="11"/>
      <c r="Y9" s="10" t="s">
        <v>2888</v>
      </c>
      <c r="Z9" s="10" t="s">
        <v>1509</v>
      </c>
      <c r="AA9" s="11" t="s">
        <v>3019</v>
      </c>
      <c r="AB9" s="11"/>
      <c r="AC9" s="10" t="s">
        <v>2995</v>
      </c>
    </row>
    <row r="10" customFormat="false" ht="30" hidden="false" customHeight="true" outlineLevel="0" collapsed="false">
      <c r="A10" s="12" t="s">
        <v>3027</v>
      </c>
      <c r="B10" s="12" t="s">
        <v>3028</v>
      </c>
      <c r="C10" s="12" t="s">
        <v>564</v>
      </c>
      <c r="D10" s="12" t="s">
        <v>2903</v>
      </c>
      <c r="E10" s="12" t="s">
        <v>2466</v>
      </c>
      <c r="F10" s="12" t="s">
        <v>2467</v>
      </c>
      <c r="G10" s="13" t="s">
        <v>3029</v>
      </c>
      <c r="H10" s="12" t="s">
        <v>2999</v>
      </c>
      <c r="I10" s="12" t="s">
        <v>3009</v>
      </c>
      <c r="J10" s="13" t="s">
        <v>3030</v>
      </c>
      <c r="K10" s="13" t="s">
        <v>441</v>
      </c>
      <c r="L10" s="12" t="s">
        <v>177</v>
      </c>
      <c r="M10" s="12" t="n">
        <v>82</v>
      </c>
      <c r="N10" s="12" t="n">
        <v>510</v>
      </c>
      <c r="O10" s="13" t="s">
        <v>3031</v>
      </c>
      <c r="P10" s="12" t="s">
        <v>3011</v>
      </c>
      <c r="Q10" s="13" t="s">
        <v>2990</v>
      </c>
      <c r="R10" s="13" t="s">
        <v>2991</v>
      </c>
      <c r="S10" s="13"/>
      <c r="T10" s="13"/>
      <c r="U10" s="12"/>
      <c r="V10" s="13"/>
      <c r="W10" s="12"/>
      <c r="X10" s="13"/>
      <c r="Y10" s="12" t="s">
        <v>2888</v>
      </c>
      <c r="Z10" s="12" t="s">
        <v>1509</v>
      </c>
      <c r="AA10" s="13" t="s">
        <v>3004</v>
      </c>
      <c r="AB10" s="13"/>
      <c r="AC10" s="12" t="s">
        <v>3014</v>
      </c>
    </row>
    <row r="11" customFormat="false" ht="30" hidden="false" customHeight="true" outlineLevel="0" collapsed="false">
      <c r="A11" s="10" t="s">
        <v>3032</v>
      </c>
      <c r="B11" s="10" t="s">
        <v>3033</v>
      </c>
      <c r="C11" s="10" t="s">
        <v>564</v>
      </c>
      <c r="D11" s="10" t="s">
        <v>2984</v>
      </c>
      <c r="E11" s="10" t="s">
        <v>2238</v>
      </c>
      <c r="F11" s="10" t="s">
        <v>2239</v>
      </c>
      <c r="G11" s="11" t="s">
        <v>3034</v>
      </c>
      <c r="H11" s="10" t="s">
        <v>2986</v>
      </c>
      <c r="I11" s="10" t="s">
        <v>2987</v>
      </c>
      <c r="J11" s="11" t="s">
        <v>38</v>
      </c>
      <c r="K11" s="11" t="s">
        <v>38</v>
      </c>
      <c r="L11" s="10" t="s">
        <v>170</v>
      </c>
      <c r="M11" s="10" t="n">
        <v>56</v>
      </c>
      <c r="N11" s="10" t="n">
        <v>344</v>
      </c>
      <c r="O11" s="11" t="s">
        <v>2785</v>
      </c>
      <c r="P11" s="10" t="s">
        <v>3011</v>
      </c>
      <c r="Q11" s="11" t="s">
        <v>3035</v>
      </c>
      <c r="R11" s="11" t="s">
        <v>2991</v>
      </c>
      <c r="S11" s="11" t="s">
        <v>3036</v>
      </c>
      <c r="T11" s="11"/>
      <c r="U11" s="10"/>
      <c r="V11" s="11"/>
      <c r="W11" s="10"/>
      <c r="X11" s="11"/>
      <c r="Y11" s="10" t="s">
        <v>2888</v>
      </c>
      <c r="Z11" s="10" t="s">
        <v>1509</v>
      </c>
      <c r="AA11" s="11" t="s">
        <v>2994</v>
      </c>
      <c r="AB11" s="11"/>
      <c r="AC11" s="10" t="s">
        <v>2995</v>
      </c>
    </row>
    <row r="12" customFormat="false" ht="30" hidden="false" customHeight="true" outlineLevel="0" collapsed="false">
      <c r="A12" s="12" t="s">
        <v>3037</v>
      </c>
      <c r="B12" s="12" t="s">
        <v>3038</v>
      </c>
      <c r="C12" s="12" t="s">
        <v>564</v>
      </c>
      <c r="D12" s="12" t="s">
        <v>2903</v>
      </c>
      <c r="E12" s="12" t="s">
        <v>2382</v>
      </c>
      <c r="F12" s="12" t="s">
        <v>2383</v>
      </c>
      <c r="G12" s="13" t="s">
        <v>3039</v>
      </c>
      <c r="H12" s="12" t="s">
        <v>3008</v>
      </c>
      <c r="I12" s="12" t="s">
        <v>3009</v>
      </c>
      <c r="J12" s="13" t="s">
        <v>3040</v>
      </c>
      <c r="K12" s="13" t="s">
        <v>438</v>
      </c>
      <c r="L12" s="12" t="s">
        <v>184</v>
      </c>
      <c r="M12" s="12" t="n">
        <v>89</v>
      </c>
      <c r="N12" s="12" t="n">
        <v>555</v>
      </c>
      <c r="O12" s="13" t="s">
        <v>2792</v>
      </c>
      <c r="P12" s="12" t="s">
        <v>3041</v>
      </c>
      <c r="Q12" s="13" t="s">
        <v>3042</v>
      </c>
      <c r="R12" s="13" t="s">
        <v>3043</v>
      </c>
      <c r="S12" s="13"/>
      <c r="T12" s="13"/>
      <c r="U12" s="12"/>
      <c r="V12" s="13"/>
      <c r="W12" s="12" t="s">
        <v>3044</v>
      </c>
      <c r="X12" s="13"/>
      <c r="Y12" s="12" t="s">
        <v>2824</v>
      </c>
      <c r="Z12" s="12" t="s">
        <v>2892</v>
      </c>
      <c r="AA12" s="13" t="s">
        <v>3013</v>
      </c>
      <c r="AB12" s="13"/>
      <c r="AC12" s="12" t="s">
        <v>3045</v>
      </c>
    </row>
    <row r="13" customFormat="false" ht="30" hidden="false" customHeight="true" outlineLevel="0" collapsed="false">
      <c r="A13" s="10" t="s">
        <v>3046</v>
      </c>
      <c r="B13" s="10" t="s">
        <v>3047</v>
      </c>
      <c r="C13" s="10" t="s">
        <v>564</v>
      </c>
      <c r="D13" s="10" t="s">
        <v>2984</v>
      </c>
      <c r="E13" s="10" t="s">
        <v>2242</v>
      </c>
      <c r="F13" s="10" t="s">
        <v>2243</v>
      </c>
      <c r="G13" s="11" t="s">
        <v>3048</v>
      </c>
      <c r="H13" s="10" t="s">
        <v>3049</v>
      </c>
      <c r="I13" s="10" t="s">
        <v>2987</v>
      </c>
      <c r="J13" s="11" t="s">
        <v>1168</v>
      </c>
      <c r="K13" s="11" t="s">
        <v>426</v>
      </c>
      <c r="L13" s="10" t="s">
        <v>170</v>
      </c>
      <c r="M13" s="10" t="n">
        <v>79</v>
      </c>
      <c r="N13" s="10" t="n">
        <v>270</v>
      </c>
      <c r="O13" s="11" t="s">
        <v>2785</v>
      </c>
      <c r="P13" s="10" t="s">
        <v>3011</v>
      </c>
      <c r="Q13" s="11"/>
      <c r="R13" s="11" t="s">
        <v>2991</v>
      </c>
      <c r="S13" s="11"/>
      <c r="T13" s="11"/>
      <c r="U13" s="10"/>
      <c r="V13" s="11"/>
      <c r="W13" s="10"/>
      <c r="X13" s="11"/>
      <c r="Y13" s="10" t="s">
        <v>2884</v>
      </c>
      <c r="Z13" s="10" t="s">
        <v>2886</v>
      </c>
      <c r="AA13" s="11" t="s">
        <v>3050</v>
      </c>
      <c r="AB13" s="11"/>
      <c r="AC13" s="10" t="s">
        <v>2995</v>
      </c>
    </row>
    <row r="14" customFormat="false" ht="30" hidden="false" customHeight="true" outlineLevel="0" collapsed="false">
      <c r="A14" s="12" t="s">
        <v>3051</v>
      </c>
      <c r="B14" s="12" t="s">
        <v>3052</v>
      </c>
      <c r="C14" s="12" t="s">
        <v>564</v>
      </c>
      <c r="D14" s="12" t="s">
        <v>2984</v>
      </c>
      <c r="E14" s="12" t="s">
        <v>2170</v>
      </c>
      <c r="F14" s="12" t="s">
        <v>2171</v>
      </c>
      <c r="G14" s="13" t="s">
        <v>3053</v>
      </c>
      <c r="H14" s="12" t="s">
        <v>2986</v>
      </c>
      <c r="I14" s="12" t="s">
        <v>2987</v>
      </c>
      <c r="J14" s="13" t="s">
        <v>38</v>
      </c>
      <c r="K14" s="13" t="s">
        <v>452</v>
      </c>
      <c r="L14" s="12" t="s">
        <v>191</v>
      </c>
      <c r="M14" s="12" t="n">
        <v>47</v>
      </c>
      <c r="N14" s="12" t="n">
        <v>365</v>
      </c>
      <c r="O14" s="13" t="s">
        <v>3000</v>
      </c>
      <c r="P14" s="12" t="s">
        <v>2989</v>
      </c>
      <c r="Q14" s="13" t="s">
        <v>3054</v>
      </c>
      <c r="R14" s="13" t="s">
        <v>3055</v>
      </c>
      <c r="S14" s="13"/>
      <c r="T14" s="13"/>
      <c r="U14" s="12"/>
      <c r="V14" s="13"/>
      <c r="W14" s="12"/>
      <c r="X14" s="13"/>
      <c r="Y14" s="12" t="s">
        <v>2888</v>
      </c>
      <c r="Z14" s="12" t="s">
        <v>1509</v>
      </c>
      <c r="AA14" s="13" t="s">
        <v>2994</v>
      </c>
      <c r="AB14" s="13"/>
      <c r="AC14" s="12" t="s">
        <v>2995</v>
      </c>
    </row>
    <row r="15" customFormat="false" ht="30" hidden="false" customHeight="true" outlineLevel="0" collapsed="false">
      <c r="A15" s="10" t="s">
        <v>3056</v>
      </c>
      <c r="B15" s="10" t="s">
        <v>3057</v>
      </c>
      <c r="C15" s="10" t="s">
        <v>564</v>
      </c>
      <c r="D15" s="10" t="s">
        <v>2903</v>
      </c>
      <c r="E15" s="10" t="s">
        <v>2471</v>
      </c>
      <c r="F15" s="10" t="s">
        <v>2472</v>
      </c>
      <c r="G15" s="11" t="s">
        <v>3058</v>
      </c>
      <c r="H15" s="10" t="s">
        <v>2999</v>
      </c>
      <c r="I15" s="10" t="s">
        <v>3009</v>
      </c>
      <c r="J15" s="11" t="s">
        <v>3059</v>
      </c>
      <c r="K15" s="11" t="s">
        <v>455</v>
      </c>
      <c r="L15" s="10" t="s">
        <v>170</v>
      </c>
      <c r="M15" s="10" t="n">
        <v>86</v>
      </c>
      <c r="N15" s="10" t="n">
        <v>442</v>
      </c>
      <c r="O15" s="11" t="s">
        <v>2785</v>
      </c>
      <c r="P15" s="10" t="s">
        <v>3011</v>
      </c>
      <c r="Q15" s="11"/>
      <c r="R15" s="11" t="s">
        <v>2991</v>
      </c>
      <c r="S15" s="11"/>
      <c r="T15" s="11"/>
      <c r="U15" s="10"/>
      <c r="V15" s="11"/>
      <c r="W15" s="10"/>
      <c r="X15" s="11"/>
      <c r="Y15" s="10" t="s">
        <v>2884</v>
      </c>
      <c r="Z15" s="10" t="s">
        <v>2886</v>
      </c>
      <c r="AA15" s="11" t="s">
        <v>3004</v>
      </c>
      <c r="AB15" s="11"/>
      <c r="AC15" s="10" t="s">
        <v>3014</v>
      </c>
    </row>
    <row r="16" customFormat="false" ht="30" hidden="false" customHeight="true" outlineLevel="0" collapsed="false">
      <c r="A16" s="12" t="s">
        <v>3060</v>
      </c>
      <c r="B16" s="12" t="s">
        <v>3061</v>
      </c>
      <c r="C16" s="12" t="s">
        <v>564</v>
      </c>
      <c r="D16" s="12" t="s">
        <v>2984</v>
      </c>
      <c r="E16" s="12" t="s">
        <v>2026</v>
      </c>
      <c r="F16" s="12" t="s">
        <v>2027</v>
      </c>
      <c r="G16" s="13" t="s">
        <v>3062</v>
      </c>
      <c r="H16" s="12" t="s">
        <v>3018</v>
      </c>
      <c r="I16" s="12" t="s">
        <v>3023</v>
      </c>
      <c r="J16" s="13" t="s">
        <v>1240</v>
      </c>
      <c r="K16" s="13" t="s">
        <v>452</v>
      </c>
      <c r="L16" s="12" t="s">
        <v>170</v>
      </c>
      <c r="M16" s="12" t="n">
        <v>74</v>
      </c>
      <c r="N16" s="12" t="n">
        <v>310</v>
      </c>
      <c r="O16" s="13" t="s">
        <v>2785</v>
      </c>
      <c r="P16" s="12" t="s">
        <v>3011</v>
      </c>
      <c r="Q16" s="13"/>
      <c r="R16" s="13" t="s">
        <v>2991</v>
      </c>
      <c r="S16" s="13"/>
      <c r="T16" s="13"/>
      <c r="U16" s="12"/>
      <c r="V16" s="13"/>
      <c r="W16" s="12"/>
      <c r="X16" s="13"/>
      <c r="Y16" s="12" t="s">
        <v>2884</v>
      </c>
      <c r="Z16" s="12" t="s">
        <v>2886</v>
      </c>
      <c r="AA16" s="13" t="s">
        <v>3019</v>
      </c>
      <c r="AB16" s="13"/>
      <c r="AC16" s="12" t="s">
        <v>2995</v>
      </c>
    </row>
    <row r="17" customFormat="false" ht="30" hidden="false" customHeight="true" outlineLevel="0" collapsed="false">
      <c r="A17" s="10" t="s">
        <v>3063</v>
      </c>
      <c r="B17" s="10" t="s">
        <v>3064</v>
      </c>
      <c r="C17" s="10" t="s">
        <v>564</v>
      </c>
      <c r="D17" s="10" t="s">
        <v>2903</v>
      </c>
      <c r="E17" s="10" t="s">
        <v>2450</v>
      </c>
      <c r="F17" s="10" t="s">
        <v>2451</v>
      </c>
      <c r="G17" s="11" t="s">
        <v>3065</v>
      </c>
      <c r="H17" s="10" t="s">
        <v>3008</v>
      </c>
      <c r="I17" s="10" t="s">
        <v>3009</v>
      </c>
      <c r="J17" s="11" t="s">
        <v>3066</v>
      </c>
      <c r="K17" s="11" t="s">
        <v>438</v>
      </c>
      <c r="L17" s="10" t="s">
        <v>191</v>
      </c>
      <c r="M17" s="10" t="n">
        <v>49</v>
      </c>
      <c r="N17" s="10" t="n">
        <v>700</v>
      </c>
      <c r="O17" s="11" t="s">
        <v>3024</v>
      </c>
      <c r="P17" s="10" t="s">
        <v>2989</v>
      </c>
      <c r="Q17" s="11" t="s">
        <v>3067</v>
      </c>
      <c r="R17" s="11" t="s">
        <v>2991</v>
      </c>
      <c r="S17" s="11"/>
      <c r="T17" s="11" t="s">
        <v>3068</v>
      </c>
      <c r="U17" s="10"/>
      <c r="V17" s="11"/>
      <c r="W17" s="10"/>
      <c r="X17" s="11"/>
      <c r="Y17" s="10" t="s">
        <v>2888</v>
      </c>
      <c r="Z17" s="10" t="s">
        <v>1509</v>
      </c>
      <c r="AA17" s="11" t="s">
        <v>3013</v>
      </c>
      <c r="AB17" s="11"/>
      <c r="AC17" s="10" t="s">
        <v>3014</v>
      </c>
    </row>
    <row r="18" customFormat="false" ht="30" hidden="false" customHeight="true" outlineLevel="0" collapsed="false">
      <c r="A18" s="12" t="s">
        <v>3069</v>
      </c>
      <c r="B18" s="12" t="s">
        <v>3070</v>
      </c>
      <c r="C18" s="12" t="s">
        <v>564</v>
      </c>
      <c r="D18" s="12" t="s">
        <v>2984</v>
      </c>
      <c r="E18" s="12" t="s">
        <v>1987</v>
      </c>
      <c r="F18" s="12" t="s">
        <v>1988</v>
      </c>
      <c r="G18" s="13" t="s">
        <v>3071</v>
      </c>
      <c r="H18" s="12" t="s">
        <v>3072</v>
      </c>
      <c r="I18" s="12" t="s">
        <v>3073</v>
      </c>
      <c r="J18" s="13" t="s">
        <v>1303</v>
      </c>
      <c r="K18" s="13" t="s">
        <v>452</v>
      </c>
      <c r="L18" s="12" t="s">
        <v>170</v>
      </c>
      <c r="M18" s="12" t="n">
        <v>81</v>
      </c>
      <c r="N18" s="12" t="n">
        <v>410</v>
      </c>
      <c r="O18" s="13" t="s">
        <v>2785</v>
      </c>
      <c r="P18" s="12" t="s">
        <v>3011</v>
      </c>
      <c r="Q18" s="13"/>
      <c r="R18" s="13" t="s">
        <v>2991</v>
      </c>
      <c r="S18" s="13"/>
      <c r="T18" s="13"/>
      <c r="U18" s="12"/>
      <c r="V18" s="13"/>
      <c r="W18" s="12"/>
      <c r="X18" s="13"/>
      <c r="Y18" s="12" t="s">
        <v>2884</v>
      </c>
      <c r="Z18" s="12" t="s">
        <v>2886</v>
      </c>
      <c r="AA18" s="13" t="s">
        <v>3074</v>
      </c>
      <c r="AB18" s="13"/>
      <c r="AC18" s="12" t="s">
        <v>2995</v>
      </c>
    </row>
    <row r="19" customFormat="false" ht="30" hidden="false" customHeight="true" outlineLevel="0" collapsed="false">
      <c r="A19" s="10" t="s">
        <v>3075</v>
      </c>
      <c r="B19" s="10" t="s">
        <v>3076</v>
      </c>
      <c r="C19" s="10" t="s">
        <v>564</v>
      </c>
      <c r="D19" s="10" t="s">
        <v>2984</v>
      </c>
      <c r="E19" s="10" t="s">
        <v>2250</v>
      </c>
      <c r="F19" s="10" t="s">
        <v>2251</v>
      </c>
      <c r="G19" s="11" t="s">
        <v>3077</v>
      </c>
      <c r="H19" s="10" t="s">
        <v>3018</v>
      </c>
      <c r="I19" s="10" t="s">
        <v>2987</v>
      </c>
      <c r="J19" s="11" t="s">
        <v>38</v>
      </c>
      <c r="K19" s="11" t="s">
        <v>38</v>
      </c>
      <c r="L19" s="10" t="s">
        <v>170</v>
      </c>
      <c r="M19" s="10" t="n">
        <v>61</v>
      </c>
      <c r="N19" s="10" t="n">
        <v>258</v>
      </c>
      <c r="O19" s="11" t="s">
        <v>2785</v>
      </c>
      <c r="P19" s="10" t="s">
        <v>3011</v>
      </c>
      <c r="Q19" s="11" t="s">
        <v>3035</v>
      </c>
      <c r="R19" s="11" t="s">
        <v>2991</v>
      </c>
      <c r="S19" s="11" t="s">
        <v>3036</v>
      </c>
      <c r="T19" s="11"/>
      <c r="U19" s="10"/>
      <c r="V19" s="11"/>
      <c r="W19" s="10"/>
      <c r="X19" s="11"/>
      <c r="Y19" s="10" t="s">
        <v>2888</v>
      </c>
      <c r="Z19" s="10" t="s">
        <v>1509</v>
      </c>
      <c r="AA19" s="11" t="s">
        <v>3019</v>
      </c>
      <c r="AB19" s="11"/>
      <c r="AC19" s="10" t="s">
        <v>2995</v>
      </c>
    </row>
    <row r="20" customFormat="false" ht="30" hidden="false" customHeight="true" outlineLevel="0" collapsed="false">
      <c r="A20" s="12" t="s">
        <v>3078</v>
      </c>
      <c r="B20" s="12" t="s">
        <v>3079</v>
      </c>
      <c r="C20" s="12" t="s">
        <v>564</v>
      </c>
      <c r="D20" s="12" t="s">
        <v>2903</v>
      </c>
      <c r="E20" s="12" t="s">
        <v>2475</v>
      </c>
      <c r="F20" s="12" t="s">
        <v>2031</v>
      </c>
      <c r="G20" s="13" t="s">
        <v>3080</v>
      </c>
      <c r="H20" s="12" t="s">
        <v>3008</v>
      </c>
      <c r="I20" s="12" t="s">
        <v>3009</v>
      </c>
      <c r="J20" s="13" t="s">
        <v>3081</v>
      </c>
      <c r="K20" s="13" t="s">
        <v>445</v>
      </c>
      <c r="L20" s="12" t="s">
        <v>177</v>
      </c>
      <c r="M20" s="12" t="n">
        <v>76</v>
      </c>
      <c r="N20" s="12" t="n">
        <v>492</v>
      </c>
      <c r="O20" s="13" t="s">
        <v>3031</v>
      </c>
      <c r="P20" s="12" t="s">
        <v>3011</v>
      </c>
      <c r="Q20" s="13"/>
      <c r="R20" s="13" t="s">
        <v>2991</v>
      </c>
      <c r="S20" s="13"/>
      <c r="T20" s="13"/>
      <c r="U20" s="12"/>
      <c r="V20" s="13"/>
      <c r="W20" s="12"/>
      <c r="X20" s="13"/>
      <c r="Y20" s="12" t="s">
        <v>2884</v>
      </c>
      <c r="Z20" s="12" t="s">
        <v>2886</v>
      </c>
      <c r="AA20" s="13" t="s">
        <v>3013</v>
      </c>
      <c r="AB20" s="13"/>
      <c r="AC20" s="12" t="s">
        <v>3014</v>
      </c>
    </row>
    <row r="21" customFormat="false" ht="30" hidden="false" customHeight="true" outlineLevel="0" collapsed="false">
      <c r="A21" s="10" t="s">
        <v>3082</v>
      </c>
      <c r="B21" s="10" t="s">
        <v>3083</v>
      </c>
      <c r="C21" s="10" t="s">
        <v>564</v>
      </c>
      <c r="D21" s="10" t="s">
        <v>2984</v>
      </c>
      <c r="E21" s="10" t="s">
        <v>2258</v>
      </c>
      <c r="F21" s="10" t="s">
        <v>2259</v>
      </c>
      <c r="G21" s="11" t="s">
        <v>3084</v>
      </c>
      <c r="H21" s="10" t="s">
        <v>3018</v>
      </c>
      <c r="I21" s="10" t="s">
        <v>2987</v>
      </c>
      <c r="J21" s="11" t="s">
        <v>38</v>
      </c>
      <c r="K21" s="11" t="s">
        <v>452</v>
      </c>
      <c r="L21" s="10" t="s">
        <v>191</v>
      </c>
      <c r="M21" s="10" t="n">
        <v>42</v>
      </c>
      <c r="N21" s="10" t="n">
        <v>220</v>
      </c>
      <c r="O21" s="11" t="s">
        <v>3000</v>
      </c>
      <c r="P21" s="10" t="s">
        <v>2989</v>
      </c>
      <c r="Q21" s="11" t="s">
        <v>3054</v>
      </c>
      <c r="R21" s="11" t="s">
        <v>3085</v>
      </c>
      <c r="S21" s="11"/>
      <c r="T21" s="11"/>
      <c r="U21" s="10"/>
      <c r="V21" s="11"/>
      <c r="W21" s="10"/>
      <c r="X21" s="11"/>
      <c r="Y21" s="10" t="s">
        <v>2888</v>
      </c>
      <c r="Z21" s="10" t="s">
        <v>1509</v>
      </c>
      <c r="AA21" s="11" t="s">
        <v>3019</v>
      </c>
      <c r="AB21" s="11"/>
      <c r="AC21" s="10" t="s">
        <v>2995</v>
      </c>
    </row>
    <row r="22" customFormat="false" ht="30" hidden="false" customHeight="true" outlineLevel="0" collapsed="false">
      <c r="A22" s="12" t="s">
        <v>3086</v>
      </c>
      <c r="B22" s="12" t="s">
        <v>3087</v>
      </c>
      <c r="C22" s="12" t="s">
        <v>564</v>
      </c>
      <c r="D22" s="12" t="s">
        <v>2903</v>
      </c>
      <c r="E22" s="12" t="s">
        <v>2478</v>
      </c>
      <c r="F22" s="12" t="s">
        <v>1824</v>
      </c>
      <c r="G22" s="13" t="s">
        <v>3088</v>
      </c>
      <c r="H22" s="12" t="s">
        <v>2999</v>
      </c>
      <c r="I22" s="12" t="s">
        <v>3009</v>
      </c>
      <c r="J22" s="13" t="s">
        <v>3089</v>
      </c>
      <c r="K22" s="13" t="s">
        <v>441</v>
      </c>
      <c r="L22" s="12" t="s">
        <v>170</v>
      </c>
      <c r="M22" s="12" t="n">
        <v>84</v>
      </c>
      <c r="N22" s="12" t="n">
        <v>422</v>
      </c>
      <c r="O22" s="13" t="s">
        <v>2785</v>
      </c>
      <c r="P22" s="12" t="s">
        <v>3011</v>
      </c>
      <c r="Q22" s="13"/>
      <c r="R22" s="13" t="s">
        <v>2991</v>
      </c>
      <c r="S22" s="13"/>
      <c r="T22" s="13"/>
      <c r="U22" s="12"/>
      <c r="V22" s="13"/>
      <c r="W22" s="12"/>
      <c r="X22" s="13"/>
      <c r="Y22" s="12" t="s">
        <v>2884</v>
      </c>
      <c r="Z22" s="12" t="s">
        <v>2886</v>
      </c>
      <c r="AA22" s="13" t="s">
        <v>3004</v>
      </c>
      <c r="AB22" s="13"/>
      <c r="AC22" s="12" t="s">
        <v>3014</v>
      </c>
    </row>
    <row r="23" customFormat="false" ht="30" hidden="false" customHeight="true" outlineLevel="0" collapsed="false">
      <c r="A23" s="10" t="s">
        <v>3090</v>
      </c>
      <c r="B23" s="10" t="s">
        <v>3091</v>
      </c>
      <c r="C23" s="10" t="s">
        <v>564</v>
      </c>
      <c r="D23" s="10" t="s">
        <v>2984</v>
      </c>
      <c r="E23" s="10" t="s">
        <v>2040</v>
      </c>
      <c r="F23" s="10" t="s">
        <v>2041</v>
      </c>
      <c r="G23" s="11" t="s">
        <v>3092</v>
      </c>
      <c r="H23" s="10" t="s">
        <v>3049</v>
      </c>
      <c r="I23" s="10" t="s">
        <v>3093</v>
      </c>
      <c r="J23" s="11" t="s">
        <v>3094</v>
      </c>
      <c r="K23" s="11" t="s">
        <v>452</v>
      </c>
      <c r="L23" s="10" t="s">
        <v>170</v>
      </c>
      <c r="M23" s="10" t="n">
        <v>83</v>
      </c>
      <c r="N23" s="10" t="n">
        <v>355</v>
      </c>
      <c r="O23" s="11" t="s">
        <v>2785</v>
      </c>
      <c r="P23" s="10" t="s">
        <v>3011</v>
      </c>
      <c r="Q23" s="11"/>
      <c r="R23" s="11" t="s">
        <v>2991</v>
      </c>
      <c r="S23" s="11"/>
      <c r="T23" s="11"/>
      <c r="U23" s="10"/>
      <c r="V23" s="11"/>
      <c r="W23" s="10"/>
      <c r="X23" s="11"/>
      <c r="Y23" s="10" t="s">
        <v>2884</v>
      </c>
      <c r="Z23" s="10" t="s">
        <v>2886</v>
      </c>
      <c r="AA23" s="11" t="s">
        <v>3050</v>
      </c>
      <c r="AB23" s="11"/>
      <c r="AC23" s="10" t="s">
        <v>2995</v>
      </c>
    </row>
    <row r="24" customFormat="false" ht="30" hidden="false" customHeight="true" outlineLevel="0" collapsed="false">
      <c r="A24" s="12" t="s">
        <v>3095</v>
      </c>
      <c r="B24" s="12" t="s">
        <v>3096</v>
      </c>
      <c r="C24" s="12" t="s">
        <v>564</v>
      </c>
      <c r="D24" s="12" t="s">
        <v>2984</v>
      </c>
      <c r="E24" s="12" t="s">
        <v>2266</v>
      </c>
      <c r="F24" s="12" t="s">
        <v>2267</v>
      </c>
      <c r="G24" s="13" t="s">
        <v>3017</v>
      </c>
      <c r="H24" s="12" t="s">
        <v>3018</v>
      </c>
      <c r="I24" s="12" t="s">
        <v>2987</v>
      </c>
      <c r="J24" s="13" t="s">
        <v>38</v>
      </c>
      <c r="K24" s="13" t="s">
        <v>38</v>
      </c>
      <c r="L24" s="12" t="s">
        <v>191</v>
      </c>
      <c r="M24" s="12" t="n">
        <v>53</v>
      </c>
      <c r="N24" s="12" t="n">
        <v>285</v>
      </c>
      <c r="O24" s="13" t="s">
        <v>3000</v>
      </c>
      <c r="P24" s="12" t="s">
        <v>3097</v>
      </c>
      <c r="Q24" s="13"/>
      <c r="R24" s="13" t="s">
        <v>2991</v>
      </c>
      <c r="S24" s="13"/>
      <c r="T24" s="13"/>
      <c r="U24" s="12"/>
      <c r="V24" s="13"/>
      <c r="W24" s="12"/>
      <c r="X24" s="13"/>
      <c r="Y24" s="12" t="s">
        <v>2894</v>
      </c>
      <c r="Z24" s="12" t="s">
        <v>1554</v>
      </c>
      <c r="AA24" s="13" t="s">
        <v>3019</v>
      </c>
      <c r="AB24" s="13"/>
      <c r="AC24" s="12" t="s">
        <v>2995</v>
      </c>
    </row>
    <row r="25" customFormat="false" ht="30" hidden="false" customHeight="true" outlineLevel="0" collapsed="false">
      <c r="A25" s="10" t="s">
        <v>3098</v>
      </c>
      <c r="B25" s="10" t="s">
        <v>3099</v>
      </c>
      <c r="C25" s="10" t="s">
        <v>564</v>
      </c>
      <c r="D25" s="10" t="s">
        <v>2903</v>
      </c>
      <c r="E25" s="10" t="s">
        <v>2405</v>
      </c>
      <c r="F25" s="10" t="s">
        <v>2406</v>
      </c>
      <c r="G25" s="11" t="s">
        <v>2985</v>
      </c>
      <c r="H25" s="10" t="s">
        <v>3100</v>
      </c>
      <c r="I25" s="10" t="s">
        <v>3009</v>
      </c>
      <c r="J25" s="11" t="s">
        <v>3101</v>
      </c>
      <c r="K25" s="11" t="s">
        <v>414</v>
      </c>
      <c r="L25" s="10" t="s">
        <v>184</v>
      </c>
      <c r="M25" s="10" t="n">
        <v>90</v>
      </c>
      <c r="N25" s="10" t="n">
        <v>630</v>
      </c>
      <c r="O25" s="11" t="s">
        <v>2792</v>
      </c>
      <c r="P25" s="10" t="s">
        <v>3041</v>
      </c>
      <c r="Q25" s="11" t="s">
        <v>3102</v>
      </c>
      <c r="R25" s="11" t="s">
        <v>3043</v>
      </c>
      <c r="S25" s="11"/>
      <c r="T25" s="11" t="s">
        <v>3103</v>
      </c>
      <c r="U25" s="10"/>
      <c r="V25" s="11"/>
      <c r="W25" s="10" t="s">
        <v>3104</v>
      </c>
      <c r="X25" s="11"/>
      <c r="Y25" s="10" t="s">
        <v>2824</v>
      </c>
      <c r="Z25" s="10" t="s">
        <v>2892</v>
      </c>
      <c r="AA25" s="11" t="s">
        <v>3105</v>
      </c>
      <c r="AB25" s="11"/>
      <c r="AC25" s="10" t="s">
        <v>3106</v>
      </c>
    </row>
    <row r="26" customFormat="false" ht="30" hidden="false" customHeight="true" outlineLevel="0" collapsed="false">
      <c r="A26" s="12" t="s">
        <v>3107</v>
      </c>
      <c r="B26" s="12" t="s">
        <v>3108</v>
      </c>
      <c r="C26" s="12" t="s">
        <v>564</v>
      </c>
      <c r="D26" s="12" t="s">
        <v>2984</v>
      </c>
      <c r="E26" s="12" t="s">
        <v>2268</v>
      </c>
      <c r="F26" s="12" t="s">
        <v>2269</v>
      </c>
      <c r="G26" s="13" t="s">
        <v>3062</v>
      </c>
      <c r="H26" s="12" t="s">
        <v>2986</v>
      </c>
      <c r="I26" s="12" t="s">
        <v>2987</v>
      </c>
      <c r="J26" s="13" t="s">
        <v>1222</v>
      </c>
      <c r="K26" s="13" t="s">
        <v>433</v>
      </c>
      <c r="L26" s="12" t="s">
        <v>170</v>
      </c>
      <c r="M26" s="12" t="n">
        <v>77</v>
      </c>
      <c r="N26" s="12" t="n">
        <v>330</v>
      </c>
      <c r="O26" s="13" t="s">
        <v>2785</v>
      </c>
      <c r="P26" s="12" t="s">
        <v>3011</v>
      </c>
      <c r="Q26" s="13" t="s">
        <v>2990</v>
      </c>
      <c r="R26" s="13" t="s">
        <v>2991</v>
      </c>
      <c r="S26" s="13"/>
      <c r="T26" s="13"/>
      <c r="U26" s="12"/>
      <c r="V26" s="13" t="s">
        <v>3109</v>
      </c>
      <c r="W26" s="12"/>
      <c r="X26" s="13"/>
      <c r="Y26" s="12" t="s">
        <v>2888</v>
      </c>
      <c r="Z26" s="12" t="s">
        <v>1509</v>
      </c>
      <c r="AA26" s="13" t="s">
        <v>2994</v>
      </c>
      <c r="AB26" s="13"/>
      <c r="AC26" s="12" t="s">
        <v>2995</v>
      </c>
    </row>
    <row r="27" customFormat="false" ht="30" hidden="false" customHeight="true" outlineLevel="0" collapsed="false">
      <c r="A27" s="10" t="s">
        <v>3110</v>
      </c>
      <c r="B27" s="10" t="s">
        <v>3111</v>
      </c>
      <c r="C27" s="10" t="s">
        <v>564</v>
      </c>
      <c r="D27" s="10" t="s">
        <v>2984</v>
      </c>
      <c r="E27" s="10" t="s">
        <v>2270</v>
      </c>
      <c r="F27" s="10" t="s">
        <v>2271</v>
      </c>
      <c r="G27" s="11" t="s">
        <v>3112</v>
      </c>
      <c r="H27" s="10" t="s">
        <v>3018</v>
      </c>
      <c r="I27" s="10" t="s">
        <v>2987</v>
      </c>
      <c r="J27" s="11" t="s">
        <v>1003</v>
      </c>
      <c r="K27" s="11" t="s">
        <v>452</v>
      </c>
      <c r="L27" s="10" t="s">
        <v>177</v>
      </c>
      <c r="M27" s="10" t="n">
        <v>64</v>
      </c>
      <c r="N27" s="10" t="n">
        <v>375</v>
      </c>
      <c r="O27" s="11" t="s">
        <v>3031</v>
      </c>
      <c r="P27" s="10" t="s">
        <v>2989</v>
      </c>
      <c r="Q27" s="11" t="s">
        <v>2990</v>
      </c>
      <c r="R27" s="11" t="s">
        <v>2991</v>
      </c>
      <c r="S27" s="11"/>
      <c r="T27" s="11"/>
      <c r="U27" s="10"/>
      <c r="V27" s="11"/>
      <c r="W27" s="10"/>
      <c r="X27" s="11"/>
      <c r="Y27" s="10" t="s">
        <v>2888</v>
      </c>
      <c r="Z27" s="10" t="s">
        <v>1509</v>
      </c>
      <c r="AA27" s="11" t="s">
        <v>3019</v>
      </c>
      <c r="AB27" s="11"/>
      <c r="AC27" s="10" t="s">
        <v>2995</v>
      </c>
    </row>
    <row r="28" customFormat="false" ht="30" hidden="false" customHeight="true" outlineLevel="0" collapsed="false">
      <c r="A28" s="12" t="s">
        <v>3113</v>
      </c>
      <c r="B28" s="12" t="s">
        <v>3114</v>
      </c>
      <c r="C28" s="12" t="s">
        <v>564</v>
      </c>
      <c r="D28" s="12" t="s">
        <v>2984</v>
      </c>
      <c r="E28" s="12" t="s">
        <v>2272</v>
      </c>
      <c r="F28" s="12" t="s">
        <v>2273</v>
      </c>
      <c r="G28" s="13" t="s">
        <v>3048</v>
      </c>
      <c r="H28" s="12" t="s">
        <v>3018</v>
      </c>
      <c r="I28" s="12" t="s">
        <v>2987</v>
      </c>
      <c r="J28" s="13" t="s">
        <v>38</v>
      </c>
      <c r="K28" s="13" t="s">
        <v>38</v>
      </c>
      <c r="L28" s="12" t="s">
        <v>170</v>
      </c>
      <c r="M28" s="12" t="n">
        <v>72</v>
      </c>
      <c r="N28" s="12" t="n">
        <v>295</v>
      </c>
      <c r="O28" s="13" t="s">
        <v>2785</v>
      </c>
      <c r="P28" s="12" t="s">
        <v>3011</v>
      </c>
      <c r="Q28" s="13"/>
      <c r="R28" s="13" t="s">
        <v>2991</v>
      </c>
      <c r="S28" s="13"/>
      <c r="T28" s="13"/>
      <c r="U28" s="12"/>
      <c r="V28" s="13"/>
      <c r="W28" s="12"/>
      <c r="X28" s="13"/>
      <c r="Y28" s="12" t="s">
        <v>2884</v>
      </c>
      <c r="Z28" s="12" t="s">
        <v>2886</v>
      </c>
      <c r="AA28" s="13" t="s">
        <v>3019</v>
      </c>
      <c r="AB28" s="13"/>
      <c r="AC28" s="12" t="s">
        <v>2995</v>
      </c>
    </row>
    <row r="29" customFormat="false" ht="30" hidden="false" customHeight="true" outlineLevel="0" collapsed="false">
      <c r="A29" s="10" t="s">
        <v>3115</v>
      </c>
      <c r="B29" s="10" t="s">
        <v>3116</v>
      </c>
      <c r="C29" s="10" t="s">
        <v>564</v>
      </c>
      <c r="D29" s="10" t="s">
        <v>2903</v>
      </c>
      <c r="E29" s="10" t="s">
        <v>2487</v>
      </c>
      <c r="F29" s="10" t="s">
        <v>2488</v>
      </c>
      <c r="G29" s="11" t="s">
        <v>3007</v>
      </c>
      <c r="H29" s="10" t="s">
        <v>3008</v>
      </c>
      <c r="I29" s="10" t="s">
        <v>3009</v>
      </c>
      <c r="J29" s="11" t="s">
        <v>3117</v>
      </c>
      <c r="K29" s="11" t="s">
        <v>438</v>
      </c>
      <c r="L29" s="10" t="s">
        <v>170</v>
      </c>
      <c r="M29" s="10" t="n">
        <v>87</v>
      </c>
      <c r="N29" s="10" t="n">
        <v>545</v>
      </c>
      <c r="O29" s="11" t="s">
        <v>2785</v>
      </c>
      <c r="P29" s="10" t="s">
        <v>2989</v>
      </c>
      <c r="Q29" s="11" t="s">
        <v>3118</v>
      </c>
      <c r="R29" s="11" t="s">
        <v>2991</v>
      </c>
      <c r="S29" s="11"/>
      <c r="T29" s="11" t="s">
        <v>3119</v>
      </c>
      <c r="U29" s="10"/>
      <c r="V29" s="11"/>
      <c r="W29" s="10"/>
      <c r="X29" s="11"/>
      <c r="Y29" s="10" t="s">
        <v>2888</v>
      </c>
      <c r="Z29" s="10" t="s">
        <v>1509</v>
      </c>
      <c r="AA29" s="11" t="s">
        <v>3013</v>
      </c>
      <c r="AB29" s="11"/>
      <c r="AC29" s="10" t="s">
        <v>3014</v>
      </c>
    </row>
    <row r="30" customFormat="false" ht="30" hidden="false" customHeight="true" outlineLevel="0" collapsed="false">
      <c r="A30" s="12" t="s">
        <v>3120</v>
      </c>
      <c r="B30" s="12" t="s">
        <v>3121</v>
      </c>
      <c r="C30" s="12" t="s">
        <v>564</v>
      </c>
      <c r="D30" s="12" t="s">
        <v>2984</v>
      </c>
      <c r="E30" s="12" t="s">
        <v>2066</v>
      </c>
      <c r="F30" s="12" t="s">
        <v>2067</v>
      </c>
      <c r="G30" s="13" t="s">
        <v>3029</v>
      </c>
      <c r="H30" s="12" t="s">
        <v>3049</v>
      </c>
      <c r="I30" s="12" t="s">
        <v>3023</v>
      </c>
      <c r="J30" s="13" t="s">
        <v>1256</v>
      </c>
      <c r="K30" s="13" t="s">
        <v>452</v>
      </c>
      <c r="L30" s="12" t="s">
        <v>170</v>
      </c>
      <c r="M30" s="12" t="n">
        <v>85</v>
      </c>
      <c r="N30" s="12" t="n">
        <v>400</v>
      </c>
      <c r="O30" s="13" t="s">
        <v>2785</v>
      </c>
      <c r="P30" s="12" t="s">
        <v>3011</v>
      </c>
      <c r="Q30" s="13"/>
      <c r="R30" s="13" t="s">
        <v>2991</v>
      </c>
      <c r="S30" s="13"/>
      <c r="T30" s="13"/>
      <c r="U30" s="12"/>
      <c r="V30" s="13"/>
      <c r="W30" s="12"/>
      <c r="X30" s="13"/>
      <c r="Y30" s="12" t="s">
        <v>2884</v>
      </c>
      <c r="Z30" s="12" t="s">
        <v>2886</v>
      </c>
      <c r="AA30" s="13" t="s">
        <v>3050</v>
      </c>
      <c r="AB30" s="13"/>
      <c r="AC30" s="12" t="s">
        <v>2995</v>
      </c>
    </row>
    <row r="31" customFormat="false" ht="30" hidden="false" customHeight="true" outlineLevel="0" collapsed="false">
      <c r="A31" s="10" t="s">
        <v>3122</v>
      </c>
      <c r="B31" s="10" t="s">
        <v>3123</v>
      </c>
      <c r="C31" s="10" t="s">
        <v>564</v>
      </c>
      <c r="D31" s="10" t="s">
        <v>2984</v>
      </c>
      <c r="E31" s="10" t="s">
        <v>2276</v>
      </c>
      <c r="F31" s="10" t="s">
        <v>2277</v>
      </c>
      <c r="G31" s="11" t="s">
        <v>2998</v>
      </c>
      <c r="H31" s="10" t="s">
        <v>2986</v>
      </c>
      <c r="I31" s="10" t="s">
        <v>2987</v>
      </c>
      <c r="J31" s="11" t="s">
        <v>38</v>
      </c>
      <c r="K31" s="11" t="s">
        <v>452</v>
      </c>
      <c r="L31" s="10" t="s">
        <v>191</v>
      </c>
      <c r="M31" s="10" t="n">
        <v>40</v>
      </c>
      <c r="N31" s="10" t="n">
        <v>205</v>
      </c>
      <c r="O31" s="11" t="s">
        <v>3000</v>
      </c>
      <c r="P31" s="10" t="s">
        <v>2989</v>
      </c>
      <c r="Q31" s="11" t="s">
        <v>3124</v>
      </c>
      <c r="R31" s="11" t="s">
        <v>2991</v>
      </c>
      <c r="S31" s="11" t="s">
        <v>3002</v>
      </c>
      <c r="T31" s="11"/>
      <c r="U31" s="10"/>
      <c r="V31" s="11"/>
      <c r="W31" s="10"/>
      <c r="X31" s="11"/>
      <c r="Y31" s="10" t="s">
        <v>2888</v>
      </c>
      <c r="Z31" s="10" t="s">
        <v>1509</v>
      </c>
      <c r="AA31" s="11" t="s">
        <v>2994</v>
      </c>
      <c r="AB31" s="11"/>
      <c r="AC31" s="10" t="s">
        <v>2995</v>
      </c>
    </row>
    <row r="32" customFormat="false" ht="30" hidden="false" customHeight="true" outlineLevel="0" collapsed="false">
      <c r="A32" s="12" t="s">
        <v>3125</v>
      </c>
      <c r="B32" s="12" t="s">
        <v>3126</v>
      </c>
      <c r="C32" s="12" t="s">
        <v>564</v>
      </c>
      <c r="D32" s="12" t="s">
        <v>2903</v>
      </c>
      <c r="E32" s="12" t="s">
        <v>2491</v>
      </c>
      <c r="F32" s="12" t="s">
        <v>2492</v>
      </c>
      <c r="G32" s="13" t="s">
        <v>3039</v>
      </c>
      <c r="H32" s="12" t="s">
        <v>2999</v>
      </c>
      <c r="I32" s="12" t="s">
        <v>3009</v>
      </c>
      <c r="J32" s="13" t="s">
        <v>3127</v>
      </c>
      <c r="K32" s="13" t="s">
        <v>423</v>
      </c>
      <c r="L32" s="12" t="s">
        <v>170</v>
      </c>
      <c r="M32" s="12" t="n">
        <v>88</v>
      </c>
      <c r="N32" s="12" t="n">
        <v>535</v>
      </c>
      <c r="O32" s="13" t="s">
        <v>2785</v>
      </c>
      <c r="P32" s="12" t="s">
        <v>3011</v>
      </c>
      <c r="Q32" s="13"/>
      <c r="R32" s="13" t="s">
        <v>2991</v>
      </c>
      <c r="S32" s="13"/>
      <c r="T32" s="13"/>
      <c r="U32" s="12"/>
      <c r="V32" s="13"/>
      <c r="W32" s="12"/>
      <c r="X32" s="13"/>
      <c r="Y32" s="12" t="s">
        <v>2884</v>
      </c>
      <c r="Z32" s="12" t="s">
        <v>2886</v>
      </c>
      <c r="AA32" s="13" t="s">
        <v>3004</v>
      </c>
      <c r="AB32" s="13"/>
      <c r="AC32" s="12" t="s">
        <v>3014</v>
      </c>
    </row>
    <row r="33" customFormat="false" ht="30" hidden="false" customHeight="true" outlineLevel="0" collapsed="false">
      <c r="A33" s="10" t="s">
        <v>3128</v>
      </c>
      <c r="B33" s="10" t="s">
        <v>3129</v>
      </c>
      <c r="C33" s="10" t="s">
        <v>564</v>
      </c>
      <c r="D33" s="10" t="s">
        <v>2984</v>
      </c>
      <c r="E33" s="10" t="s">
        <v>2280</v>
      </c>
      <c r="F33" s="10" t="s">
        <v>2281</v>
      </c>
      <c r="G33" s="11" t="s">
        <v>3071</v>
      </c>
      <c r="H33" s="10" t="s">
        <v>3018</v>
      </c>
      <c r="I33" s="10" t="s">
        <v>2987</v>
      </c>
      <c r="J33" s="11" t="s">
        <v>38</v>
      </c>
      <c r="K33" s="11" t="s">
        <v>38</v>
      </c>
      <c r="L33" s="10" t="s">
        <v>170</v>
      </c>
      <c r="M33" s="10" t="n">
        <v>80</v>
      </c>
      <c r="N33" s="10" t="n">
        <v>320</v>
      </c>
      <c r="O33" s="11" t="s">
        <v>2785</v>
      </c>
      <c r="P33" s="10" t="s">
        <v>3011</v>
      </c>
      <c r="Q33" s="11"/>
      <c r="R33" s="11" t="s">
        <v>2991</v>
      </c>
      <c r="S33" s="11"/>
      <c r="T33" s="11"/>
      <c r="U33" s="10"/>
      <c r="V33" s="11"/>
      <c r="W33" s="10"/>
      <c r="X33" s="11"/>
      <c r="Y33" s="10" t="s">
        <v>2884</v>
      </c>
      <c r="Z33" s="10" t="s">
        <v>2886</v>
      </c>
      <c r="AA33" s="11" t="s">
        <v>3019</v>
      </c>
      <c r="AB33" s="11"/>
      <c r="AC33" s="10" t="s">
        <v>2995</v>
      </c>
    </row>
    <row r="34" customFormat="false" ht="30" hidden="false" customHeight="true" outlineLevel="0" collapsed="false">
      <c r="A34" s="12" t="s">
        <v>3130</v>
      </c>
      <c r="B34" s="12" t="s">
        <v>3131</v>
      </c>
      <c r="C34" s="12" t="s">
        <v>564</v>
      </c>
      <c r="D34" s="12" t="s">
        <v>2903</v>
      </c>
      <c r="E34" s="12" t="s">
        <v>2454</v>
      </c>
      <c r="F34" s="12" t="s">
        <v>2455</v>
      </c>
      <c r="G34" s="13" t="s">
        <v>3065</v>
      </c>
      <c r="H34" s="12" t="s">
        <v>2999</v>
      </c>
      <c r="I34" s="12" t="s">
        <v>3009</v>
      </c>
      <c r="J34" s="13" t="s">
        <v>3132</v>
      </c>
      <c r="K34" s="13" t="s">
        <v>441</v>
      </c>
      <c r="L34" s="12" t="s">
        <v>191</v>
      </c>
      <c r="M34" s="12" t="n">
        <v>48</v>
      </c>
      <c r="N34" s="12" t="n">
        <v>675</v>
      </c>
      <c r="O34" s="13" t="s">
        <v>3024</v>
      </c>
      <c r="P34" s="12" t="s">
        <v>2989</v>
      </c>
      <c r="Q34" s="13" t="s">
        <v>3067</v>
      </c>
      <c r="R34" s="13" t="s">
        <v>2991</v>
      </c>
      <c r="S34" s="13"/>
      <c r="T34" s="13"/>
      <c r="U34" s="12"/>
      <c r="V34" s="13"/>
      <c r="W34" s="12"/>
      <c r="X34" s="13"/>
      <c r="Y34" s="12" t="s">
        <v>2888</v>
      </c>
      <c r="Z34" s="12" t="s">
        <v>1509</v>
      </c>
      <c r="AA34" s="13" t="s">
        <v>3004</v>
      </c>
      <c r="AB34" s="13"/>
      <c r="AC34" s="12" t="s">
        <v>3014</v>
      </c>
    </row>
    <row r="35" customFormat="false" ht="30" hidden="false" customHeight="true" outlineLevel="0" collapsed="false">
      <c r="A35" s="10" t="s">
        <v>3133</v>
      </c>
      <c r="B35" s="10" t="s">
        <v>3134</v>
      </c>
      <c r="C35" s="10" t="s">
        <v>564</v>
      </c>
      <c r="D35" s="10" t="s">
        <v>2984</v>
      </c>
      <c r="E35" s="10" t="s">
        <v>2090</v>
      </c>
      <c r="F35" s="10" t="s">
        <v>2091</v>
      </c>
      <c r="G35" s="11" t="s">
        <v>3058</v>
      </c>
      <c r="H35" s="10" t="s">
        <v>3072</v>
      </c>
      <c r="I35" s="10" t="s">
        <v>3073</v>
      </c>
      <c r="J35" s="11" t="s">
        <v>3135</v>
      </c>
      <c r="K35" s="11" t="s">
        <v>455</v>
      </c>
      <c r="L35" s="10" t="s">
        <v>170</v>
      </c>
      <c r="M35" s="10" t="n">
        <v>84</v>
      </c>
      <c r="N35" s="10" t="n">
        <v>365</v>
      </c>
      <c r="O35" s="11" t="s">
        <v>2785</v>
      </c>
      <c r="P35" s="10" t="s">
        <v>3011</v>
      </c>
      <c r="Q35" s="11" t="s">
        <v>2990</v>
      </c>
      <c r="R35" s="11" t="s">
        <v>2991</v>
      </c>
      <c r="S35" s="11"/>
      <c r="T35" s="11"/>
      <c r="U35" s="10"/>
      <c r="V35" s="11"/>
      <c r="W35" s="10"/>
      <c r="X35" s="11"/>
      <c r="Y35" s="10" t="s">
        <v>2888</v>
      </c>
      <c r="Z35" s="10" t="s">
        <v>1509</v>
      </c>
      <c r="AA35" s="11" t="s">
        <v>3074</v>
      </c>
      <c r="AB35" s="11"/>
      <c r="AC35" s="10" t="s">
        <v>2995</v>
      </c>
    </row>
    <row r="36" customFormat="false" ht="30" hidden="false" customHeight="true" outlineLevel="0" collapsed="false">
      <c r="A36" s="12" t="s">
        <v>3136</v>
      </c>
      <c r="B36" s="12" t="s">
        <v>3137</v>
      </c>
      <c r="C36" s="12" t="s">
        <v>564</v>
      </c>
      <c r="D36" s="12" t="s">
        <v>2984</v>
      </c>
      <c r="E36" s="12" t="s">
        <v>2282</v>
      </c>
      <c r="F36" s="12" t="s">
        <v>2283</v>
      </c>
      <c r="G36" s="13" t="s">
        <v>3017</v>
      </c>
      <c r="H36" s="12" t="s">
        <v>3018</v>
      </c>
      <c r="I36" s="12" t="s">
        <v>2987</v>
      </c>
      <c r="J36" s="13" t="s">
        <v>38</v>
      </c>
      <c r="K36" s="13" t="s">
        <v>38</v>
      </c>
      <c r="L36" s="12" t="s">
        <v>170</v>
      </c>
      <c r="M36" s="12" t="n">
        <v>68</v>
      </c>
      <c r="N36" s="12" t="n">
        <v>290</v>
      </c>
      <c r="O36" s="13" t="s">
        <v>2785</v>
      </c>
      <c r="P36" s="12" t="s">
        <v>3011</v>
      </c>
      <c r="Q36" s="13"/>
      <c r="R36" s="13" t="s">
        <v>2991</v>
      </c>
      <c r="S36" s="13"/>
      <c r="T36" s="13"/>
      <c r="U36" s="12"/>
      <c r="V36" s="13"/>
      <c r="W36" s="12"/>
      <c r="X36" s="13"/>
      <c r="Y36" s="12" t="s">
        <v>2884</v>
      </c>
      <c r="Z36" s="12" t="s">
        <v>2886</v>
      </c>
      <c r="AA36" s="13" t="s">
        <v>3019</v>
      </c>
      <c r="AB36" s="13"/>
      <c r="AC36" s="12" t="s">
        <v>2995</v>
      </c>
    </row>
    <row r="37" customFormat="false" ht="30" hidden="false" customHeight="true" outlineLevel="0" collapsed="false">
      <c r="A37" s="10" t="s">
        <v>3138</v>
      </c>
      <c r="B37" s="10" t="s">
        <v>3139</v>
      </c>
      <c r="C37" s="10" t="s">
        <v>564</v>
      </c>
      <c r="D37" s="10" t="s">
        <v>2903</v>
      </c>
      <c r="E37" s="10" t="s">
        <v>2426</v>
      </c>
      <c r="F37" s="10" t="s">
        <v>2427</v>
      </c>
      <c r="G37" s="11" t="s">
        <v>3080</v>
      </c>
      <c r="H37" s="10" t="s">
        <v>3049</v>
      </c>
      <c r="I37" s="10" t="s">
        <v>3093</v>
      </c>
      <c r="J37" s="11" t="s">
        <v>3140</v>
      </c>
      <c r="K37" s="11" t="s">
        <v>445</v>
      </c>
      <c r="L37" s="10" t="s">
        <v>177</v>
      </c>
      <c r="M37" s="10" t="n">
        <v>75</v>
      </c>
      <c r="N37" s="10" t="n">
        <v>455</v>
      </c>
      <c r="O37" s="11" t="s">
        <v>3031</v>
      </c>
      <c r="P37" s="10" t="s">
        <v>2989</v>
      </c>
      <c r="Q37" s="11" t="s">
        <v>3141</v>
      </c>
      <c r="R37" s="11" t="s">
        <v>2991</v>
      </c>
      <c r="S37" s="11"/>
      <c r="T37" s="11"/>
      <c r="U37" s="10"/>
      <c r="V37" s="11" t="s">
        <v>3142</v>
      </c>
      <c r="W37" s="10"/>
      <c r="X37" s="11"/>
      <c r="Y37" s="10" t="s">
        <v>2888</v>
      </c>
      <c r="Z37" s="10" t="s">
        <v>1509</v>
      </c>
      <c r="AA37" s="11" t="s">
        <v>3050</v>
      </c>
      <c r="AB37" s="11"/>
      <c r="AC37" s="10" t="s">
        <v>3143</v>
      </c>
    </row>
    <row r="38" customFormat="false" ht="30" hidden="false" customHeight="true" outlineLevel="0" collapsed="false">
      <c r="A38" s="12" t="s">
        <v>3144</v>
      </c>
      <c r="B38" s="12" t="s">
        <v>3145</v>
      </c>
      <c r="C38" s="12" t="s">
        <v>564</v>
      </c>
      <c r="D38" s="12" t="s">
        <v>2984</v>
      </c>
      <c r="E38" s="12" t="s">
        <v>2284</v>
      </c>
      <c r="F38" s="12" t="s">
        <v>2285</v>
      </c>
      <c r="G38" s="13" t="s">
        <v>3088</v>
      </c>
      <c r="H38" s="12" t="s">
        <v>2986</v>
      </c>
      <c r="I38" s="12" t="s">
        <v>2987</v>
      </c>
      <c r="J38" s="13" t="s">
        <v>1219</v>
      </c>
      <c r="K38" s="13" t="s">
        <v>452</v>
      </c>
      <c r="L38" s="12" t="s">
        <v>170</v>
      </c>
      <c r="M38" s="12" t="n">
        <v>78</v>
      </c>
      <c r="N38" s="12" t="n">
        <v>340</v>
      </c>
      <c r="O38" s="13" t="s">
        <v>2785</v>
      </c>
      <c r="P38" s="12" t="s">
        <v>3011</v>
      </c>
      <c r="Q38" s="13"/>
      <c r="R38" s="13" t="s">
        <v>2991</v>
      </c>
      <c r="S38" s="13"/>
      <c r="T38" s="13"/>
      <c r="U38" s="12"/>
      <c r="V38" s="13"/>
      <c r="W38" s="12"/>
      <c r="X38" s="13"/>
      <c r="Y38" s="12" t="s">
        <v>2884</v>
      </c>
      <c r="Z38" s="12" t="s">
        <v>2886</v>
      </c>
      <c r="AA38" s="13" t="s">
        <v>2994</v>
      </c>
      <c r="AB38" s="13"/>
      <c r="AC38" s="12" t="s">
        <v>2995</v>
      </c>
    </row>
    <row r="39" customFormat="false" ht="30" hidden="false" customHeight="true" outlineLevel="0" collapsed="false">
      <c r="A39" s="10" t="s">
        <v>3146</v>
      </c>
      <c r="B39" s="10" t="s">
        <v>3147</v>
      </c>
      <c r="C39" s="10" t="s">
        <v>564</v>
      </c>
      <c r="D39" s="10" t="s">
        <v>2984</v>
      </c>
      <c r="E39" s="10" t="s">
        <v>1903</v>
      </c>
      <c r="F39" s="10" t="s">
        <v>1904</v>
      </c>
      <c r="G39" s="11" t="s">
        <v>3084</v>
      </c>
      <c r="H39" s="10" t="s">
        <v>3018</v>
      </c>
      <c r="I39" s="10" t="s">
        <v>3023</v>
      </c>
      <c r="J39" s="11" t="s">
        <v>1253</v>
      </c>
      <c r="K39" s="11" t="s">
        <v>452</v>
      </c>
      <c r="L39" s="10" t="s">
        <v>191</v>
      </c>
      <c r="M39" s="10" t="n">
        <v>45</v>
      </c>
      <c r="N39" s="10" t="n">
        <v>250</v>
      </c>
      <c r="O39" s="11" t="s">
        <v>3000</v>
      </c>
      <c r="P39" s="10" t="s">
        <v>2989</v>
      </c>
      <c r="Q39" s="11" t="s">
        <v>3025</v>
      </c>
      <c r="R39" s="11" t="s">
        <v>2991</v>
      </c>
      <c r="S39" s="11"/>
      <c r="T39" s="11" t="s">
        <v>3148</v>
      </c>
      <c r="U39" s="10"/>
      <c r="V39" s="11"/>
      <c r="W39" s="10"/>
      <c r="X39" s="11"/>
      <c r="Y39" s="10" t="s">
        <v>2888</v>
      </c>
      <c r="Z39" s="10" t="s">
        <v>1509</v>
      </c>
      <c r="AA39" s="11" t="s">
        <v>3019</v>
      </c>
      <c r="AB39" s="11"/>
      <c r="AC39" s="10" t="s">
        <v>2995</v>
      </c>
    </row>
    <row r="40" customFormat="false" ht="30" hidden="false" customHeight="true" outlineLevel="0" collapsed="false">
      <c r="A40" s="12" t="s">
        <v>3149</v>
      </c>
      <c r="B40" s="12" t="s">
        <v>3150</v>
      </c>
      <c r="C40" s="12" t="s">
        <v>564</v>
      </c>
      <c r="D40" s="12" t="s">
        <v>2903</v>
      </c>
      <c r="E40" s="12" t="s">
        <v>2499</v>
      </c>
      <c r="F40" s="12" t="s">
        <v>2500</v>
      </c>
      <c r="G40" s="13" t="s">
        <v>2985</v>
      </c>
      <c r="H40" s="12" t="s">
        <v>3008</v>
      </c>
      <c r="I40" s="12" t="s">
        <v>3009</v>
      </c>
      <c r="J40" s="13" t="s">
        <v>3151</v>
      </c>
      <c r="K40" s="13" t="s">
        <v>438</v>
      </c>
      <c r="L40" s="12" t="s">
        <v>170</v>
      </c>
      <c r="M40" s="12" t="n">
        <v>89</v>
      </c>
      <c r="N40" s="12" t="n">
        <v>570</v>
      </c>
      <c r="O40" s="13" t="s">
        <v>2785</v>
      </c>
      <c r="P40" s="12" t="s">
        <v>3011</v>
      </c>
      <c r="Q40" s="13"/>
      <c r="R40" s="13" t="s">
        <v>2991</v>
      </c>
      <c r="S40" s="13"/>
      <c r="T40" s="13"/>
      <c r="U40" s="12" t="s">
        <v>3152</v>
      </c>
      <c r="V40" s="13"/>
      <c r="W40" s="12"/>
      <c r="X40" s="13"/>
      <c r="Y40" s="12" t="s">
        <v>2884</v>
      </c>
      <c r="Z40" s="12" t="s">
        <v>2886</v>
      </c>
      <c r="AA40" s="13" t="s">
        <v>3013</v>
      </c>
      <c r="AB40" s="13"/>
      <c r="AC40" s="12" t="s">
        <v>3153</v>
      </c>
    </row>
    <row r="41" customFormat="false" ht="30" hidden="false" customHeight="true" outlineLevel="0" collapsed="false">
      <c r="A41" s="10" t="s">
        <v>3154</v>
      </c>
      <c r="B41" s="10" t="s">
        <v>3155</v>
      </c>
      <c r="C41" s="10" t="s">
        <v>564</v>
      </c>
      <c r="D41" s="10" t="s">
        <v>2984</v>
      </c>
      <c r="E41" s="10" t="s">
        <v>2288</v>
      </c>
      <c r="F41" s="10" t="s">
        <v>2289</v>
      </c>
      <c r="G41" s="11" t="s">
        <v>3092</v>
      </c>
      <c r="H41" s="10" t="s">
        <v>3018</v>
      </c>
      <c r="I41" s="10" t="s">
        <v>2987</v>
      </c>
      <c r="J41" s="11" t="s">
        <v>1193</v>
      </c>
      <c r="K41" s="11" t="s">
        <v>452</v>
      </c>
      <c r="L41" s="10" t="s">
        <v>170</v>
      </c>
      <c r="M41" s="10" t="n">
        <v>82</v>
      </c>
      <c r="N41" s="10" t="n">
        <v>305</v>
      </c>
      <c r="O41" s="11" t="s">
        <v>2785</v>
      </c>
      <c r="P41" s="10" t="s">
        <v>3011</v>
      </c>
      <c r="Q41" s="11"/>
      <c r="R41" s="11" t="s">
        <v>2991</v>
      </c>
      <c r="S41" s="11"/>
      <c r="T41" s="11"/>
      <c r="U41" s="10"/>
      <c r="V41" s="11"/>
      <c r="W41" s="10"/>
      <c r="X41" s="11"/>
      <c r="Y41" s="10" t="s">
        <v>2884</v>
      </c>
      <c r="Z41" s="10" t="s">
        <v>2886</v>
      </c>
      <c r="AA41" s="11" t="s">
        <v>3019</v>
      </c>
      <c r="AB41" s="11"/>
      <c r="AC41" s="10" t="s">
        <v>2995</v>
      </c>
    </row>
    <row r="42" customFormat="false" ht="30" hidden="false" customHeight="true" outlineLevel="0" collapsed="false">
      <c r="A42" s="12" t="s">
        <v>3156</v>
      </c>
      <c r="B42" s="12" t="s">
        <v>3157</v>
      </c>
      <c r="C42" s="12" t="s">
        <v>564</v>
      </c>
      <c r="D42" s="12" t="s">
        <v>2903</v>
      </c>
      <c r="E42" s="12" t="s">
        <v>2503</v>
      </c>
      <c r="F42" s="12" t="s">
        <v>2504</v>
      </c>
      <c r="G42" s="13" t="s">
        <v>3048</v>
      </c>
      <c r="H42" s="12" t="s">
        <v>2999</v>
      </c>
      <c r="I42" s="12" t="s">
        <v>3009</v>
      </c>
      <c r="J42" s="13" t="s">
        <v>951</v>
      </c>
      <c r="K42" s="13" t="s">
        <v>441</v>
      </c>
      <c r="L42" s="12" t="s">
        <v>170</v>
      </c>
      <c r="M42" s="12" t="n">
        <v>80</v>
      </c>
      <c r="N42" s="12" t="n">
        <v>385</v>
      </c>
      <c r="O42" s="13" t="s">
        <v>2785</v>
      </c>
      <c r="P42" s="12" t="s">
        <v>3011</v>
      </c>
      <c r="Q42" s="13"/>
      <c r="R42" s="13" t="s">
        <v>2991</v>
      </c>
      <c r="S42" s="13"/>
      <c r="T42" s="13"/>
      <c r="U42" s="12"/>
      <c r="V42" s="13"/>
      <c r="W42" s="12"/>
      <c r="X42" s="13"/>
      <c r="Y42" s="12" t="s">
        <v>2884</v>
      </c>
      <c r="Z42" s="12" t="s">
        <v>2886</v>
      </c>
      <c r="AA42" s="13" t="s">
        <v>3004</v>
      </c>
      <c r="AB42" s="13"/>
      <c r="AC42" s="12" t="s">
        <v>3106</v>
      </c>
    </row>
    <row r="43" customFormat="false" ht="30" hidden="false" customHeight="true" outlineLevel="0" collapsed="false">
      <c r="A43" s="10" t="s">
        <v>3158</v>
      </c>
      <c r="B43" s="10" t="s">
        <v>3159</v>
      </c>
      <c r="C43" s="10" t="s">
        <v>564</v>
      </c>
      <c r="D43" s="10" t="s">
        <v>2984</v>
      </c>
      <c r="E43" s="10" t="s">
        <v>2292</v>
      </c>
      <c r="F43" s="10" t="s">
        <v>2293</v>
      </c>
      <c r="G43" s="11" t="s">
        <v>3034</v>
      </c>
      <c r="H43" s="10" t="s">
        <v>3018</v>
      </c>
      <c r="I43" s="10" t="s">
        <v>2987</v>
      </c>
      <c r="J43" s="11" t="s">
        <v>892</v>
      </c>
      <c r="K43" s="11" t="s">
        <v>452</v>
      </c>
      <c r="L43" s="10" t="s">
        <v>191</v>
      </c>
      <c r="M43" s="10" t="n">
        <v>50</v>
      </c>
      <c r="N43" s="10" t="n">
        <v>275</v>
      </c>
      <c r="O43" s="11" t="s">
        <v>3000</v>
      </c>
      <c r="P43" s="10" t="s">
        <v>2989</v>
      </c>
      <c r="Q43" s="11" t="s">
        <v>3025</v>
      </c>
      <c r="R43" s="11" t="s">
        <v>2991</v>
      </c>
      <c r="S43" s="11"/>
      <c r="T43" s="11" t="s">
        <v>3160</v>
      </c>
      <c r="U43" s="10"/>
      <c r="V43" s="11"/>
      <c r="W43" s="10"/>
      <c r="X43" s="11"/>
      <c r="Y43" s="10" t="s">
        <v>2888</v>
      </c>
      <c r="Z43" s="10" t="s">
        <v>1509</v>
      </c>
      <c r="AA43" s="11" t="s">
        <v>3019</v>
      </c>
      <c r="AB43" s="11"/>
      <c r="AC43" s="10" t="s">
        <v>2995</v>
      </c>
    </row>
    <row r="44" customFormat="false" ht="30" hidden="false" customHeight="true" outlineLevel="0" collapsed="false">
      <c r="A44" s="12" t="s">
        <v>3161</v>
      </c>
      <c r="B44" s="12" t="s">
        <v>3162</v>
      </c>
      <c r="C44" s="12" t="s">
        <v>564</v>
      </c>
      <c r="D44" s="12" t="s">
        <v>2903</v>
      </c>
      <c r="E44" s="12" t="s">
        <v>2507</v>
      </c>
      <c r="F44" s="12" t="s">
        <v>2508</v>
      </c>
      <c r="G44" s="13" t="s">
        <v>3007</v>
      </c>
      <c r="H44" s="12" t="s">
        <v>3008</v>
      </c>
      <c r="I44" s="12" t="s">
        <v>3009</v>
      </c>
      <c r="J44" s="13" t="s">
        <v>3163</v>
      </c>
      <c r="K44" s="13" t="s">
        <v>438</v>
      </c>
      <c r="L44" s="12" t="s">
        <v>184</v>
      </c>
      <c r="M44" s="12" t="n">
        <v>87</v>
      </c>
      <c r="N44" s="12" t="n">
        <v>620</v>
      </c>
      <c r="O44" s="13" t="s">
        <v>2792</v>
      </c>
      <c r="P44" s="12" t="s">
        <v>2989</v>
      </c>
      <c r="Q44" s="13" t="s">
        <v>3164</v>
      </c>
      <c r="R44" s="13" t="s">
        <v>3165</v>
      </c>
      <c r="S44" s="13"/>
      <c r="T44" s="13"/>
      <c r="U44" s="12" t="s">
        <v>3166</v>
      </c>
      <c r="V44" s="13"/>
      <c r="W44" s="12"/>
      <c r="X44" s="13"/>
      <c r="Y44" s="12" t="s">
        <v>2888</v>
      </c>
      <c r="Z44" s="12" t="s">
        <v>1509</v>
      </c>
      <c r="AA44" s="13" t="s">
        <v>3013</v>
      </c>
      <c r="AB44" s="13"/>
      <c r="AC44" s="12" t="s">
        <v>3014</v>
      </c>
    </row>
    <row r="45" customFormat="false" ht="30" hidden="false" customHeight="true" outlineLevel="0" collapsed="false">
      <c r="A45" s="10" t="s">
        <v>3167</v>
      </c>
      <c r="B45" s="10" t="s">
        <v>3168</v>
      </c>
      <c r="C45" s="10" t="s">
        <v>564</v>
      </c>
      <c r="D45" s="10" t="s">
        <v>2984</v>
      </c>
      <c r="E45" s="10" t="s">
        <v>2296</v>
      </c>
      <c r="F45" s="10" t="s">
        <v>2297</v>
      </c>
      <c r="G45" s="11" t="s">
        <v>3062</v>
      </c>
      <c r="H45" s="10" t="s">
        <v>3018</v>
      </c>
      <c r="I45" s="10" t="s">
        <v>2987</v>
      </c>
      <c r="J45" s="11" t="s">
        <v>38</v>
      </c>
      <c r="K45" s="11" t="s">
        <v>38</v>
      </c>
      <c r="L45" s="10" t="s">
        <v>170</v>
      </c>
      <c r="M45" s="10" t="n">
        <v>73</v>
      </c>
      <c r="N45" s="10" t="n">
        <v>235</v>
      </c>
      <c r="O45" s="11" t="s">
        <v>2785</v>
      </c>
      <c r="P45" s="10" t="s">
        <v>3011</v>
      </c>
      <c r="Q45" s="11"/>
      <c r="R45" s="11" t="s">
        <v>2991</v>
      </c>
      <c r="S45" s="11"/>
      <c r="T45" s="11"/>
      <c r="U45" s="10"/>
      <c r="V45" s="11"/>
      <c r="W45" s="10"/>
      <c r="X45" s="11"/>
      <c r="Y45" s="10" t="s">
        <v>2884</v>
      </c>
      <c r="Z45" s="10" t="s">
        <v>2886</v>
      </c>
      <c r="AA45" s="11" t="s">
        <v>3019</v>
      </c>
      <c r="AB45" s="11"/>
      <c r="AC45" s="10" t="s">
        <v>2995</v>
      </c>
    </row>
    <row r="46" customFormat="false" ht="30" hidden="false" customHeight="true" outlineLevel="0" collapsed="false">
      <c r="A46" s="12" t="s">
        <v>3169</v>
      </c>
      <c r="B46" s="12" t="s">
        <v>3170</v>
      </c>
      <c r="C46" s="12" t="s">
        <v>564</v>
      </c>
      <c r="D46" s="12" t="s">
        <v>2984</v>
      </c>
      <c r="E46" s="12" t="s">
        <v>2298</v>
      </c>
      <c r="F46" s="12" t="s">
        <v>2299</v>
      </c>
      <c r="G46" s="13" t="s">
        <v>3029</v>
      </c>
      <c r="H46" s="12" t="s">
        <v>3049</v>
      </c>
      <c r="I46" s="12" t="s">
        <v>2987</v>
      </c>
      <c r="J46" s="13" t="s">
        <v>3171</v>
      </c>
      <c r="K46" s="13" t="s">
        <v>426</v>
      </c>
      <c r="L46" s="12" t="s">
        <v>170</v>
      </c>
      <c r="M46" s="12" t="n">
        <v>86</v>
      </c>
      <c r="N46" s="12" t="n">
        <v>465</v>
      </c>
      <c r="O46" s="13" t="s">
        <v>2785</v>
      </c>
      <c r="P46" s="12" t="s">
        <v>3011</v>
      </c>
      <c r="Q46" s="13"/>
      <c r="R46" s="13" t="s">
        <v>2991</v>
      </c>
      <c r="S46" s="13"/>
      <c r="T46" s="13"/>
      <c r="U46" s="12"/>
      <c r="V46" s="13"/>
      <c r="W46" s="12"/>
      <c r="X46" s="13"/>
      <c r="Y46" s="12" t="s">
        <v>2884</v>
      </c>
      <c r="Z46" s="12" t="s">
        <v>2886</v>
      </c>
      <c r="AA46" s="13" t="s">
        <v>3050</v>
      </c>
      <c r="AB46" s="13"/>
      <c r="AC46" s="12" t="s">
        <v>2995</v>
      </c>
    </row>
    <row r="47" customFormat="false" ht="30" hidden="false" customHeight="true" outlineLevel="0" collapsed="false">
      <c r="A47" s="10" t="s">
        <v>3172</v>
      </c>
      <c r="B47" s="10" t="s">
        <v>3173</v>
      </c>
      <c r="C47" s="10" t="s">
        <v>564</v>
      </c>
      <c r="D47" s="10" t="s">
        <v>2903</v>
      </c>
      <c r="E47" s="10" t="s">
        <v>2512</v>
      </c>
      <c r="F47" s="10" t="s">
        <v>2513</v>
      </c>
      <c r="G47" s="11" t="s">
        <v>3077</v>
      </c>
      <c r="H47" s="10" t="s">
        <v>3008</v>
      </c>
      <c r="I47" s="10" t="s">
        <v>3009</v>
      </c>
      <c r="J47" s="11" t="s">
        <v>1083</v>
      </c>
      <c r="K47" s="11" t="s">
        <v>438</v>
      </c>
      <c r="L47" s="10" t="s">
        <v>170</v>
      </c>
      <c r="M47" s="10" t="n">
        <v>71</v>
      </c>
      <c r="N47" s="10" t="n">
        <v>315</v>
      </c>
      <c r="O47" s="11" t="s">
        <v>2785</v>
      </c>
      <c r="P47" s="10" t="s">
        <v>3011</v>
      </c>
      <c r="Q47" s="11"/>
      <c r="R47" s="11" t="s">
        <v>2991</v>
      </c>
      <c r="S47" s="11"/>
      <c r="T47" s="11"/>
      <c r="U47" s="10"/>
      <c r="V47" s="11" t="s">
        <v>3174</v>
      </c>
      <c r="W47" s="10"/>
      <c r="X47" s="11"/>
      <c r="Y47" s="10" t="s">
        <v>2884</v>
      </c>
      <c r="Z47" s="10" t="s">
        <v>2886</v>
      </c>
      <c r="AA47" s="11" t="s">
        <v>3013</v>
      </c>
      <c r="AB47" s="11"/>
      <c r="AC47" s="10" t="s">
        <v>3014</v>
      </c>
    </row>
    <row r="48" customFormat="false" ht="30" hidden="false" customHeight="true" outlineLevel="0" collapsed="false">
      <c r="A48" s="12" t="s">
        <v>3175</v>
      </c>
      <c r="B48" s="12" t="s">
        <v>3176</v>
      </c>
      <c r="C48" s="12" t="s">
        <v>564</v>
      </c>
      <c r="D48" s="12" t="s">
        <v>2984</v>
      </c>
      <c r="E48" s="12" t="s">
        <v>2078</v>
      </c>
      <c r="F48" s="12" t="s">
        <v>2079</v>
      </c>
      <c r="G48" s="13" t="s">
        <v>3022</v>
      </c>
      <c r="H48" s="12" t="s">
        <v>2986</v>
      </c>
      <c r="I48" s="12" t="s">
        <v>3023</v>
      </c>
      <c r="J48" s="13" t="s">
        <v>38</v>
      </c>
      <c r="K48" s="13" t="s">
        <v>452</v>
      </c>
      <c r="L48" s="12" t="s">
        <v>177</v>
      </c>
      <c r="M48" s="12" t="n">
        <v>69</v>
      </c>
      <c r="N48" s="12" t="n">
        <v>390</v>
      </c>
      <c r="O48" s="13" t="s">
        <v>3031</v>
      </c>
      <c r="P48" s="12" t="s">
        <v>3177</v>
      </c>
      <c r="Q48" s="13"/>
      <c r="R48" s="13" t="s">
        <v>2991</v>
      </c>
      <c r="S48" s="13"/>
      <c r="T48" s="13"/>
      <c r="U48" s="12"/>
      <c r="V48" s="13"/>
      <c r="W48" s="12"/>
      <c r="X48" s="13"/>
      <c r="Y48" s="12" t="s">
        <v>2897</v>
      </c>
      <c r="Z48" s="12" t="s">
        <v>2898</v>
      </c>
      <c r="AA48" s="13" t="s">
        <v>2994</v>
      </c>
      <c r="AB48" s="13"/>
      <c r="AC48" s="12" t="s">
        <v>2995</v>
      </c>
    </row>
    <row r="49" customFormat="false" ht="30" hidden="false" customHeight="true" outlineLevel="0" collapsed="false">
      <c r="A49" s="10" t="s">
        <v>3178</v>
      </c>
      <c r="B49" s="10" t="s">
        <v>3179</v>
      </c>
      <c r="C49" s="10" t="s">
        <v>564</v>
      </c>
      <c r="D49" s="10" t="s">
        <v>2984</v>
      </c>
      <c r="E49" s="10" t="s">
        <v>2302</v>
      </c>
      <c r="F49" s="10" t="s">
        <v>2303</v>
      </c>
      <c r="G49" s="11" t="s">
        <v>3017</v>
      </c>
      <c r="H49" s="10" t="s">
        <v>3018</v>
      </c>
      <c r="I49" s="10" t="s">
        <v>2987</v>
      </c>
      <c r="J49" s="11" t="s">
        <v>38</v>
      </c>
      <c r="K49" s="11" t="s">
        <v>38</v>
      </c>
      <c r="L49" s="10" t="s">
        <v>170</v>
      </c>
      <c r="M49" s="10" t="n">
        <v>66</v>
      </c>
      <c r="N49" s="10" t="n">
        <v>260</v>
      </c>
      <c r="O49" s="11" t="s">
        <v>2785</v>
      </c>
      <c r="P49" s="10" t="s">
        <v>3011</v>
      </c>
      <c r="Q49" s="11"/>
      <c r="R49" s="11" t="s">
        <v>2991</v>
      </c>
      <c r="S49" s="11"/>
      <c r="T49" s="11"/>
      <c r="U49" s="10"/>
      <c r="V49" s="11"/>
      <c r="W49" s="10"/>
      <c r="X49" s="11"/>
      <c r="Y49" s="10" t="s">
        <v>2884</v>
      </c>
      <c r="Z49" s="10" t="s">
        <v>2886</v>
      </c>
      <c r="AA49" s="11" t="s">
        <v>3019</v>
      </c>
      <c r="AB49" s="11"/>
      <c r="AC49" s="10" t="s">
        <v>2995</v>
      </c>
    </row>
    <row r="50" customFormat="false" ht="30" hidden="false" customHeight="true" outlineLevel="0" collapsed="false">
      <c r="A50" s="12" t="s">
        <v>3180</v>
      </c>
      <c r="B50" s="12" t="s">
        <v>3181</v>
      </c>
      <c r="C50" s="12" t="s">
        <v>564</v>
      </c>
      <c r="D50" s="12" t="s">
        <v>2903</v>
      </c>
      <c r="E50" s="12" t="s">
        <v>2516</v>
      </c>
      <c r="F50" s="12" t="s">
        <v>2517</v>
      </c>
      <c r="G50" s="13" t="s">
        <v>3039</v>
      </c>
      <c r="H50" s="12" t="s">
        <v>2999</v>
      </c>
      <c r="I50" s="12" t="s">
        <v>3009</v>
      </c>
      <c r="J50" s="13" t="s">
        <v>3182</v>
      </c>
      <c r="K50" s="13" t="s">
        <v>423</v>
      </c>
      <c r="L50" s="12" t="s">
        <v>170</v>
      </c>
      <c r="M50" s="12" t="n">
        <v>85</v>
      </c>
      <c r="N50" s="12" t="n">
        <v>485</v>
      </c>
      <c r="O50" s="13" t="s">
        <v>2785</v>
      </c>
      <c r="P50" s="12" t="s">
        <v>3011</v>
      </c>
      <c r="Q50" s="13"/>
      <c r="R50" s="13" t="s">
        <v>2991</v>
      </c>
      <c r="S50" s="13"/>
      <c r="T50" s="13"/>
      <c r="U50" s="12"/>
      <c r="V50" s="13"/>
      <c r="W50" s="12"/>
      <c r="X50" s="13"/>
      <c r="Y50" s="12" t="s">
        <v>2884</v>
      </c>
      <c r="Z50" s="12" t="s">
        <v>2886</v>
      </c>
      <c r="AA50" s="13" t="s">
        <v>3004</v>
      </c>
      <c r="AB50" s="13"/>
      <c r="AC50" s="12" t="s">
        <v>3014</v>
      </c>
    </row>
    <row r="51" customFormat="false" ht="30" hidden="false" customHeight="true" outlineLevel="0" collapsed="false">
      <c r="A51" s="10" t="s">
        <v>3183</v>
      </c>
      <c r="B51" s="10" t="s">
        <v>3184</v>
      </c>
      <c r="C51" s="10" t="s">
        <v>564</v>
      </c>
      <c r="D51" s="10" t="s">
        <v>2984</v>
      </c>
      <c r="E51" s="10" t="s">
        <v>2306</v>
      </c>
      <c r="F51" s="10" t="s">
        <v>2307</v>
      </c>
      <c r="G51" s="11" t="s">
        <v>3071</v>
      </c>
      <c r="H51" s="10" t="s">
        <v>3018</v>
      </c>
      <c r="I51" s="10" t="s">
        <v>2987</v>
      </c>
      <c r="J51" s="11" t="s">
        <v>1201</v>
      </c>
      <c r="K51" s="11" t="s">
        <v>433</v>
      </c>
      <c r="L51" s="10" t="s">
        <v>170</v>
      </c>
      <c r="M51" s="10" t="n">
        <v>79</v>
      </c>
      <c r="N51" s="10" t="n">
        <v>350</v>
      </c>
      <c r="O51" s="11" t="s">
        <v>2785</v>
      </c>
      <c r="P51" s="10" t="s">
        <v>2989</v>
      </c>
      <c r="Q51" s="11" t="s">
        <v>2990</v>
      </c>
      <c r="R51" s="11" t="s">
        <v>2991</v>
      </c>
      <c r="S51" s="11"/>
      <c r="T51" s="11"/>
      <c r="U51" s="10"/>
      <c r="V51" s="11"/>
      <c r="W51" s="10"/>
      <c r="X51" s="11"/>
      <c r="Y51" s="10" t="s">
        <v>2888</v>
      </c>
      <c r="Z51" s="10" t="s">
        <v>1509</v>
      </c>
      <c r="AA51" s="11" t="s">
        <v>3019</v>
      </c>
      <c r="AB51" s="11"/>
      <c r="AC51" s="10" t="s">
        <v>2995</v>
      </c>
    </row>
    <row r="52" customFormat="false" ht="30" hidden="false" customHeight="true" outlineLevel="0" collapsed="false">
      <c r="A52" s="12" t="s">
        <v>3185</v>
      </c>
      <c r="B52" s="12" t="s">
        <v>3186</v>
      </c>
      <c r="C52" s="12" t="s">
        <v>564</v>
      </c>
      <c r="D52" s="12" t="s">
        <v>2984</v>
      </c>
      <c r="E52" s="12" t="s">
        <v>2308</v>
      </c>
      <c r="F52" s="12" t="s">
        <v>2309</v>
      </c>
      <c r="G52" s="13" t="s">
        <v>3065</v>
      </c>
      <c r="H52" s="12" t="s">
        <v>2986</v>
      </c>
      <c r="I52" s="12" t="s">
        <v>2987</v>
      </c>
      <c r="J52" s="13" t="s">
        <v>38</v>
      </c>
      <c r="K52" s="13" t="s">
        <v>452</v>
      </c>
      <c r="L52" s="12" t="s">
        <v>191</v>
      </c>
      <c r="M52" s="12" t="n">
        <v>46</v>
      </c>
      <c r="N52" s="12" t="n">
        <v>730</v>
      </c>
      <c r="O52" s="13" t="s">
        <v>3024</v>
      </c>
      <c r="P52" s="12" t="s">
        <v>2989</v>
      </c>
      <c r="Q52" s="13" t="s">
        <v>3054</v>
      </c>
      <c r="R52" s="13" t="s">
        <v>3055</v>
      </c>
      <c r="S52" s="13"/>
      <c r="T52" s="13"/>
      <c r="U52" s="12"/>
      <c r="V52" s="13"/>
      <c r="W52" s="12"/>
      <c r="X52" s="13"/>
      <c r="Y52" s="12" t="s">
        <v>2888</v>
      </c>
      <c r="Z52" s="12" t="s">
        <v>1509</v>
      </c>
      <c r="AA52" s="13" t="s">
        <v>2994</v>
      </c>
      <c r="AB52" s="13"/>
      <c r="AC52" s="12" t="s">
        <v>2995</v>
      </c>
    </row>
    <row r="53" customFormat="false" ht="30" hidden="false" customHeight="true" outlineLevel="0" collapsed="false">
      <c r="A53" s="10" t="s">
        <v>3187</v>
      </c>
      <c r="B53" s="10" t="s">
        <v>3188</v>
      </c>
      <c r="C53" s="10" t="s">
        <v>564</v>
      </c>
      <c r="D53" s="10" t="s">
        <v>2903</v>
      </c>
      <c r="E53" s="10" t="s">
        <v>2522</v>
      </c>
      <c r="F53" s="10" t="s">
        <v>2523</v>
      </c>
      <c r="G53" s="11" t="s">
        <v>3058</v>
      </c>
      <c r="H53" s="10" t="s">
        <v>2999</v>
      </c>
      <c r="I53" s="10" t="s">
        <v>3009</v>
      </c>
      <c r="J53" s="11" t="s">
        <v>3189</v>
      </c>
      <c r="K53" s="11" t="s">
        <v>455</v>
      </c>
      <c r="L53" s="10" t="s">
        <v>170</v>
      </c>
      <c r="M53" s="10" t="n">
        <v>83</v>
      </c>
      <c r="N53" s="10" t="n">
        <v>415</v>
      </c>
      <c r="O53" s="11" t="s">
        <v>2785</v>
      </c>
      <c r="P53" s="10" t="s">
        <v>3011</v>
      </c>
      <c r="Q53" s="11"/>
      <c r="R53" s="11" t="s">
        <v>2991</v>
      </c>
      <c r="S53" s="11"/>
      <c r="T53" s="11"/>
      <c r="U53" s="10"/>
      <c r="V53" s="11"/>
      <c r="W53" s="10"/>
      <c r="X53" s="11"/>
      <c r="Y53" s="10" t="s">
        <v>2884</v>
      </c>
      <c r="Z53" s="10" t="s">
        <v>2886</v>
      </c>
      <c r="AA53" s="11" t="s">
        <v>3004</v>
      </c>
      <c r="AB53" s="11"/>
      <c r="AC53" s="10" t="s">
        <v>3014</v>
      </c>
    </row>
    <row r="54" customFormat="false" ht="30" hidden="false" customHeight="true" outlineLevel="0" collapsed="false">
      <c r="A54" s="12" t="s">
        <v>3190</v>
      </c>
      <c r="B54" s="12" t="s">
        <v>3191</v>
      </c>
      <c r="C54" s="12" t="s">
        <v>564</v>
      </c>
      <c r="D54" s="12" t="s">
        <v>2984</v>
      </c>
      <c r="E54" s="12" t="s">
        <v>2312</v>
      </c>
      <c r="F54" s="12" t="s">
        <v>2313</v>
      </c>
      <c r="G54" s="13" t="s">
        <v>3053</v>
      </c>
      <c r="H54" s="12" t="s">
        <v>3018</v>
      </c>
      <c r="I54" s="12" t="s">
        <v>2987</v>
      </c>
      <c r="J54" s="13" t="s">
        <v>38</v>
      </c>
      <c r="K54" s="13" t="s">
        <v>38</v>
      </c>
      <c r="L54" s="12" t="s">
        <v>191</v>
      </c>
      <c r="M54" s="12" t="n">
        <v>52</v>
      </c>
      <c r="N54" s="12" t="n">
        <v>280</v>
      </c>
      <c r="O54" s="13" t="s">
        <v>3000</v>
      </c>
      <c r="P54" s="12" t="s">
        <v>2989</v>
      </c>
      <c r="Q54" s="13"/>
      <c r="R54" s="13" t="s">
        <v>2991</v>
      </c>
      <c r="S54" s="13"/>
      <c r="T54" s="13"/>
      <c r="U54" s="12"/>
      <c r="V54" s="13"/>
      <c r="W54" s="12"/>
      <c r="X54" s="13"/>
      <c r="Y54" s="12" t="s">
        <v>2888</v>
      </c>
      <c r="Z54" s="12" t="s">
        <v>1509</v>
      </c>
      <c r="AA54" s="13" t="s">
        <v>3019</v>
      </c>
      <c r="AB54" s="13"/>
      <c r="AC54" s="12" t="s">
        <v>2995</v>
      </c>
    </row>
    <row r="55" customFormat="false" ht="30" hidden="false" customHeight="true" outlineLevel="0" collapsed="false">
      <c r="A55" s="10" t="s">
        <v>3192</v>
      </c>
      <c r="B55" s="10" t="s">
        <v>3193</v>
      </c>
      <c r="C55" s="10" t="s">
        <v>564</v>
      </c>
      <c r="D55" s="10" t="s">
        <v>2984</v>
      </c>
      <c r="E55" s="10" t="s">
        <v>2144</v>
      </c>
      <c r="F55" s="10" t="s">
        <v>2145</v>
      </c>
      <c r="G55" s="11" t="s">
        <v>2985</v>
      </c>
      <c r="H55" s="10" t="s">
        <v>2999</v>
      </c>
      <c r="I55" s="10" t="s">
        <v>2987</v>
      </c>
      <c r="J55" s="11" t="s">
        <v>432</v>
      </c>
      <c r="K55" s="11" t="s">
        <v>429</v>
      </c>
      <c r="L55" s="10" t="s">
        <v>170</v>
      </c>
      <c r="M55" s="10" t="n">
        <v>88</v>
      </c>
      <c r="N55" s="10" t="n">
        <v>430</v>
      </c>
      <c r="O55" s="11" t="s">
        <v>2785</v>
      </c>
      <c r="P55" s="10" t="s">
        <v>2989</v>
      </c>
      <c r="Q55" s="11" t="s">
        <v>3067</v>
      </c>
      <c r="R55" s="11" t="s">
        <v>2991</v>
      </c>
      <c r="S55" s="11"/>
      <c r="T55" s="11"/>
      <c r="U55" s="10"/>
      <c r="V55" s="11" t="s">
        <v>3194</v>
      </c>
      <c r="W55" s="10"/>
      <c r="X55" s="11" t="s">
        <v>3195</v>
      </c>
      <c r="Y55" s="10" t="s">
        <v>2888</v>
      </c>
      <c r="Z55" s="10" t="s">
        <v>1509</v>
      </c>
      <c r="AA55" s="11" t="s">
        <v>3004</v>
      </c>
      <c r="AB55" s="11"/>
      <c r="AC55" s="10" t="s">
        <v>2995</v>
      </c>
    </row>
    <row r="56" customFormat="false" ht="30" hidden="false" customHeight="true" outlineLevel="0" collapsed="false">
      <c r="A56" s="12" t="s">
        <v>3196</v>
      </c>
      <c r="B56" s="12" t="s">
        <v>3197</v>
      </c>
      <c r="C56" s="12" t="s">
        <v>564</v>
      </c>
      <c r="D56" s="12" t="s">
        <v>2984</v>
      </c>
      <c r="E56" s="12" t="s">
        <v>2314</v>
      </c>
      <c r="F56" s="12" t="s">
        <v>2315</v>
      </c>
      <c r="G56" s="13" t="s">
        <v>3088</v>
      </c>
      <c r="H56" s="12" t="s">
        <v>3018</v>
      </c>
      <c r="I56" s="12" t="s">
        <v>2987</v>
      </c>
      <c r="J56" s="13" t="s">
        <v>38</v>
      </c>
      <c r="K56" s="13" t="s">
        <v>38</v>
      </c>
      <c r="L56" s="12" t="s">
        <v>170</v>
      </c>
      <c r="M56" s="12" t="n">
        <v>76</v>
      </c>
      <c r="N56" s="12" t="n">
        <v>325</v>
      </c>
      <c r="O56" s="13" t="s">
        <v>2785</v>
      </c>
      <c r="P56" s="12" t="s">
        <v>3011</v>
      </c>
      <c r="Q56" s="13"/>
      <c r="R56" s="13" t="s">
        <v>2991</v>
      </c>
      <c r="S56" s="13"/>
      <c r="T56" s="13"/>
      <c r="U56" s="12"/>
      <c r="V56" s="13"/>
      <c r="W56" s="12"/>
      <c r="X56" s="13"/>
      <c r="Y56" s="12" t="s">
        <v>2884</v>
      </c>
      <c r="Z56" s="12" t="s">
        <v>2886</v>
      </c>
      <c r="AA56" s="13" t="s">
        <v>3019</v>
      </c>
      <c r="AB56" s="13"/>
      <c r="AC56" s="12" t="s">
        <v>2995</v>
      </c>
    </row>
    <row r="57" customFormat="false" ht="30" hidden="false" customHeight="true" outlineLevel="0" collapsed="false">
      <c r="A57" s="10" t="s">
        <v>3198</v>
      </c>
      <c r="B57" s="10" t="s">
        <v>3199</v>
      </c>
      <c r="C57" s="10" t="s">
        <v>564</v>
      </c>
      <c r="D57" s="10" t="s">
        <v>2984</v>
      </c>
      <c r="E57" s="10" t="s">
        <v>2170</v>
      </c>
      <c r="F57" s="10" t="s">
        <v>2171</v>
      </c>
      <c r="G57" s="11" t="s">
        <v>3048</v>
      </c>
      <c r="H57" s="10" t="s">
        <v>2986</v>
      </c>
      <c r="I57" s="10" t="s">
        <v>2987</v>
      </c>
      <c r="J57" s="11" t="s">
        <v>38</v>
      </c>
      <c r="K57" s="11" t="s">
        <v>452</v>
      </c>
      <c r="L57" s="10" t="s">
        <v>184</v>
      </c>
      <c r="M57" s="10" t="n">
        <v>84</v>
      </c>
      <c r="N57" s="10" t="n">
        <v>375</v>
      </c>
      <c r="O57" s="11" t="s">
        <v>2792</v>
      </c>
      <c r="P57" s="10" t="s">
        <v>2989</v>
      </c>
      <c r="Q57" s="11" t="s">
        <v>3200</v>
      </c>
      <c r="R57" s="11" t="s">
        <v>3201</v>
      </c>
      <c r="S57" s="11"/>
      <c r="T57" s="11"/>
      <c r="U57" s="10"/>
      <c r="V57" s="11" t="s">
        <v>3202</v>
      </c>
      <c r="W57" s="10"/>
      <c r="X57" s="11" t="s">
        <v>3203</v>
      </c>
      <c r="Y57" s="10" t="s">
        <v>2888</v>
      </c>
      <c r="Z57" s="10" t="s">
        <v>1509</v>
      </c>
      <c r="AA57" s="11" t="s">
        <v>2994</v>
      </c>
      <c r="AB57" s="11"/>
      <c r="AC57" s="10" t="s">
        <v>2995</v>
      </c>
    </row>
    <row r="58" customFormat="false" ht="30" hidden="false" customHeight="true" outlineLevel="0" collapsed="false">
      <c r="A58" s="12" t="s">
        <v>3204</v>
      </c>
      <c r="B58" s="12" t="s">
        <v>3205</v>
      </c>
      <c r="C58" s="12" t="s">
        <v>564</v>
      </c>
      <c r="D58" s="12" t="s">
        <v>2903</v>
      </c>
      <c r="E58" s="12" t="s">
        <v>2454</v>
      </c>
      <c r="F58" s="12" t="s">
        <v>2455</v>
      </c>
      <c r="G58" s="13" t="s">
        <v>3007</v>
      </c>
      <c r="H58" s="12" t="s">
        <v>2999</v>
      </c>
      <c r="I58" s="12" t="s">
        <v>3009</v>
      </c>
      <c r="J58" s="13" t="s">
        <v>3206</v>
      </c>
      <c r="K58" s="13" t="s">
        <v>441</v>
      </c>
      <c r="L58" s="12" t="s">
        <v>170</v>
      </c>
      <c r="M58" s="12" t="n">
        <v>86</v>
      </c>
      <c r="N58" s="12" t="n">
        <v>580</v>
      </c>
      <c r="O58" s="13" t="s">
        <v>2785</v>
      </c>
      <c r="P58" s="12" t="s">
        <v>2989</v>
      </c>
      <c r="Q58" s="13" t="s">
        <v>3067</v>
      </c>
      <c r="R58" s="13" t="s">
        <v>2991</v>
      </c>
      <c r="S58" s="13"/>
      <c r="T58" s="13"/>
      <c r="U58" s="12"/>
      <c r="V58" s="13" t="s">
        <v>3207</v>
      </c>
      <c r="W58" s="12"/>
      <c r="X58" s="13" t="s">
        <v>3208</v>
      </c>
      <c r="Y58" s="12" t="s">
        <v>2888</v>
      </c>
      <c r="Z58" s="12" t="s">
        <v>1509</v>
      </c>
      <c r="AA58" s="13" t="s">
        <v>3004</v>
      </c>
      <c r="AB58" s="13"/>
      <c r="AC58" s="12" t="s">
        <v>3014</v>
      </c>
    </row>
    <row r="59" customFormat="false" ht="30" hidden="false" customHeight="true" outlineLevel="0" collapsed="false">
      <c r="A59" s="10" t="s">
        <v>3209</v>
      </c>
      <c r="B59" s="10" t="s">
        <v>3210</v>
      </c>
      <c r="C59" s="10" t="s">
        <v>564</v>
      </c>
      <c r="D59" s="10" t="s">
        <v>2984</v>
      </c>
      <c r="E59" s="10" t="s">
        <v>2102</v>
      </c>
      <c r="F59" s="10" t="s">
        <v>2103</v>
      </c>
      <c r="G59" s="11" t="s">
        <v>2998</v>
      </c>
      <c r="H59" s="10" t="s">
        <v>3049</v>
      </c>
      <c r="I59" s="10" t="s">
        <v>3023</v>
      </c>
      <c r="J59" s="11" t="s">
        <v>38</v>
      </c>
      <c r="K59" s="11" t="s">
        <v>452</v>
      </c>
      <c r="L59" s="10" t="s">
        <v>191</v>
      </c>
      <c r="M59" s="10" t="n">
        <v>43</v>
      </c>
      <c r="N59" s="10" t="n">
        <v>245</v>
      </c>
      <c r="O59" s="11" t="s">
        <v>3000</v>
      </c>
      <c r="P59" s="10" t="s">
        <v>2989</v>
      </c>
      <c r="Q59" s="11" t="s">
        <v>3124</v>
      </c>
      <c r="R59" s="11" t="s">
        <v>2991</v>
      </c>
      <c r="S59" s="11" t="s">
        <v>3002</v>
      </c>
      <c r="T59" s="11"/>
      <c r="U59" s="10"/>
      <c r="V59" s="11"/>
      <c r="W59" s="10"/>
      <c r="X59" s="11"/>
      <c r="Y59" s="10" t="s">
        <v>2888</v>
      </c>
      <c r="Z59" s="10" t="s">
        <v>1509</v>
      </c>
      <c r="AA59" s="11" t="s">
        <v>3050</v>
      </c>
      <c r="AB59" s="11"/>
      <c r="AC59" s="10" t="s">
        <v>2995</v>
      </c>
    </row>
    <row r="60" customFormat="false" ht="30" hidden="false" customHeight="true" outlineLevel="0" collapsed="false">
      <c r="A60" s="12" t="s">
        <v>3211</v>
      </c>
      <c r="B60" s="12" t="s">
        <v>3212</v>
      </c>
      <c r="C60" s="12" t="s">
        <v>564</v>
      </c>
      <c r="D60" s="12" t="s">
        <v>2903</v>
      </c>
      <c r="E60" s="12" t="s">
        <v>2528</v>
      </c>
      <c r="F60" s="12" t="s">
        <v>2529</v>
      </c>
      <c r="G60" s="13" t="s">
        <v>3029</v>
      </c>
      <c r="H60" s="12" t="s">
        <v>3008</v>
      </c>
      <c r="I60" s="12" t="s">
        <v>3009</v>
      </c>
      <c r="J60" s="13" t="s">
        <v>3213</v>
      </c>
      <c r="K60" s="13" t="s">
        <v>445</v>
      </c>
      <c r="L60" s="12" t="s">
        <v>177</v>
      </c>
      <c r="M60" s="12" t="n">
        <v>81</v>
      </c>
      <c r="N60" s="12" t="n">
        <v>500</v>
      </c>
      <c r="O60" s="13" t="s">
        <v>3031</v>
      </c>
      <c r="P60" s="12" t="s">
        <v>3011</v>
      </c>
      <c r="Q60" s="13" t="s">
        <v>3214</v>
      </c>
      <c r="R60" s="13" t="s">
        <v>2991</v>
      </c>
      <c r="S60" s="13"/>
      <c r="T60" s="13"/>
      <c r="U60" s="12" t="s">
        <v>3215</v>
      </c>
      <c r="V60" s="13"/>
      <c r="W60" s="12"/>
      <c r="X60" s="13"/>
      <c r="Y60" s="12" t="s">
        <v>2888</v>
      </c>
      <c r="Z60" s="12" t="s">
        <v>1509</v>
      </c>
      <c r="AA60" s="13" t="s">
        <v>3013</v>
      </c>
      <c r="AB60" s="13"/>
      <c r="AC60" s="12" t="s">
        <v>3216</v>
      </c>
    </row>
    <row r="61" customFormat="false" ht="30" hidden="false" customHeight="true" outlineLevel="0" collapsed="false">
      <c r="A61" s="10" t="s">
        <v>3217</v>
      </c>
      <c r="B61" s="10" t="s">
        <v>3218</v>
      </c>
      <c r="C61" s="10" t="s">
        <v>564</v>
      </c>
      <c r="D61" s="10" t="s">
        <v>2984</v>
      </c>
      <c r="E61" s="10" t="s">
        <v>2136</v>
      </c>
      <c r="F61" s="10" t="s">
        <v>2137</v>
      </c>
      <c r="G61" s="11" t="s">
        <v>3092</v>
      </c>
      <c r="H61" s="10" t="s">
        <v>3018</v>
      </c>
      <c r="I61" s="10" t="s">
        <v>3093</v>
      </c>
      <c r="J61" s="11" t="s">
        <v>1283</v>
      </c>
      <c r="K61" s="11" t="s">
        <v>433</v>
      </c>
      <c r="L61" s="10" t="s">
        <v>170</v>
      </c>
      <c r="M61" s="10" t="n">
        <v>80</v>
      </c>
      <c r="N61" s="10" t="n">
        <v>335</v>
      </c>
      <c r="O61" s="11" t="s">
        <v>2785</v>
      </c>
      <c r="P61" s="10" t="s">
        <v>3011</v>
      </c>
      <c r="Q61" s="11"/>
      <c r="R61" s="11" t="s">
        <v>2991</v>
      </c>
      <c r="S61" s="11"/>
      <c r="T61" s="11"/>
      <c r="U61" s="10"/>
      <c r="V61" s="11"/>
      <c r="W61" s="10"/>
      <c r="X61" s="11"/>
      <c r="Y61" s="10" t="s">
        <v>2884</v>
      </c>
      <c r="Z61" s="10" t="s">
        <v>2886</v>
      </c>
      <c r="AA61" s="11" t="s">
        <v>3019</v>
      </c>
      <c r="AB61" s="11"/>
      <c r="AC61" s="10" t="s">
        <v>2995</v>
      </c>
    </row>
    <row r="62" customFormat="false" ht="30" hidden="false" customHeight="true" outlineLevel="0" collapsed="false">
      <c r="A62" s="12" t="s">
        <v>3219</v>
      </c>
      <c r="B62" s="12" t="s">
        <v>3220</v>
      </c>
      <c r="C62" s="12" t="s">
        <v>564</v>
      </c>
      <c r="D62" s="12" t="s">
        <v>2984</v>
      </c>
      <c r="E62" s="12" t="s">
        <v>1873</v>
      </c>
      <c r="F62" s="12" t="s">
        <v>1874</v>
      </c>
      <c r="G62" s="13" t="s">
        <v>3062</v>
      </c>
      <c r="H62" s="12" t="s">
        <v>3018</v>
      </c>
      <c r="I62" s="12" t="s">
        <v>3023</v>
      </c>
      <c r="J62" s="13" t="s">
        <v>3221</v>
      </c>
      <c r="K62" s="13" t="s">
        <v>452</v>
      </c>
      <c r="L62" s="12" t="s">
        <v>170</v>
      </c>
      <c r="M62" s="12" t="n">
        <v>82</v>
      </c>
      <c r="N62" s="12" t="n">
        <v>405</v>
      </c>
      <c r="O62" s="13" t="s">
        <v>2785</v>
      </c>
      <c r="P62" s="12" t="s">
        <v>3011</v>
      </c>
      <c r="Q62" s="13" t="s">
        <v>3025</v>
      </c>
      <c r="R62" s="13" t="s">
        <v>2991</v>
      </c>
      <c r="S62" s="13"/>
      <c r="T62" s="13"/>
      <c r="U62" s="12"/>
      <c r="V62" s="13"/>
      <c r="W62" s="12"/>
      <c r="X62" s="13" t="s">
        <v>3222</v>
      </c>
      <c r="Y62" s="12" t="s">
        <v>2888</v>
      </c>
      <c r="Z62" s="12" t="s">
        <v>1509</v>
      </c>
      <c r="AA62" s="13" t="s">
        <v>3019</v>
      </c>
      <c r="AB62" s="13"/>
      <c r="AC62" s="12" t="s">
        <v>2995</v>
      </c>
    </row>
    <row r="63" customFormat="false" ht="30" hidden="false" customHeight="true" outlineLevel="0" collapsed="false">
      <c r="A63" s="10" t="s">
        <v>3223</v>
      </c>
      <c r="B63" s="10" t="s">
        <v>3224</v>
      </c>
      <c r="C63" s="10" t="s">
        <v>564</v>
      </c>
      <c r="D63" s="10" t="s">
        <v>2903</v>
      </c>
      <c r="E63" s="10" t="s">
        <v>2530</v>
      </c>
      <c r="F63" s="10" t="s">
        <v>2531</v>
      </c>
      <c r="G63" s="11" t="s">
        <v>3080</v>
      </c>
      <c r="H63" s="10" t="s">
        <v>3008</v>
      </c>
      <c r="I63" s="10" t="s">
        <v>3009</v>
      </c>
      <c r="J63" s="11" t="s">
        <v>3225</v>
      </c>
      <c r="K63" s="11" t="s">
        <v>445</v>
      </c>
      <c r="L63" s="10" t="s">
        <v>170</v>
      </c>
      <c r="M63" s="10" t="n">
        <v>84</v>
      </c>
      <c r="N63" s="10" t="n">
        <v>470</v>
      </c>
      <c r="O63" s="11" t="s">
        <v>2785</v>
      </c>
      <c r="P63" s="10" t="s">
        <v>3011</v>
      </c>
      <c r="Q63" s="11"/>
      <c r="R63" s="11" t="s">
        <v>2991</v>
      </c>
      <c r="S63" s="11"/>
      <c r="T63" s="11"/>
      <c r="U63" s="10"/>
      <c r="V63" s="11"/>
      <c r="W63" s="10"/>
      <c r="X63" s="11"/>
      <c r="Y63" s="10" t="s">
        <v>2884</v>
      </c>
      <c r="Z63" s="10" t="s">
        <v>2886</v>
      </c>
      <c r="AA63" s="11" t="s">
        <v>3013</v>
      </c>
      <c r="AB63" s="11"/>
      <c r="AC63" s="10" t="s">
        <v>3014</v>
      </c>
    </row>
    <row r="64" customFormat="false" ht="30" hidden="false" customHeight="true" outlineLevel="0" collapsed="false">
      <c r="A64" s="12" t="s">
        <v>3226</v>
      </c>
      <c r="B64" s="12" t="s">
        <v>3227</v>
      </c>
      <c r="C64" s="12" t="s">
        <v>564</v>
      </c>
      <c r="D64" s="12" t="s">
        <v>2984</v>
      </c>
      <c r="E64" s="12" t="s">
        <v>2320</v>
      </c>
      <c r="F64" s="12" t="s">
        <v>2321</v>
      </c>
      <c r="G64" s="13" t="s">
        <v>3017</v>
      </c>
      <c r="H64" s="12" t="s">
        <v>3018</v>
      </c>
      <c r="I64" s="12" t="s">
        <v>2987</v>
      </c>
      <c r="J64" s="13" t="s">
        <v>38</v>
      </c>
      <c r="K64" s="13" t="s">
        <v>38</v>
      </c>
      <c r="L64" s="12" t="s">
        <v>170</v>
      </c>
      <c r="M64" s="12" t="n">
        <v>67</v>
      </c>
      <c r="N64" s="12" t="n">
        <v>265</v>
      </c>
      <c r="O64" s="13" t="s">
        <v>2785</v>
      </c>
      <c r="P64" s="12" t="s">
        <v>3011</v>
      </c>
      <c r="Q64" s="13"/>
      <c r="R64" s="13" t="s">
        <v>2991</v>
      </c>
      <c r="S64" s="13"/>
      <c r="T64" s="13"/>
      <c r="U64" s="12"/>
      <c r="V64" s="13"/>
      <c r="W64" s="12"/>
      <c r="X64" s="13"/>
      <c r="Y64" s="12" t="s">
        <v>2884</v>
      </c>
      <c r="Z64" s="12" t="s">
        <v>2886</v>
      </c>
      <c r="AA64" s="13" t="s">
        <v>3019</v>
      </c>
      <c r="AB64" s="13"/>
      <c r="AC64" s="12" t="s">
        <v>2995</v>
      </c>
    </row>
    <row r="65" customFormat="false" ht="30" hidden="false" customHeight="true" outlineLevel="0" collapsed="false">
      <c r="A65" s="10" t="s">
        <v>3228</v>
      </c>
      <c r="B65" s="10" t="s">
        <v>3229</v>
      </c>
      <c r="C65" s="10" t="s">
        <v>564</v>
      </c>
      <c r="D65" s="10" t="s">
        <v>2903</v>
      </c>
      <c r="E65" s="10" t="s">
        <v>2450</v>
      </c>
      <c r="F65" s="10" t="s">
        <v>2451</v>
      </c>
      <c r="G65" s="11" t="s">
        <v>3022</v>
      </c>
      <c r="H65" s="10" t="s">
        <v>3008</v>
      </c>
      <c r="I65" s="10" t="s">
        <v>3009</v>
      </c>
      <c r="J65" s="11" t="s">
        <v>3066</v>
      </c>
      <c r="K65" s="11" t="s">
        <v>438</v>
      </c>
      <c r="L65" s="10" t="s">
        <v>177</v>
      </c>
      <c r="M65" s="10" t="n">
        <v>72</v>
      </c>
      <c r="N65" s="10" t="n">
        <v>665</v>
      </c>
      <c r="O65" s="11" t="s">
        <v>3031</v>
      </c>
      <c r="P65" s="10" t="s">
        <v>2989</v>
      </c>
      <c r="Q65" s="11" t="s">
        <v>3067</v>
      </c>
      <c r="R65" s="11" t="s">
        <v>2991</v>
      </c>
      <c r="S65" s="11"/>
      <c r="T65" s="11"/>
      <c r="U65" s="10"/>
      <c r="V65" s="11"/>
      <c r="W65" s="10"/>
      <c r="X65" s="11" t="s">
        <v>3230</v>
      </c>
      <c r="Y65" s="10" t="s">
        <v>2888</v>
      </c>
      <c r="Z65" s="10" t="s">
        <v>1509</v>
      </c>
      <c r="AA65" s="11" t="s">
        <v>3013</v>
      </c>
      <c r="AB65" s="11"/>
      <c r="AC65" s="10" t="s">
        <v>3014</v>
      </c>
    </row>
    <row r="66" customFormat="false" ht="30" hidden="false" customHeight="true" outlineLevel="0" collapsed="false">
      <c r="A66" s="12" t="s">
        <v>3231</v>
      </c>
      <c r="B66" s="12" t="s">
        <v>3232</v>
      </c>
      <c r="C66" s="12" t="s">
        <v>564</v>
      </c>
      <c r="D66" s="12" t="s">
        <v>2984</v>
      </c>
      <c r="E66" s="12" t="s">
        <v>2114</v>
      </c>
      <c r="F66" s="12" t="s">
        <v>2115</v>
      </c>
      <c r="G66" s="13" t="s">
        <v>3071</v>
      </c>
      <c r="H66" s="12" t="s">
        <v>3072</v>
      </c>
      <c r="I66" s="12" t="s">
        <v>3073</v>
      </c>
      <c r="J66" s="13" t="s">
        <v>1299</v>
      </c>
      <c r="K66" s="13" t="s">
        <v>452</v>
      </c>
      <c r="L66" s="12" t="s">
        <v>170</v>
      </c>
      <c r="M66" s="12" t="n">
        <v>81</v>
      </c>
      <c r="N66" s="12" t="n">
        <v>355</v>
      </c>
      <c r="O66" s="13" t="s">
        <v>2785</v>
      </c>
      <c r="P66" s="12" t="s">
        <v>3011</v>
      </c>
      <c r="Q66" s="13"/>
      <c r="R66" s="13" t="s">
        <v>2991</v>
      </c>
      <c r="S66" s="13"/>
      <c r="T66" s="13"/>
      <c r="U66" s="12"/>
      <c r="V66" s="13"/>
      <c r="W66" s="12"/>
      <c r="X66" s="13"/>
      <c r="Y66" s="12" t="s">
        <v>2884</v>
      </c>
      <c r="Z66" s="12" t="s">
        <v>2886</v>
      </c>
      <c r="AA66" s="13" t="s">
        <v>3074</v>
      </c>
      <c r="AB66" s="13"/>
      <c r="AC66" s="12" t="s">
        <v>2995</v>
      </c>
    </row>
    <row r="67" customFormat="false" ht="30" hidden="false" customHeight="true" outlineLevel="0" collapsed="false">
      <c r="A67" s="10" t="s">
        <v>3233</v>
      </c>
      <c r="B67" s="10" t="s">
        <v>3234</v>
      </c>
      <c r="C67" s="10" t="s">
        <v>564</v>
      </c>
      <c r="D67" s="10" t="s">
        <v>2984</v>
      </c>
      <c r="E67" s="10" t="s">
        <v>2322</v>
      </c>
      <c r="F67" s="10" t="s">
        <v>2323</v>
      </c>
      <c r="G67" s="11" t="s">
        <v>3077</v>
      </c>
      <c r="H67" s="10" t="s">
        <v>2986</v>
      </c>
      <c r="I67" s="10" t="s">
        <v>2987</v>
      </c>
      <c r="J67" s="11" t="s">
        <v>38</v>
      </c>
      <c r="K67" s="11" t="s">
        <v>38</v>
      </c>
      <c r="L67" s="10" t="s">
        <v>170</v>
      </c>
      <c r="M67" s="10" t="n">
        <v>63</v>
      </c>
      <c r="N67" s="10" t="n">
        <v>370</v>
      </c>
      <c r="O67" s="11" t="s">
        <v>2785</v>
      </c>
      <c r="P67" s="10" t="s">
        <v>3011</v>
      </c>
      <c r="Q67" s="11" t="s">
        <v>3035</v>
      </c>
      <c r="R67" s="11" t="s">
        <v>2991</v>
      </c>
      <c r="S67" s="11" t="s">
        <v>3036</v>
      </c>
      <c r="T67" s="11"/>
      <c r="U67" s="10"/>
      <c r="V67" s="11"/>
      <c r="W67" s="10"/>
      <c r="X67" s="11"/>
      <c r="Y67" s="10" t="s">
        <v>2888</v>
      </c>
      <c r="Z67" s="10" t="s">
        <v>1509</v>
      </c>
      <c r="AA67" s="11" t="s">
        <v>2994</v>
      </c>
      <c r="AB67" s="11"/>
      <c r="AC67" s="10" t="s">
        <v>2995</v>
      </c>
    </row>
    <row r="68" customFormat="false" ht="30" hidden="false" customHeight="true" outlineLevel="0" collapsed="false">
      <c r="A68" s="12" t="s">
        <v>3235</v>
      </c>
      <c r="B68" s="12" t="s">
        <v>3236</v>
      </c>
      <c r="C68" s="12" t="s">
        <v>564</v>
      </c>
      <c r="D68" s="12" t="s">
        <v>2903</v>
      </c>
      <c r="E68" s="12" t="s">
        <v>2410</v>
      </c>
      <c r="F68" s="12" t="s">
        <v>2411</v>
      </c>
      <c r="G68" s="13" t="s">
        <v>3039</v>
      </c>
      <c r="H68" s="12" t="s">
        <v>3100</v>
      </c>
      <c r="I68" s="12" t="s">
        <v>2987</v>
      </c>
      <c r="J68" s="13" t="s">
        <v>874</v>
      </c>
      <c r="K68" s="13" t="s">
        <v>414</v>
      </c>
      <c r="L68" s="12" t="s">
        <v>170</v>
      </c>
      <c r="M68" s="12" t="n">
        <v>87</v>
      </c>
      <c r="N68" s="12" t="n">
        <v>525</v>
      </c>
      <c r="O68" s="13" t="s">
        <v>2785</v>
      </c>
      <c r="P68" s="12" t="s">
        <v>3041</v>
      </c>
      <c r="Q68" s="13" t="s">
        <v>3237</v>
      </c>
      <c r="R68" s="13" t="s">
        <v>2991</v>
      </c>
      <c r="S68" s="13"/>
      <c r="T68" s="13" t="s">
        <v>3238</v>
      </c>
      <c r="U68" s="12"/>
      <c r="V68" s="13"/>
      <c r="W68" s="12" t="s">
        <v>3239</v>
      </c>
      <c r="X68" s="13"/>
      <c r="Y68" s="12" t="s">
        <v>2824</v>
      </c>
      <c r="Z68" s="12" t="s">
        <v>2892</v>
      </c>
      <c r="AA68" s="13" t="s">
        <v>3105</v>
      </c>
      <c r="AB68" s="13"/>
      <c r="AC68" s="12" t="s">
        <v>3014</v>
      </c>
    </row>
    <row r="69" customFormat="false" ht="30" hidden="false" customHeight="true" outlineLevel="0" collapsed="false">
      <c r="A69" s="10" t="s">
        <v>3240</v>
      </c>
      <c r="B69" s="10" t="s">
        <v>3241</v>
      </c>
      <c r="C69" s="10" t="s">
        <v>564</v>
      </c>
      <c r="D69" s="10" t="s">
        <v>2984</v>
      </c>
      <c r="E69" s="10" t="s">
        <v>2324</v>
      </c>
      <c r="F69" s="10" t="s">
        <v>2325</v>
      </c>
      <c r="G69" s="11" t="s">
        <v>3084</v>
      </c>
      <c r="H69" s="10" t="s">
        <v>3018</v>
      </c>
      <c r="I69" s="10" t="s">
        <v>2987</v>
      </c>
      <c r="J69" s="11" t="s">
        <v>38</v>
      </c>
      <c r="K69" s="11" t="s">
        <v>452</v>
      </c>
      <c r="L69" s="10" t="s">
        <v>191</v>
      </c>
      <c r="M69" s="10" t="n">
        <v>49</v>
      </c>
      <c r="N69" s="10" t="n">
        <v>295</v>
      </c>
      <c r="O69" s="11" t="s">
        <v>3000</v>
      </c>
      <c r="P69" s="10" t="s">
        <v>2989</v>
      </c>
      <c r="Q69" s="11"/>
      <c r="R69" s="11" t="s">
        <v>2991</v>
      </c>
      <c r="S69" s="11"/>
      <c r="T69" s="11"/>
      <c r="U69" s="10"/>
      <c r="V69" s="11"/>
      <c r="W69" s="10"/>
      <c r="X69" s="11"/>
      <c r="Y69" s="10" t="s">
        <v>2888</v>
      </c>
      <c r="Z69" s="10" t="s">
        <v>1509</v>
      </c>
      <c r="AA69" s="11" t="s">
        <v>3019</v>
      </c>
      <c r="AB69" s="11"/>
      <c r="AC69" s="10" t="s">
        <v>2995</v>
      </c>
    </row>
    <row r="70" customFormat="false" ht="30" hidden="false" customHeight="true" outlineLevel="0" collapsed="false">
      <c r="A70" s="12" t="s">
        <v>3242</v>
      </c>
      <c r="B70" s="12" t="s">
        <v>3243</v>
      </c>
      <c r="C70" s="12" t="s">
        <v>564</v>
      </c>
      <c r="D70" s="12" t="s">
        <v>2903</v>
      </c>
      <c r="E70" s="12" t="s">
        <v>2485</v>
      </c>
      <c r="F70" s="12" t="s">
        <v>2486</v>
      </c>
      <c r="G70" s="13" t="s">
        <v>3058</v>
      </c>
      <c r="H70" s="12" t="s">
        <v>2999</v>
      </c>
      <c r="I70" s="12" t="s">
        <v>3009</v>
      </c>
      <c r="J70" s="13" t="s">
        <v>1088</v>
      </c>
      <c r="K70" s="13" t="s">
        <v>445</v>
      </c>
      <c r="L70" s="12" t="s">
        <v>170</v>
      </c>
      <c r="M70" s="12" t="n">
        <v>85</v>
      </c>
      <c r="N70" s="12" t="n">
        <v>440</v>
      </c>
      <c r="O70" s="13" t="s">
        <v>2785</v>
      </c>
      <c r="P70" s="12" t="s">
        <v>3011</v>
      </c>
      <c r="Q70" s="13"/>
      <c r="R70" s="13" t="s">
        <v>2991</v>
      </c>
      <c r="S70" s="13"/>
      <c r="T70" s="13"/>
      <c r="U70" s="12" t="s">
        <v>3244</v>
      </c>
      <c r="V70" s="13"/>
      <c r="W70" s="12"/>
      <c r="X70" s="13"/>
      <c r="Y70" s="12" t="s">
        <v>2884</v>
      </c>
      <c r="Z70" s="12" t="s">
        <v>2886</v>
      </c>
      <c r="AA70" s="13" t="s">
        <v>3004</v>
      </c>
      <c r="AB70" s="13"/>
      <c r="AC70" s="12" t="s">
        <v>3014</v>
      </c>
    </row>
    <row r="71" customFormat="false" ht="30" hidden="false" customHeight="true" outlineLevel="0" collapsed="false">
      <c r="A71" s="10" t="s">
        <v>3245</v>
      </c>
      <c r="B71" s="10" t="s">
        <v>3246</v>
      </c>
      <c r="C71" s="10" t="s">
        <v>564</v>
      </c>
      <c r="D71" s="10" t="s">
        <v>2984</v>
      </c>
      <c r="E71" s="10" t="s">
        <v>2208</v>
      </c>
      <c r="F71" s="10" t="s">
        <v>2209</v>
      </c>
      <c r="G71" s="11" t="s">
        <v>3034</v>
      </c>
      <c r="H71" s="10" t="s">
        <v>3018</v>
      </c>
      <c r="I71" s="10" t="s">
        <v>2987</v>
      </c>
      <c r="J71" s="11" t="s">
        <v>1207</v>
      </c>
      <c r="K71" s="11" t="s">
        <v>452</v>
      </c>
      <c r="L71" s="10" t="s">
        <v>170</v>
      </c>
      <c r="M71" s="10" t="n">
        <v>59</v>
      </c>
      <c r="N71" s="10" t="n">
        <v>310</v>
      </c>
      <c r="O71" s="11" t="s">
        <v>2785</v>
      </c>
      <c r="P71" s="10" t="s">
        <v>2989</v>
      </c>
      <c r="Q71" s="11" t="s">
        <v>3025</v>
      </c>
      <c r="R71" s="11" t="s">
        <v>2991</v>
      </c>
      <c r="S71" s="11"/>
      <c r="T71" s="11" t="s">
        <v>3247</v>
      </c>
      <c r="U71" s="10"/>
      <c r="V71" s="11"/>
      <c r="W71" s="10"/>
      <c r="X71" s="11"/>
      <c r="Y71" s="10" t="s">
        <v>2888</v>
      </c>
      <c r="Z71" s="10" t="s">
        <v>1509</v>
      </c>
      <c r="AA71" s="11" t="s">
        <v>3019</v>
      </c>
      <c r="AB71" s="11"/>
      <c r="AC71" s="10" t="s">
        <v>2995</v>
      </c>
    </row>
    <row r="72" customFormat="false" ht="30" hidden="false" customHeight="true" outlineLevel="0" collapsed="false">
      <c r="A72" s="12" t="s">
        <v>3248</v>
      </c>
      <c r="B72" s="12" t="s">
        <v>3249</v>
      </c>
      <c r="C72" s="12" t="s">
        <v>564</v>
      </c>
      <c r="D72" s="12" t="s">
        <v>2984</v>
      </c>
      <c r="E72" s="12" t="s">
        <v>2208</v>
      </c>
      <c r="F72" s="12" t="s">
        <v>2209</v>
      </c>
      <c r="G72" s="13" t="s">
        <v>2985</v>
      </c>
      <c r="H72" s="12" t="s">
        <v>3018</v>
      </c>
      <c r="I72" s="12" t="s">
        <v>2987</v>
      </c>
      <c r="J72" s="13" t="s">
        <v>3250</v>
      </c>
      <c r="K72" s="13" t="s">
        <v>452</v>
      </c>
      <c r="L72" s="12" t="s">
        <v>170</v>
      </c>
      <c r="M72" s="12" t="n">
        <v>90</v>
      </c>
      <c r="N72" s="12" t="n">
        <v>395</v>
      </c>
      <c r="O72" s="13" t="s">
        <v>2785</v>
      </c>
      <c r="P72" s="12" t="s">
        <v>2989</v>
      </c>
      <c r="Q72" s="13" t="s">
        <v>3251</v>
      </c>
      <c r="R72" s="13" t="s">
        <v>2991</v>
      </c>
      <c r="S72" s="13"/>
      <c r="T72" s="13"/>
      <c r="U72" s="12"/>
      <c r="V72" s="13" t="s">
        <v>3252</v>
      </c>
      <c r="W72" s="12"/>
      <c r="X72" s="13" t="s">
        <v>3253</v>
      </c>
      <c r="Y72" s="12" t="s">
        <v>2888</v>
      </c>
      <c r="Z72" s="12" t="s">
        <v>1509</v>
      </c>
      <c r="AA72" s="13" t="s">
        <v>3019</v>
      </c>
      <c r="AB72" s="13"/>
      <c r="AC72" s="12" t="s">
        <v>2995</v>
      </c>
    </row>
    <row r="73" customFormat="false" ht="30" hidden="false" customHeight="true" outlineLevel="0" collapsed="false">
      <c r="A73" s="10" t="s">
        <v>3254</v>
      </c>
      <c r="B73" s="10" t="s">
        <v>3255</v>
      </c>
      <c r="C73" s="10" t="s">
        <v>564</v>
      </c>
      <c r="D73" s="10" t="s">
        <v>2903</v>
      </c>
      <c r="E73" s="10" t="s">
        <v>2420</v>
      </c>
      <c r="F73" s="10" t="s">
        <v>2421</v>
      </c>
      <c r="G73" s="11" t="s">
        <v>3007</v>
      </c>
      <c r="H73" s="10" t="s">
        <v>3100</v>
      </c>
      <c r="I73" s="10" t="s">
        <v>3009</v>
      </c>
      <c r="J73" s="11" t="s">
        <v>3256</v>
      </c>
      <c r="K73" s="11" t="s">
        <v>448</v>
      </c>
      <c r="L73" s="10" t="s">
        <v>184</v>
      </c>
      <c r="M73" s="10" t="n">
        <v>88</v>
      </c>
      <c r="N73" s="10" t="n">
        <v>565</v>
      </c>
      <c r="O73" s="11" t="s">
        <v>2792</v>
      </c>
      <c r="P73" s="10" t="s">
        <v>3041</v>
      </c>
      <c r="Q73" s="11" t="s">
        <v>3257</v>
      </c>
      <c r="R73" s="11" t="s">
        <v>3043</v>
      </c>
      <c r="S73" s="11"/>
      <c r="T73" s="11"/>
      <c r="U73" s="10" t="s">
        <v>3258</v>
      </c>
      <c r="V73" s="11"/>
      <c r="W73" s="10" t="s">
        <v>3104</v>
      </c>
      <c r="X73" s="11"/>
      <c r="Y73" s="10" t="s">
        <v>2824</v>
      </c>
      <c r="Z73" s="10" t="s">
        <v>2892</v>
      </c>
      <c r="AA73" s="11" t="s">
        <v>3105</v>
      </c>
      <c r="AB73" s="11"/>
      <c r="AC73" s="10" t="s">
        <v>3014</v>
      </c>
    </row>
    <row r="74" customFormat="false" ht="30" hidden="false" customHeight="true" outlineLevel="0" collapsed="false">
      <c r="A74" s="12" t="s">
        <v>3259</v>
      </c>
      <c r="B74" s="12" t="s">
        <v>3260</v>
      </c>
      <c r="C74" s="12" t="s">
        <v>564</v>
      </c>
      <c r="D74" s="12" t="s">
        <v>2984</v>
      </c>
      <c r="E74" s="12" t="s">
        <v>2126</v>
      </c>
      <c r="F74" s="12" t="s">
        <v>2127</v>
      </c>
      <c r="G74" s="13" t="s">
        <v>3017</v>
      </c>
      <c r="H74" s="12" t="s">
        <v>3018</v>
      </c>
      <c r="I74" s="12" t="s">
        <v>3023</v>
      </c>
      <c r="J74" s="13" t="s">
        <v>38</v>
      </c>
      <c r="K74" s="13" t="s">
        <v>38</v>
      </c>
      <c r="L74" s="12" t="s">
        <v>170</v>
      </c>
      <c r="M74" s="12" t="n">
        <v>70</v>
      </c>
      <c r="N74" s="12" t="n">
        <v>255</v>
      </c>
      <c r="O74" s="13" t="s">
        <v>2785</v>
      </c>
      <c r="P74" s="12" t="s">
        <v>3011</v>
      </c>
      <c r="Q74" s="13"/>
      <c r="R74" s="13" t="s">
        <v>2991</v>
      </c>
      <c r="S74" s="13"/>
      <c r="T74" s="13"/>
      <c r="U74" s="12"/>
      <c r="V74" s="13"/>
      <c r="W74" s="12"/>
      <c r="X74" s="13"/>
      <c r="Y74" s="12" t="s">
        <v>2884</v>
      </c>
      <c r="Z74" s="12" t="s">
        <v>2886</v>
      </c>
      <c r="AA74" s="13" t="s">
        <v>3019</v>
      </c>
      <c r="AB74" s="13"/>
      <c r="AC74" s="12" t="s">
        <v>2995</v>
      </c>
    </row>
    <row r="75" customFormat="false" ht="30" hidden="false" customHeight="true" outlineLevel="0" collapsed="false">
      <c r="A75" s="10" t="s">
        <v>3261</v>
      </c>
      <c r="B75" s="10" t="s">
        <v>3262</v>
      </c>
      <c r="C75" s="10" t="s">
        <v>564</v>
      </c>
      <c r="D75" s="10" t="s">
        <v>2984</v>
      </c>
      <c r="E75" s="10" t="s">
        <v>2328</v>
      </c>
      <c r="F75" s="10" t="s">
        <v>2329</v>
      </c>
      <c r="G75" s="11" t="s">
        <v>3048</v>
      </c>
      <c r="H75" s="10" t="s">
        <v>2986</v>
      </c>
      <c r="I75" s="10" t="s">
        <v>2987</v>
      </c>
      <c r="J75" s="11" t="s">
        <v>1190</v>
      </c>
      <c r="K75" s="11" t="s">
        <v>433</v>
      </c>
      <c r="L75" s="10" t="s">
        <v>177</v>
      </c>
      <c r="M75" s="10" t="n">
        <v>74</v>
      </c>
      <c r="N75" s="10" t="n">
        <v>425</v>
      </c>
      <c r="O75" s="11" t="s">
        <v>3031</v>
      </c>
      <c r="P75" s="10" t="s">
        <v>3097</v>
      </c>
      <c r="Q75" s="11"/>
      <c r="R75" s="11" t="s">
        <v>2991</v>
      </c>
      <c r="S75" s="11"/>
      <c r="T75" s="11"/>
      <c r="U75" s="10"/>
      <c r="V75" s="11"/>
      <c r="W75" s="10"/>
      <c r="X75" s="11"/>
      <c r="Y75" s="10" t="s">
        <v>2894</v>
      </c>
      <c r="Z75" s="10" t="s">
        <v>1554</v>
      </c>
      <c r="AA75" s="11" t="s">
        <v>2994</v>
      </c>
      <c r="AB75" s="11"/>
      <c r="AC75" s="10" t="s">
        <v>2995</v>
      </c>
    </row>
    <row r="76" customFormat="false" ht="30" hidden="false" customHeight="true" outlineLevel="0" collapsed="false">
      <c r="A76" s="12" t="s">
        <v>3263</v>
      </c>
      <c r="B76" s="12" t="s">
        <v>3264</v>
      </c>
      <c r="C76" s="12" t="s">
        <v>564</v>
      </c>
      <c r="D76" s="12" t="s">
        <v>2903</v>
      </c>
      <c r="E76" s="12" t="s">
        <v>2542</v>
      </c>
      <c r="F76" s="12" t="s">
        <v>2543</v>
      </c>
      <c r="G76" s="13" t="s">
        <v>3088</v>
      </c>
      <c r="H76" s="12" t="s">
        <v>3008</v>
      </c>
      <c r="I76" s="12" t="s">
        <v>3009</v>
      </c>
      <c r="J76" s="13" t="s">
        <v>3265</v>
      </c>
      <c r="K76" s="13" t="s">
        <v>438</v>
      </c>
      <c r="L76" s="12" t="s">
        <v>170</v>
      </c>
      <c r="M76" s="12" t="n">
        <v>82</v>
      </c>
      <c r="N76" s="12" t="n">
        <v>380</v>
      </c>
      <c r="O76" s="13" t="s">
        <v>2785</v>
      </c>
      <c r="P76" s="12" t="s">
        <v>3011</v>
      </c>
      <c r="Q76" s="13"/>
      <c r="R76" s="13" t="s">
        <v>2991</v>
      </c>
      <c r="S76" s="13"/>
      <c r="T76" s="13"/>
      <c r="U76" s="12"/>
      <c r="V76" s="13"/>
      <c r="W76" s="12"/>
      <c r="X76" s="13"/>
      <c r="Y76" s="12" t="s">
        <v>2884</v>
      </c>
      <c r="Z76" s="12" t="s">
        <v>2886</v>
      </c>
      <c r="AA76" s="13" t="s">
        <v>3013</v>
      </c>
      <c r="AB76" s="13"/>
      <c r="AC76" s="12" t="s">
        <v>3014</v>
      </c>
    </row>
    <row r="77" customFormat="false" ht="30" hidden="false" customHeight="true" outlineLevel="0" collapsed="false">
      <c r="A77" s="10" t="s">
        <v>3266</v>
      </c>
      <c r="B77" s="10" t="s">
        <v>3267</v>
      </c>
      <c r="C77" s="10" t="s">
        <v>564</v>
      </c>
      <c r="D77" s="10" t="s">
        <v>2984</v>
      </c>
      <c r="E77" s="10" t="s">
        <v>2332</v>
      </c>
      <c r="F77" s="10" t="s">
        <v>2333</v>
      </c>
      <c r="G77" s="11" t="s">
        <v>3092</v>
      </c>
      <c r="H77" s="10" t="s">
        <v>3018</v>
      </c>
      <c r="I77" s="10" t="s">
        <v>2987</v>
      </c>
      <c r="J77" s="11" t="s">
        <v>1204</v>
      </c>
      <c r="K77" s="11" t="s">
        <v>452</v>
      </c>
      <c r="L77" s="10" t="s">
        <v>170</v>
      </c>
      <c r="M77" s="10" t="n">
        <v>78</v>
      </c>
      <c r="N77" s="10" t="n">
        <v>330</v>
      </c>
      <c r="O77" s="11" t="s">
        <v>2785</v>
      </c>
      <c r="P77" s="10" t="s">
        <v>3011</v>
      </c>
      <c r="Q77" s="11"/>
      <c r="R77" s="11" t="s">
        <v>2991</v>
      </c>
      <c r="S77" s="11"/>
      <c r="T77" s="11"/>
      <c r="U77" s="10"/>
      <c r="V77" s="11"/>
      <c r="W77" s="10"/>
      <c r="X77" s="11"/>
      <c r="Y77" s="10" t="s">
        <v>2884</v>
      </c>
      <c r="Z77" s="10" t="s">
        <v>2886</v>
      </c>
      <c r="AA77" s="11" t="s">
        <v>3019</v>
      </c>
      <c r="AB77" s="11"/>
      <c r="AC77" s="10" t="s">
        <v>2995</v>
      </c>
    </row>
    <row r="78" customFormat="false" ht="30" hidden="false" customHeight="true" outlineLevel="0" collapsed="false">
      <c r="A78" s="12" t="s">
        <v>3268</v>
      </c>
      <c r="B78" s="12" t="s">
        <v>3269</v>
      </c>
      <c r="C78" s="12" t="s">
        <v>564</v>
      </c>
      <c r="D78" s="12" t="s">
        <v>2903</v>
      </c>
      <c r="E78" s="12" t="s">
        <v>2546</v>
      </c>
      <c r="F78" s="12" t="s">
        <v>2547</v>
      </c>
      <c r="G78" s="13" t="s">
        <v>3065</v>
      </c>
      <c r="H78" s="12" t="s">
        <v>2999</v>
      </c>
      <c r="I78" s="12" t="s">
        <v>3009</v>
      </c>
      <c r="J78" s="13" t="s">
        <v>1037</v>
      </c>
      <c r="K78" s="13" t="s">
        <v>441</v>
      </c>
      <c r="L78" s="12" t="s">
        <v>191</v>
      </c>
      <c r="M78" s="12" t="n">
        <v>47</v>
      </c>
      <c r="N78" s="12" t="n">
        <v>645</v>
      </c>
      <c r="O78" s="13" t="s">
        <v>3024</v>
      </c>
      <c r="P78" s="12" t="s">
        <v>2989</v>
      </c>
      <c r="Q78" s="13"/>
      <c r="R78" s="13" t="s">
        <v>2991</v>
      </c>
      <c r="S78" s="13"/>
      <c r="T78" s="13"/>
      <c r="U78" s="12"/>
      <c r="V78" s="13"/>
      <c r="W78" s="12"/>
      <c r="X78" s="13"/>
      <c r="Y78" s="12" t="s">
        <v>2888</v>
      </c>
      <c r="Z78" s="12" t="s">
        <v>1509</v>
      </c>
      <c r="AA78" s="13" t="s">
        <v>3004</v>
      </c>
      <c r="AB78" s="13"/>
      <c r="AC78" s="12" t="s">
        <v>3014</v>
      </c>
    </row>
    <row r="79" customFormat="false" ht="30" hidden="false" customHeight="true" outlineLevel="0" collapsed="false">
      <c r="A79" s="10" t="s">
        <v>3270</v>
      </c>
      <c r="B79" s="10" t="s">
        <v>3271</v>
      </c>
      <c r="C79" s="10" t="s">
        <v>564</v>
      </c>
      <c r="D79" s="10" t="s">
        <v>2984</v>
      </c>
      <c r="E79" s="10" t="s">
        <v>2336</v>
      </c>
      <c r="F79" s="10" t="s">
        <v>2337</v>
      </c>
      <c r="G79" s="11" t="s">
        <v>3062</v>
      </c>
      <c r="H79" s="10" t="s">
        <v>3018</v>
      </c>
      <c r="I79" s="10" t="s">
        <v>2987</v>
      </c>
      <c r="J79" s="11" t="s">
        <v>38</v>
      </c>
      <c r="K79" s="11" t="s">
        <v>38</v>
      </c>
      <c r="L79" s="10" t="s">
        <v>170</v>
      </c>
      <c r="M79" s="10" t="n">
        <v>79</v>
      </c>
      <c r="N79" s="10" t="n">
        <v>345</v>
      </c>
      <c r="O79" s="11" t="s">
        <v>2785</v>
      </c>
      <c r="P79" s="10" t="s">
        <v>3011</v>
      </c>
      <c r="Q79" s="11"/>
      <c r="R79" s="11" t="s">
        <v>2991</v>
      </c>
      <c r="S79" s="11"/>
      <c r="T79" s="11"/>
      <c r="U79" s="10"/>
      <c r="V79" s="11"/>
      <c r="W79" s="10"/>
      <c r="X79" s="11"/>
      <c r="Y79" s="10" t="s">
        <v>2884</v>
      </c>
      <c r="Z79" s="10" t="s">
        <v>2886</v>
      </c>
      <c r="AA79" s="11" t="s">
        <v>3019</v>
      </c>
      <c r="AB79" s="11"/>
      <c r="AC79" s="10" t="s">
        <v>2995</v>
      </c>
    </row>
    <row r="80" customFormat="false" ht="30" hidden="false" customHeight="true" outlineLevel="0" collapsed="false">
      <c r="A80" s="12" t="s">
        <v>3272</v>
      </c>
      <c r="B80" s="12" t="s">
        <v>3273</v>
      </c>
      <c r="C80" s="12" t="s">
        <v>564</v>
      </c>
      <c r="D80" s="12" t="s">
        <v>2984</v>
      </c>
      <c r="E80" s="12" t="s">
        <v>2338</v>
      </c>
      <c r="F80" s="12" t="s">
        <v>2339</v>
      </c>
      <c r="G80" s="13" t="s">
        <v>3029</v>
      </c>
      <c r="H80" s="12" t="s">
        <v>3018</v>
      </c>
      <c r="I80" s="12" t="s">
        <v>2987</v>
      </c>
      <c r="J80" s="13" t="s">
        <v>38</v>
      </c>
      <c r="K80" s="13" t="s">
        <v>38</v>
      </c>
      <c r="L80" s="12" t="s">
        <v>170</v>
      </c>
      <c r="M80" s="12" t="n">
        <v>83</v>
      </c>
      <c r="N80" s="12" t="n">
        <v>410</v>
      </c>
      <c r="O80" s="13" t="s">
        <v>2785</v>
      </c>
      <c r="P80" s="12" t="s">
        <v>3011</v>
      </c>
      <c r="Q80" s="13"/>
      <c r="R80" s="13" t="s">
        <v>2991</v>
      </c>
      <c r="S80" s="13"/>
      <c r="T80" s="13"/>
      <c r="U80" s="12"/>
      <c r="V80" s="13"/>
      <c r="W80" s="12"/>
      <c r="X80" s="13"/>
      <c r="Y80" s="12" t="s">
        <v>2884</v>
      </c>
      <c r="Z80" s="12" t="s">
        <v>2886</v>
      </c>
      <c r="AA80" s="13" t="s">
        <v>3019</v>
      </c>
      <c r="AB80" s="13"/>
      <c r="AC80" s="12" t="s">
        <v>2995</v>
      </c>
    </row>
    <row r="81" customFormat="false" ht="30" hidden="false" customHeight="true" outlineLevel="0" collapsed="false">
      <c r="A81" s="10" t="s">
        <v>3274</v>
      </c>
      <c r="B81" s="10" t="s">
        <v>3275</v>
      </c>
      <c r="C81" s="10" t="s">
        <v>564</v>
      </c>
      <c r="D81" s="10" t="s">
        <v>2984</v>
      </c>
      <c r="E81" s="10" t="s">
        <v>2340</v>
      </c>
      <c r="F81" s="10" t="s">
        <v>2341</v>
      </c>
      <c r="G81" s="11" t="s">
        <v>2998</v>
      </c>
      <c r="H81" s="10" t="s">
        <v>2999</v>
      </c>
      <c r="I81" s="10" t="s">
        <v>2987</v>
      </c>
      <c r="J81" s="11" t="s">
        <v>38</v>
      </c>
      <c r="K81" s="11" t="s">
        <v>452</v>
      </c>
      <c r="L81" s="10" t="s">
        <v>191</v>
      </c>
      <c r="M81" s="10" t="n">
        <v>44</v>
      </c>
      <c r="N81" s="10" t="n">
        <v>270</v>
      </c>
      <c r="O81" s="11" t="s">
        <v>3000</v>
      </c>
      <c r="P81" s="10" t="s">
        <v>2989</v>
      </c>
      <c r="Q81" s="11" t="s">
        <v>3124</v>
      </c>
      <c r="R81" s="11" t="s">
        <v>2991</v>
      </c>
      <c r="S81" s="11" t="s">
        <v>3002</v>
      </c>
      <c r="T81" s="11"/>
      <c r="U81" s="10"/>
      <c r="V81" s="11"/>
      <c r="W81" s="10"/>
      <c r="X81" s="11"/>
      <c r="Y81" s="10" t="s">
        <v>2888</v>
      </c>
      <c r="Z81" s="10" t="s">
        <v>1509</v>
      </c>
      <c r="AA81" s="11" t="s">
        <v>3004</v>
      </c>
      <c r="AB81" s="11"/>
      <c r="AC81" s="10" t="s">
        <v>2995</v>
      </c>
    </row>
    <row r="82" customFormat="false" ht="30" hidden="false" customHeight="true" outlineLevel="0" collapsed="false">
      <c r="A82" s="12" t="s">
        <v>3276</v>
      </c>
      <c r="B82" s="12" t="s">
        <v>3277</v>
      </c>
      <c r="C82" s="12" t="s">
        <v>564</v>
      </c>
      <c r="D82" s="12" t="s">
        <v>2903</v>
      </c>
      <c r="E82" s="12" t="s">
        <v>2554</v>
      </c>
      <c r="F82" s="12" t="s">
        <v>2555</v>
      </c>
      <c r="G82" s="13" t="s">
        <v>3039</v>
      </c>
      <c r="H82" s="12" t="s">
        <v>2999</v>
      </c>
      <c r="I82" s="12" t="s">
        <v>3009</v>
      </c>
      <c r="J82" s="13" t="s">
        <v>3278</v>
      </c>
      <c r="K82" s="13" t="s">
        <v>455</v>
      </c>
      <c r="L82" s="12" t="s">
        <v>170</v>
      </c>
      <c r="M82" s="12" t="n">
        <v>86</v>
      </c>
      <c r="N82" s="12" t="n">
        <v>520</v>
      </c>
      <c r="O82" s="13" t="s">
        <v>2785</v>
      </c>
      <c r="P82" s="12" t="s">
        <v>3011</v>
      </c>
      <c r="Q82" s="13"/>
      <c r="R82" s="13" t="s">
        <v>2991</v>
      </c>
      <c r="S82" s="13"/>
      <c r="T82" s="13"/>
      <c r="U82" s="12"/>
      <c r="V82" s="13"/>
      <c r="W82" s="12"/>
      <c r="X82" s="13"/>
      <c r="Y82" s="12" t="s">
        <v>2884</v>
      </c>
      <c r="Z82" s="12" t="s">
        <v>2886</v>
      </c>
      <c r="AA82" s="13" t="s">
        <v>3004</v>
      </c>
      <c r="AB82" s="13"/>
      <c r="AC82" s="12" t="s">
        <v>3014</v>
      </c>
    </row>
    <row r="83" customFormat="false" ht="30" hidden="false" customHeight="true" outlineLevel="0" collapsed="false">
      <c r="A83" s="10" t="s">
        <v>3279</v>
      </c>
      <c r="B83" s="10" t="s">
        <v>3280</v>
      </c>
      <c r="C83" s="10" t="s">
        <v>564</v>
      </c>
      <c r="D83" s="10" t="s">
        <v>2984</v>
      </c>
      <c r="E83" s="10" t="s">
        <v>2162</v>
      </c>
      <c r="F83" s="10" t="s">
        <v>2163</v>
      </c>
      <c r="G83" s="11" t="s">
        <v>3071</v>
      </c>
      <c r="H83" s="10" t="s">
        <v>3018</v>
      </c>
      <c r="I83" s="10" t="s">
        <v>3023</v>
      </c>
      <c r="J83" s="11" t="s">
        <v>1259</v>
      </c>
      <c r="K83" s="11" t="s">
        <v>452</v>
      </c>
      <c r="L83" s="10" t="s">
        <v>170</v>
      </c>
      <c r="M83" s="10" t="n">
        <v>77</v>
      </c>
      <c r="N83" s="10" t="n">
        <v>315</v>
      </c>
      <c r="O83" s="11" t="s">
        <v>2785</v>
      </c>
      <c r="P83" s="10" t="s">
        <v>3011</v>
      </c>
      <c r="Q83" s="11"/>
      <c r="R83" s="11" t="s">
        <v>2991</v>
      </c>
      <c r="S83" s="11"/>
      <c r="T83" s="11"/>
      <c r="U83" s="10"/>
      <c r="V83" s="11"/>
      <c r="W83" s="10"/>
      <c r="X83" s="11"/>
      <c r="Y83" s="10" t="s">
        <v>2884</v>
      </c>
      <c r="Z83" s="10" t="s">
        <v>2886</v>
      </c>
      <c r="AA83" s="11" t="s">
        <v>3019</v>
      </c>
      <c r="AB83" s="11"/>
      <c r="AC83" s="10" t="s">
        <v>2995</v>
      </c>
    </row>
    <row r="84" customFormat="false" ht="30" hidden="false" customHeight="true" outlineLevel="0" collapsed="false">
      <c r="A84" s="12" t="s">
        <v>3281</v>
      </c>
      <c r="B84" s="12" t="s">
        <v>3282</v>
      </c>
      <c r="C84" s="12" t="s">
        <v>564</v>
      </c>
      <c r="D84" s="12" t="s">
        <v>2903</v>
      </c>
      <c r="E84" s="12" t="s">
        <v>2556</v>
      </c>
      <c r="F84" s="12" t="s">
        <v>2557</v>
      </c>
      <c r="G84" s="13" t="s">
        <v>3058</v>
      </c>
      <c r="H84" s="12" t="s">
        <v>2999</v>
      </c>
      <c r="I84" s="12" t="s">
        <v>3009</v>
      </c>
      <c r="J84" s="13" t="s">
        <v>946</v>
      </c>
      <c r="K84" s="13" t="s">
        <v>423</v>
      </c>
      <c r="L84" s="12" t="s">
        <v>170</v>
      </c>
      <c r="M84" s="12" t="n">
        <v>84</v>
      </c>
      <c r="N84" s="12" t="n">
        <v>435</v>
      </c>
      <c r="O84" s="13" t="s">
        <v>2785</v>
      </c>
      <c r="P84" s="12" t="s">
        <v>3011</v>
      </c>
      <c r="Q84" s="13"/>
      <c r="R84" s="13" t="s">
        <v>2991</v>
      </c>
      <c r="S84" s="13"/>
      <c r="T84" s="13"/>
      <c r="U84" s="12"/>
      <c r="V84" s="13"/>
      <c r="W84" s="12"/>
      <c r="X84" s="13"/>
      <c r="Y84" s="12" t="s">
        <v>2884</v>
      </c>
      <c r="Z84" s="12" t="s">
        <v>2886</v>
      </c>
      <c r="AA84" s="13" t="s">
        <v>3004</v>
      </c>
      <c r="AB84" s="13"/>
      <c r="AC84" s="12" t="s">
        <v>3014</v>
      </c>
    </row>
    <row r="85" customFormat="false" ht="30" hidden="false" customHeight="true" outlineLevel="0" collapsed="false">
      <c r="A85" s="10" t="s">
        <v>3283</v>
      </c>
      <c r="B85" s="10" t="s">
        <v>3284</v>
      </c>
      <c r="C85" s="10" t="s">
        <v>564</v>
      </c>
      <c r="D85" s="10" t="s">
        <v>2984</v>
      </c>
      <c r="E85" s="10" t="s">
        <v>1903</v>
      </c>
      <c r="F85" s="10" t="s">
        <v>1904</v>
      </c>
      <c r="G85" s="11" t="s">
        <v>3053</v>
      </c>
      <c r="H85" s="10" t="s">
        <v>3018</v>
      </c>
      <c r="I85" s="10" t="s">
        <v>3023</v>
      </c>
      <c r="J85" s="11" t="s">
        <v>1253</v>
      </c>
      <c r="K85" s="11" t="s">
        <v>452</v>
      </c>
      <c r="L85" s="10" t="s">
        <v>191</v>
      </c>
      <c r="M85" s="10" t="n">
        <v>48</v>
      </c>
      <c r="N85" s="10" t="n">
        <v>285</v>
      </c>
      <c r="O85" s="11" t="s">
        <v>3000</v>
      </c>
      <c r="P85" s="10" t="s">
        <v>2989</v>
      </c>
      <c r="Q85" s="11" t="s">
        <v>3285</v>
      </c>
      <c r="R85" s="11" t="s">
        <v>3055</v>
      </c>
      <c r="S85" s="11"/>
      <c r="T85" s="11"/>
      <c r="U85" s="10"/>
      <c r="V85" s="11"/>
      <c r="W85" s="10"/>
      <c r="X85" s="11" t="s">
        <v>3286</v>
      </c>
      <c r="Y85" s="10" t="s">
        <v>2888</v>
      </c>
      <c r="Z85" s="10" t="s">
        <v>1509</v>
      </c>
      <c r="AA85" s="11" t="s">
        <v>3019</v>
      </c>
      <c r="AB85" s="11"/>
      <c r="AC85" s="10" t="s">
        <v>2995</v>
      </c>
    </row>
    <row r="86" customFormat="false" ht="30" hidden="false" customHeight="true" outlineLevel="0" collapsed="false">
      <c r="A86" s="12" t="s">
        <v>3287</v>
      </c>
      <c r="B86" s="12" t="s">
        <v>3288</v>
      </c>
      <c r="C86" s="12" t="s">
        <v>564</v>
      </c>
      <c r="D86" s="12" t="s">
        <v>2984</v>
      </c>
      <c r="E86" s="12" t="s">
        <v>1903</v>
      </c>
      <c r="F86" s="12" t="s">
        <v>1904</v>
      </c>
      <c r="G86" s="13" t="s">
        <v>2985</v>
      </c>
      <c r="H86" s="12" t="s">
        <v>3018</v>
      </c>
      <c r="I86" s="12" t="s">
        <v>3023</v>
      </c>
      <c r="J86" s="13" t="s">
        <v>3289</v>
      </c>
      <c r="K86" s="13" t="s">
        <v>452</v>
      </c>
      <c r="L86" s="12" t="s">
        <v>170</v>
      </c>
      <c r="M86" s="12" t="n">
        <v>91</v>
      </c>
      <c r="N86" s="12" t="n">
        <v>550</v>
      </c>
      <c r="O86" s="13" t="s">
        <v>2785</v>
      </c>
      <c r="P86" s="12" t="s">
        <v>2989</v>
      </c>
      <c r="Q86" s="13" t="s">
        <v>3251</v>
      </c>
      <c r="R86" s="13" t="s">
        <v>2991</v>
      </c>
      <c r="S86" s="13"/>
      <c r="T86" s="13"/>
      <c r="U86" s="12"/>
      <c r="V86" s="13" t="s">
        <v>3290</v>
      </c>
      <c r="W86" s="12"/>
      <c r="X86" s="13" t="s">
        <v>3291</v>
      </c>
      <c r="Y86" s="12" t="s">
        <v>2888</v>
      </c>
      <c r="Z86" s="12" t="s">
        <v>1509</v>
      </c>
      <c r="AA86" s="13" t="s">
        <v>3019</v>
      </c>
      <c r="AB86" s="13"/>
      <c r="AC86" s="12" t="s">
        <v>2995</v>
      </c>
    </row>
    <row r="87" customFormat="false" ht="30" hidden="false" customHeight="true" outlineLevel="0" collapsed="false">
      <c r="A87" s="10" t="s">
        <v>3292</v>
      </c>
      <c r="B87" s="10" t="s">
        <v>3293</v>
      </c>
      <c r="C87" s="10" t="s">
        <v>564</v>
      </c>
      <c r="D87" s="10" t="s">
        <v>2903</v>
      </c>
      <c r="E87" s="10" t="s">
        <v>2558</v>
      </c>
      <c r="F87" s="10" t="s">
        <v>2559</v>
      </c>
      <c r="G87" s="11" t="s">
        <v>3080</v>
      </c>
      <c r="H87" s="10" t="s">
        <v>2999</v>
      </c>
      <c r="I87" s="10" t="s">
        <v>3009</v>
      </c>
      <c r="J87" s="11" t="s">
        <v>3127</v>
      </c>
      <c r="K87" s="11" t="s">
        <v>423</v>
      </c>
      <c r="L87" s="10" t="s">
        <v>170</v>
      </c>
      <c r="M87" s="10" t="n">
        <v>81</v>
      </c>
      <c r="N87" s="10" t="n">
        <v>365</v>
      </c>
      <c r="O87" s="11" t="s">
        <v>2785</v>
      </c>
      <c r="P87" s="10" t="s">
        <v>3011</v>
      </c>
      <c r="Q87" s="11"/>
      <c r="R87" s="11" t="s">
        <v>2991</v>
      </c>
      <c r="S87" s="11"/>
      <c r="T87" s="11"/>
      <c r="U87" s="10"/>
      <c r="V87" s="11"/>
      <c r="W87" s="10"/>
      <c r="X87" s="11"/>
      <c r="Y87" s="10" t="s">
        <v>2884</v>
      </c>
      <c r="Z87" s="10" t="s">
        <v>2886</v>
      </c>
      <c r="AA87" s="11" t="s">
        <v>3004</v>
      </c>
      <c r="AB87" s="11"/>
      <c r="AC87" s="10" t="s">
        <v>3014</v>
      </c>
    </row>
    <row r="88" customFormat="false" ht="30" hidden="false" customHeight="true" outlineLevel="0" collapsed="false">
      <c r="A88" s="12" t="s">
        <v>3294</v>
      </c>
      <c r="B88" s="12" t="s">
        <v>3295</v>
      </c>
      <c r="C88" s="12" t="s">
        <v>564</v>
      </c>
      <c r="D88" s="12" t="s">
        <v>2984</v>
      </c>
      <c r="E88" s="12" t="s">
        <v>2348</v>
      </c>
      <c r="F88" s="12" t="s">
        <v>2349</v>
      </c>
      <c r="G88" s="13" t="s">
        <v>3034</v>
      </c>
      <c r="H88" s="12" t="s">
        <v>2986</v>
      </c>
      <c r="I88" s="12" t="s">
        <v>2987</v>
      </c>
      <c r="J88" s="13" t="s">
        <v>38</v>
      </c>
      <c r="K88" s="13" t="s">
        <v>452</v>
      </c>
      <c r="L88" s="12" t="s">
        <v>177</v>
      </c>
      <c r="M88" s="12" t="n">
        <v>62</v>
      </c>
      <c r="N88" s="12" t="n">
        <v>340</v>
      </c>
      <c r="O88" s="13" t="s">
        <v>3031</v>
      </c>
      <c r="P88" s="12" t="s">
        <v>3177</v>
      </c>
      <c r="Q88" s="13"/>
      <c r="R88" s="13" t="s">
        <v>2991</v>
      </c>
      <c r="S88" s="13"/>
      <c r="T88" s="13"/>
      <c r="U88" s="12"/>
      <c r="V88" s="13"/>
      <c r="W88" s="12"/>
      <c r="X88" s="13"/>
      <c r="Y88" s="12" t="s">
        <v>2897</v>
      </c>
      <c r="Z88" s="12" t="s">
        <v>2898</v>
      </c>
      <c r="AA88" s="13" t="s">
        <v>2994</v>
      </c>
      <c r="AB88" s="13"/>
      <c r="AC88" s="12" t="s">
        <v>2995</v>
      </c>
    </row>
    <row r="89" customFormat="false" ht="30" hidden="false" customHeight="true" outlineLevel="0" collapsed="false">
      <c r="A89" s="10" t="s">
        <v>3296</v>
      </c>
      <c r="B89" s="10" t="s">
        <v>3297</v>
      </c>
      <c r="C89" s="10" t="s">
        <v>564</v>
      </c>
      <c r="D89" s="10" t="s">
        <v>2903</v>
      </c>
      <c r="E89" s="10" t="s">
        <v>2562</v>
      </c>
      <c r="F89" s="10" t="s">
        <v>2563</v>
      </c>
      <c r="G89" s="11" t="s">
        <v>3007</v>
      </c>
      <c r="H89" s="10" t="s">
        <v>3008</v>
      </c>
      <c r="I89" s="10" t="s">
        <v>3009</v>
      </c>
      <c r="J89" s="11" t="s">
        <v>3298</v>
      </c>
      <c r="K89" s="11" t="s">
        <v>438</v>
      </c>
      <c r="L89" s="10" t="s">
        <v>170</v>
      </c>
      <c r="M89" s="10" t="n">
        <v>88</v>
      </c>
      <c r="N89" s="10" t="n">
        <v>495</v>
      </c>
      <c r="O89" s="11" t="s">
        <v>2785</v>
      </c>
      <c r="P89" s="10" t="s">
        <v>2989</v>
      </c>
      <c r="Q89" s="11" t="s">
        <v>3118</v>
      </c>
      <c r="R89" s="11" t="s">
        <v>2991</v>
      </c>
      <c r="S89" s="11"/>
      <c r="T89" s="11"/>
      <c r="U89" s="10"/>
      <c r="V89" s="11"/>
      <c r="W89" s="10"/>
      <c r="X89" s="11"/>
      <c r="Y89" s="10" t="s">
        <v>2888</v>
      </c>
      <c r="Z89" s="10" t="s">
        <v>1509</v>
      </c>
      <c r="AA89" s="11" t="s">
        <v>3013</v>
      </c>
      <c r="AB89" s="11"/>
      <c r="AC89" s="10" t="s">
        <v>3014</v>
      </c>
    </row>
    <row r="90" customFormat="false" ht="30" hidden="false" customHeight="true" outlineLevel="0" collapsed="false">
      <c r="A90" s="12" t="s">
        <v>3299</v>
      </c>
      <c r="B90" s="12" t="s">
        <v>3300</v>
      </c>
      <c r="C90" s="12" t="s">
        <v>564</v>
      </c>
      <c r="D90" s="12" t="s">
        <v>2984</v>
      </c>
      <c r="E90" s="12" t="s">
        <v>2352</v>
      </c>
      <c r="F90" s="12" t="s">
        <v>2353</v>
      </c>
      <c r="G90" s="13" t="s">
        <v>3017</v>
      </c>
      <c r="H90" s="12" t="s">
        <v>3018</v>
      </c>
      <c r="I90" s="12" t="s">
        <v>2987</v>
      </c>
      <c r="J90" s="13" t="s">
        <v>38</v>
      </c>
      <c r="K90" s="13" t="s">
        <v>38</v>
      </c>
      <c r="L90" s="12" t="s">
        <v>170</v>
      </c>
      <c r="M90" s="12" t="n">
        <v>69</v>
      </c>
      <c r="N90" s="12" t="n">
        <v>260</v>
      </c>
      <c r="O90" s="13" t="s">
        <v>2785</v>
      </c>
      <c r="P90" s="12" t="s">
        <v>3011</v>
      </c>
      <c r="Q90" s="13"/>
      <c r="R90" s="13" t="s">
        <v>2991</v>
      </c>
      <c r="S90" s="13"/>
      <c r="T90" s="13"/>
      <c r="U90" s="12"/>
      <c r="V90" s="13"/>
      <c r="W90" s="12"/>
      <c r="X90" s="13"/>
      <c r="Y90" s="12" t="s">
        <v>2884</v>
      </c>
      <c r="Z90" s="12" t="s">
        <v>2886</v>
      </c>
      <c r="AA90" s="13" t="s">
        <v>3019</v>
      </c>
      <c r="AB90" s="13"/>
      <c r="AC90" s="12" t="s">
        <v>2995</v>
      </c>
    </row>
    <row r="91" customFormat="false" ht="30" hidden="false" customHeight="true" outlineLevel="0" collapsed="false">
      <c r="A91" s="10" t="s">
        <v>3301</v>
      </c>
      <c r="B91" s="10" t="s">
        <v>3302</v>
      </c>
      <c r="C91" s="10" t="s">
        <v>564</v>
      </c>
      <c r="D91" s="10" t="s">
        <v>2984</v>
      </c>
      <c r="E91" s="10" t="s">
        <v>2354</v>
      </c>
      <c r="F91" s="10" t="s">
        <v>2355</v>
      </c>
      <c r="G91" s="11" t="s">
        <v>3022</v>
      </c>
      <c r="H91" s="10" t="s">
        <v>2986</v>
      </c>
      <c r="I91" s="10" t="s">
        <v>2987</v>
      </c>
      <c r="J91" s="11" t="s">
        <v>38</v>
      </c>
      <c r="K91" s="11" t="s">
        <v>452</v>
      </c>
      <c r="L91" s="10" t="s">
        <v>191</v>
      </c>
      <c r="M91" s="10" t="n">
        <v>50</v>
      </c>
      <c r="N91" s="10" t="n">
        <v>690</v>
      </c>
      <c r="O91" s="11" t="s">
        <v>3024</v>
      </c>
      <c r="P91" s="10" t="s">
        <v>2989</v>
      </c>
      <c r="Q91" s="11"/>
      <c r="R91" s="11" t="s">
        <v>2991</v>
      </c>
      <c r="S91" s="11"/>
      <c r="T91" s="11"/>
      <c r="U91" s="10"/>
      <c r="V91" s="11"/>
      <c r="W91" s="10"/>
      <c r="X91" s="11"/>
      <c r="Y91" s="10" t="s">
        <v>2888</v>
      </c>
      <c r="Z91" s="10" t="s">
        <v>1509</v>
      </c>
      <c r="AA91" s="11" t="s">
        <v>2994</v>
      </c>
      <c r="AB91" s="11"/>
      <c r="AC91" s="10" t="s">
        <v>2995</v>
      </c>
    </row>
    <row r="92" customFormat="false" ht="30" hidden="false" customHeight="true" outlineLevel="0" collapsed="false">
      <c r="A92" s="12" t="s">
        <v>3303</v>
      </c>
      <c r="B92" s="12" t="s">
        <v>3304</v>
      </c>
      <c r="C92" s="12" t="s">
        <v>564</v>
      </c>
      <c r="D92" s="12" t="s">
        <v>2903</v>
      </c>
      <c r="E92" s="12" t="s">
        <v>2568</v>
      </c>
      <c r="F92" s="12" t="s">
        <v>2569</v>
      </c>
      <c r="G92" s="13" t="s">
        <v>3088</v>
      </c>
      <c r="H92" s="12" t="s">
        <v>3008</v>
      </c>
      <c r="I92" s="12" t="s">
        <v>3009</v>
      </c>
      <c r="J92" s="13" t="s">
        <v>3151</v>
      </c>
      <c r="K92" s="13" t="s">
        <v>438</v>
      </c>
      <c r="L92" s="12" t="s">
        <v>170</v>
      </c>
      <c r="M92" s="12" t="n">
        <v>83</v>
      </c>
      <c r="N92" s="12" t="n">
        <v>460</v>
      </c>
      <c r="O92" s="13" t="s">
        <v>2785</v>
      </c>
      <c r="P92" s="12" t="s">
        <v>3011</v>
      </c>
      <c r="Q92" s="13"/>
      <c r="R92" s="13" t="s">
        <v>2991</v>
      </c>
      <c r="S92" s="13"/>
      <c r="T92" s="13"/>
      <c r="U92" s="12"/>
      <c r="V92" s="13"/>
      <c r="W92" s="12"/>
      <c r="X92" s="13"/>
      <c r="Y92" s="12" t="s">
        <v>2884</v>
      </c>
      <c r="Z92" s="12" t="s">
        <v>2886</v>
      </c>
      <c r="AA92" s="13" t="s">
        <v>3013</v>
      </c>
      <c r="AB92" s="13"/>
      <c r="AC92" s="12" t="s">
        <v>3153</v>
      </c>
    </row>
    <row r="93" customFormat="false" ht="30" hidden="false" customHeight="true" outlineLevel="0" collapsed="false">
      <c r="A93" s="10" t="s">
        <v>3305</v>
      </c>
      <c r="B93" s="10" t="s">
        <v>3306</v>
      </c>
      <c r="C93" s="10" t="s">
        <v>564</v>
      </c>
      <c r="D93" s="10" t="s">
        <v>2984</v>
      </c>
      <c r="E93" s="10" t="s">
        <v>2154</v>
      </c>
      <c r="F93" s="10" t="s">
        <v>2155</v>
      </c>
      <c r="G93" s="11" t="s">
        <v>3092</v>
      </c>
      <c r="H93" s="10" t="s">
        <v>3018</v>
      </c>
      <c r="I93" s="10" t="s">
        <v>3093</v>
      </c>
      <c r="J93" s="11" t="s">
        <v>3307</v>
      </c>
      <c r="K93" s="11" t="s">
        <v>452</v>
      </c>
      <c r="L93" s="10" t="s">
        <v>170</v>
      </c>
      <c r="M93" s="10" t="n">
        <v>80</v>
      </c>
      <c r="N93" s="10" t="n">
        <v>325</v>
      </c>
      <c r="O93" s="11" t="s">
        <v>2785</v>
      </c>
      <c r="P93" s="10" t="s">
        <v>3011</v>
      </c>
      <c r="Q93" s="11"/>
      <c r="R93" s="11" t="s">
        <v>2991</v>
      </c>
      <c r="S93" s="11"/>
      <c r="T93" s="11"/>
      <c r="U93" s="10"/>
      <c r="V93" s="11"/>
      <c r="W93" s="10"/>
      <c r="X93" s="11"/>
      <c r="Y93" s="10" t="s">
        <v>2884</v>
      </c>
      <c r="Z93" s="10" t="s">
        <v>2886</v>
      </c>
      <c r="AA93" s="11" t="s">
        <v>3019</v>
      </c>
      <c r="AB93" s="11"/>
      <c r="AC93" s="10" t="s">
        <v>2995</v>
      </c>
    </row>
    <row r="94" customFormat="false" ht="30" hidden="false" customHeight="true" outlineLevel="0" collapsed="false">
      <c r="A94" s="12" t="s">
        <v>3308</v>
      </c>
      <c r="B94" s="12" t="s">
        <v>3309</v>
      </c>
      <c r="C94" s="12" t="s">
        <v>564</v>
      </c>
      <c r="D94" s="12" t="s">
        <v>2903</v>
      </c>
      <c r="E94" s="12" t="s">
        <v>2441</v>
      </c>
      <c r="F94" s="12" t="s">
        <v>2442</v>
      </c>
      <c r="G94" s="13" t="s">
        <v>3048</v>
      </c>
      <c r="H94" s="12" t="s">
        <v>3100</v>
      </c>
      <c r="I94" s="12" t="s">
        <v>3009</v>
      </c>
      <c r="J94" s="13" t="s">
        <v>3310</v>
      </c>
      <c r="K94" s="13" t="s">
        <v>414</v>
      </c>
      <c r="L94" s="12" t="s">
        <v>177</v>
      </c>
      <c r="M94" s="12" t="n">
        <v>76</v>
      </c>
      <c r="N94" s="12" t="n">
        <v>415</v>
      </c>
      <c r="O94" s="13" t="s">
        <v>3031</v>
      </c>
      <c r="P94" s="12" t="s">
        <v>3041</v>
      </c>
      <c r="Q94" s="13" t="s">
        <v>3237</v>
      </c>
      <c r="R94" s="13" t="s">
        <v>2991</v>
      </c>
      <c r="S94" s="13"/>
      <c r="T94" s="13" t="s">
        <v>3311</v>
      </c>
      <c r="U94" s="12"/>
      <c r="V94" s="13"/>
      <c r="W94" s="12" t="s">
        <v>3044</v>
      </c>
      <c r="X94" s="13"/>
      <c r="Y94" s="12" t="s">
        <v>2824</v>
      </c>
      <c r="Z94" s="12" t="s">
        <v>2892</v>
      </c>
      <c r="AA94" s="13" t="s">
        <v>3105</v>
      </c>
      <c r="AB94" s="13"/>
      <c r="AC94" s="12" t="s">
        <v>3014</v>
      </c>
    </row>
    <row r="95" customFormat="false" ht="30" hidden="false" customHeight="true" outlineLevel="0" collapsed="false">
      <c r="A95" s="10" t="s">
        <v>3312</v>
      </c>
      <c r="B95" s="10" t="s">
        <v>3313</v>
      </c>
      <c r="C95" s="10" t="s">
        <v>564</v>
      </c>
      <c r="D95" s="10" t="s">
        <v>2984</v>
      </c>
      <c r="E95" s="10" t="s">
        <v>2358</v>
      </c>
      <c r="F95" s="10" t="s">
        <v>2359</v>
      </c>
      <c r="G95" s="11" t="s">
        <v>3077</v>
      </c>
      <c r="H95" s="10" t="s">
        <v>3018</v>
      </c>
      <c r="I95" s="10" t="s">
        <v>2987</v>
      </c>
      <c r="J95" s="11" t="s">
        <v>38</v>
      </c>
      <c r="K95" s="11" t="s">
        <v>38</v>
      </c>
      <c r="L95" s="10" t="s">
        <v>170</v>
      </c>
      <c r="M95" s="10" t="n">
        <v>72</v>
      </c>
      <c r="N95" s="10" t="n">
        <v>295</v>
      </c>
      <c r="O95" s="11" t="s">
        <v>2785</v>
      </c>
      <c r="P95" s="10" t="s">
        <v>3011</v>
      </c>
      <c r="Q95" s="11"/>
      <c r="R95" s="11" t="s">
        <v>2991</v>
      </c>
      <c r="S95" s="11"/>
      <c r="T95" s="11"/>
      <c r="U95" s="10"/>
      <c r="V95" s="11"/>
      <c r="W95" s="10"/>
      <c r="X95" s="11"/>
      <c r="Y95" s="10" t="s">
        <v>2884</v>
      </c>
      <c r="Z95" s="10" t="s">
        <v>2886</v>
      </c>
      <c r="AA95" s="11" t="s">
        <v>3019</v>
      </c>
      <c r="AB95" s="11"/>
      <c r="AC95" s="10" t="s">
        <v>2995</v>
      </c>
    </row>
    <row r="96" customFormat="false" ht="30" hidden="false" customHeight="true" outlineLevel="0" collapsed="false">
      <c r="A96" s="12" t="s">
        <v>3314</v>
      </c>
      <c r="B96" s="12" t="s">
        <v>3315</v>
      </c>
      <c r="C96" s="12" t="s">
        <v>564</v>
      </c>
      <c r="D96" s="12" t="s">
        <v>2903</v>
      </c>
      <c r="E96" s="12" t="s">
        <v>2418</v>
      </c>
      <c r="F96" s="12" t="s">
        <v>2419</v>
      </c>
      <c r="G96" s="13" t="s">
        <v>2985</v>
      </c>
      <c r="H96" s="12" t="s">
        <v>3100</v>
      </c>
      <c r="I96" s="12" t="s">
        <v>3009</v>
      </c>
      <c r="J96" s="13" t="s">
        <v>924</v>
      </c>
      <c r="K96" s="13" t="s">
        <v>448</v>
      </c>
      <c r="L96" s="12" t="s">
        <v>184</v>
      </c>
      <c r="M96" s="12" t="n">
        <v>92</v>
      </c>
      <c r="N96" s="12" t="n">
        <v>605</v>
      </c>
      <c r="O96" s="13" t="s">
        <v>2792</v>
      </c>
      <c r="P96" s="12" t="s">
        <v>3041</v>
      </c>
      <c r="Q96" s="13" t="s">
        <v>3316</v>
      </c>
      <c r="R96" s="13" t="s">
        <v>3317</v>
      </c>
      <c r="S96" s="13"/>
      <c r="T96" s="13"/>
      <c r="U96" s="12" t="s">
        <v>3318</v>
      </c>
      <c r="V96" s="13"/>
      <c r="W96" s="12" t="s">
        <v>3239</v>
      </c>
      <c r="X96" s="13"/>
      <c r="Y96" s="12" t="s">
        <v>2824</v>
      </c>
      <c r="Z96" s="12" t="s">
        <v>2892</v>
      </c>
      <c r="AA96" s="13" t="s">
        <v>3105</v>
      </c>
      <c r="AB96" s="13"/>
      <c r="AC96" s="12" t="s">
        <v>3014</v>
      </c>
    </row>
    <row r="97" customFormat="false" ht="30" hidden="false" customHeight="true" outlineLevel="0" collapsed="false">
      <c r="A97" s="10" t="s">
        <v>3319</v>
      </c>
      <c r="B97" s="10" t="s">
        <v>3320</v>
      </c>
      <c r="C97" s="10" t="s">
        <v>564</v>
      </c>
      <c r="D97" s="10" t="s">
        <v>2984</v>
      </c>
      <c r="E97" s="10" t="s">
        <v>2190</v>
      </c>
      <c r="F97" s="10" t="s">
        <v>2191</v>
      </c>
      <c r="G97" s="11" t="s">
        <v>3062</v>
      </c>
      <c r="H97" s="10" t="s">
        <v>3072</v>
      </c>
      <c r="I97" s="10" t="s">
        <v>3073</v>
      </c>
      <c r="J97" s="11" t="s">
        <v>1296</v>
      </c>
      <c r="K97" s="11" t="s">
        <v>452</v>
      </c>
      <c r="L97" s="10" t="s">
        <v>170</v>
      </c>
      <c r="M97" s="10" t="n">
        <v>78</v>
      </c>
      <c r="N97" s="10" t="n">
        <v>350</v>
      </c>
      <c r="O97" s="11" t="s">
        <v>2785</v>
      </c>
      <c r="P97" s="10" t="s">
        <v>3011</v>
      </c>
      <c r="Q97" s="11"/>
      <c r="R97" s="11" t="s">
        <v>2991</v>
      </c>
      <c r="S97" s="11"/>
      <c r="T97" s="11"/>
      <c r="U97" s="10"/>
      <c r="V97" s="11"/>
      <c r="W97" s="10"/>
      <c r="X97" s="11"/>
      <c r="Y97" s="10" t="s">
        <v>2884</v>
      </c>
      <c r="Z97" s="10" t="s">
        <v>2886</v>
      </c>
      <c r="AA97" s="11" t="s">
        <v>3074</v>
      </c>
      <c r="AB97" s="11"/>
      <c r="AC97" s="10" t="s">
        <v>2995</v>
      </c>
    </row>
    <row r="98" customFormat="false" ht="30" hidden="false" customHeight="true" outlineLevel="0" collapsed="false">
      <c r="A98" s="12" t="s">
        <v>3321</v>
      </c>
      <c r="B98" s="12" t="s">
        <v>3322</v>
      </c>
      <c r="C98" s="12" t="s">
        <v>564</v>
      </c>
      <c r="D98" s="12" t="s">
        <v>2984</v>
      </c>
      <c r="E98" s="12" t="s">
        <v>2360</v>
      </c>
      <c r="F98" s="12" t="s">
        <v>2361</v>
      </c>
      <c r="G98" s="13" t="s">
        <v>3084</v>
      </c>
      <c r="H98" s="12" t="s">
        <v>3049</v>
      </c>
      <c r="I98" s="12" t="s">
        <v>2987</v>
      </c>
      <c r="J98" s="13" t="s">
        <v>38</v>
      </c>
      <c r="K98" s="13" t="s">
        <v>452</v>
      </c>
      <c r="L98" s="12" t="s">
        <v>191</v>
      </c>
      <c r="M98" s="12" t="n">
        <v>46</v>
      </c>
      <c r="N98" s="12" t="n">
        <v>250</v>
      </c>
      <c r="O98" s="13" t="s">
        <v>3000</v>
      </c>
      <c r="P98" s="12" t="s">
        <v>2989</v>
      </c>
      <c r="Q98" s="13"/>
      <c r="R98" s="13" t="s">
        <v>2991</v>
      </c>
      <c r="S98" s="13"/>
      <c r="T98" s="13"/>
      <c r="U98" s="12"/>
      <c r="V98" s="13"/>
      <c r="W98" s="12"/>
      <c r="X98" s="13"/>
      <c r="Y98" s="12" t="s">
        <v>2888</v>
      </c>
      <c r="Z98" s="12" t="s">
        <v>1509</v>
      </c>
      <c r="AA98" s="13" t="s">
        <v>3050</v>
      </c>
      <c r="AB98" s="13"/>
      <c r="AC98" s="12" t="s">
        <v>2995</v>
      </c>
    </row>
    <row r="99" customFormat="false" ht="30" hidden="false" customHeight="true" outlineLevel="0" collapsed="false">
      <c r="A99" s="10" t="s">
        <v>3323</v>
      </c>
      <c r="B99" s="10" t="s">
        <v>3324</v>
      </c>
      <c r="C99" s="10" t="s">
        <v>564</v>
      </c>
      <c r="D99" s="10" t="s">
        <v>2903</v>
      </c>
      <c r="E99" s="10" t="s">
        <v>2574</v>
      </c>
      <c r="F99" s="10" t="s">
        <v>2575</v>
      </c>
      <c r="G99" s="11" t="s">
        <v>3029</v>
      </c>
      <c r="H99" s="10" t="s">
        <v>2999</v>
      </c>
      <c r="I99" s="10" t="s">
        <v>3009</v>
      </c>
      <c r="J99" s="11" t="s">
        <v>1021</v>
      </c>
      <c r="K99" s="11" t="s">
        <v>423</v>
      </c>
      <c r="L99" s="10" t="s">
        <v>170</v>
      </c>
      <c r="M99" s="10" t="n">
        <v>85</v>
      </c>
      <c r="N99" s="10" t="n">
        <v>445</v>
      </c>
      <c r="O99" s="11" t="s">
        <v>2785</v>
      </c>
      <c r="P99" s="10" t="s">
        <v>3011</v>
      </c>
      <c r="Q99" s="11"/>
      <c r="R99" s="11" t="s">
        <v>2991</v>
      </c>
      <c r="S99" s="11"/>
      <c r="T99" s="11"/>
      <c r="U99" s="10"/>
      <c r="V99" s="11"/>
      <c r="W99" s="10"/>
      <c r="X99" s="11"/>
      <c r="Y99" s="10" t="s">
        <v>2884</v>
      </c>
      <c r="Z99" s="10" t="s">
        <v>2886</v>
      </c>
      <c r="AA99" s="11" t="s">
        <v>3004</v>
      </c>
      <c r="AB99" s="11"/>
      <c r="AC99" s="10" t="s">
        <v>3014</v>
      </c>
    </row>
    <row r="100" customFormat="false" ht="30" hidden="false" customHeight="true" outlineLevel="0" collapsed="false">
      <c r="A100" s="12" t="s">
        <v>3325</v>
      </c>
      <c r="B100" s="12" t="s">
        <v>3326</v>
      </c>
      <c r="C100" s="12" t="s">
        <v>564</v>
      </c>
      <c r="D100" s="12" t="s">
        <v>2984</v>
      </c>
      <c r="E100" s="12" t="s">
        <v>2364</v>
      </c>
      <c r="F100" s="12" t="s">
        <v>2365</v>
      </c>
      <c r="G100" s="13" t="s">
        <v>3071</v>
      </c>
      <c r="H100" s="12" t="s">
        <v>3018</v>
      </c>
      <c r="I100" s="12" t="s">
        <v>2987</v>
      </c>
      <c r="J100" s="13" t="s">
        <v>1216</v>
      </c>
      <c r="K100" s="13" t="s">
        <v>452</v>
      </c>
      <c r="L100" s="12" t="s">
        <v>170</v>
      </c>
      <c r="M100" s="12" t="n">
        <v>82</v>
      </c>
      <c r="N100" s="12" t="n">
        <v>375</v>
      </c>
      <c r="O100" s="13" t="s">
        <v>2785</v>
      </c>
      <c r="P100" s="12" t="s">
        <v>3011</v>
      </c>
      <c r="Q100" s="13"/>
      <c r="R100" s="13" t="s">
        <v>2991</v>
      </c>
      <c r="S100" s="13"/>
      <c r="T100" s="13"/>
      <c r="U100" s="12"/>
      <c r="V100" s="13"/>
      <c r="W100" s="12"/>
      <c r="X100" s="13"/>
      <c r="Y100" s="12" t="s">
        <v>2884</v>
      </c>
      <c r="Z100" s="12" t="s">
        <v>2886</v>
      </c>
      <c r="AA100" s="13" t="s">
        <v>3019</v>
      </c>
      <c r="AB100" s="13"/>
      <c r="AC100" s="12" t="s">
        <v>2995</v>
      </c>
    </row>
    <row r="101" customFormat="false" ht="30" hidden="false" customHeight="true" outlineLevel="0" collapsed="false">
      <c r="A101" s="10" t="s">
        <v>3327</v>
      </c>
      <c r="B101" s="10" t="s">
        <v>3328</v>
      </c>
      <c r="C101" s="10" t="s">
        <v>564</v>
      </c>
      <c r="D101" s="10" t="s">
        <v>2984</v>
      </c>
      <c r="E101" s="10" t="s">
        <v>2366</v>
      </c>
      <c r="F101" s="10" t="s">
        <v>2367</v>
      </c>
      <c r="G101" s="11" t="s">
        <v>3017</v>
      </c>
      <c r="H101" s="10" t="s">
        <v>3018</v>
      </c>
      <c r="I101" s="10" t="s">
        <v>2987</v>
      </c>
      <c r="J101" s="11" t="s">
        <v>38</v>
      </c>
      <c r="K101" s="11" t="s">
        <v>38</v>
      </c>
      <c r="L101" s="10" t="s">
        <v>177</v>
      </c>
      <c r="M101" s="10" t="n">
        <v>65</v>
      </c>
      <c r="N101" s="10" t="n">
        <v>305</v>
      </c>
      <c r="O101" s="11" t="s">
        <v>3031</v>
      </c>
      <c r="P101" s="10" t="s">
        <v>3011</v>
      </c>
      <c r="Q101" s="11"/>
      <c r="R101" s="11" t="s">
        <v>2991</v>
      </c>
      <c r="S101" s="11"/>
      <c r="T101" s="11"/>
      <c r="U101" s="10"/>
      <c r="V101" s="11"/>
      <c r="W101" s="10"/>
      <c r="X101" s="11"/>
      <c r="Y101" s="10" t="s">
        <v>2884</v>
      </c>
      <c r="Z101" s="10" t="s">
        <v>2886</v>
      </c>
      <c r="AA101" s="11" t="s">
        <v>3019</v>
      </c>
      <c r="AB101" s="11"/>
      <c r="AC101" s="10" t="s">
        <v>2995</v>
      </c>
    </row>
    <row r="102" customFormat="false" ht="30" hidden="false" customHeight="true" outlineLevel="0" collapsed="false">
      <c r="A102" s="12" t="s">
        <v>3329</v>
      </c>
      <c r="B102" s="12" t="s">
        <v>3330</v>
      </c>
      <c r="C102" s="12" t="s">
        <v>564</v>
      </c>
      <c r="D102" s="12" t="s">
        <v>2903</v>
      </c>
      <c r="E102" s="12" t="s">
        <v>2580</v>
      </c>
      <c r="F102" s="12" t="s">
        <v>2581</v>
      </c>
      <c r="G102" s="13" t="s">
        <v>3039</v>
      </c>
      <c r="H102" s="12" t="s">
        <v>3008</v>
      </c>
      <c r="I102" s="12" t="s">
        <v>3009</v>
      </c>
      <c r="J102" s="13" t="s">
        <v>3331</v>
      </c>
      <c r="K102" s="13" t="s">
        <v>445</v>
      </c>
      <c r="L102" s="12" t="s">
        <v>170</v>
      </c>
      <c r="M102" s="12" t="n">
        <v>87</v>
      </c>
      <c r="N102" s="12" t="n">
        <v>530</v>
      </c>
      <c r="O102" s="13" t="s">
        <v>2785</v>
      </c>
      <c r="P102" s="12" t="s">
        <v>3011</v>
      </c>
      <c r="Q102" s="13"/>
      <c r="R102" s="13" t="s">
        <v>2991</v>
      </c>
      <c r="S102" s="13"/>
      <c r="T102" s="13"/>
      <c r="U102" s="12"/>
      <c r="V102" s="13"/>
      <c r="W102" s="12"/>
      <c r="X102" s="13"/>
      <c r="Y102" s="12" t="s">
        <v>2884</v>
      </c>
      <c r="Z102" s="12" t="s">
        <v>2886</v>
      </c>
      <c r="AA102" s="13" t="s">
        <v>3013</v>
      </c>
      <c r="AB102" s="13"/>
      <c r="AC102" s="12" t="s">
        <v>3153</v>
      </c>
    </row>
    <row r="103" customFormat="false" ht="30" hidden="false" customHeight="true" outlineLevel="0" collapsed="false">
      <c r="A103" s="10" t="s">
        <v>3332</v>
      </c>
      <c r="B103" s="10" t="s">
        <v>3333</v>
      </c>
      <c r="C103" s="10" t="s">
        <v>564</v>
      </c>
      <c r="D103" s="10" t="s">
        <v>2984</v>
      </c>
      <c r="E103" s="10" t="s">
        <v>2202</v>
      </c>
      <c r="F103" s="10" t="s">
        <v>2203</v>
      </c>
      <c r="G103" s="11" t="s">
        <v>3058</v>
      </c>
      <c r="H103" s="10" t="s">
        <v>3072</v>
      </c>
      <c r="I103" s="10" t="s">
        <v>3073</v>
      </c>
      <c r="J103" s="11" t="s">
        <v>3135</v>
      </c>
      <c r="K103" s="11" t="s">
        <v>455</v>
      </c>
      <c r="L103" s="10" t="s">
        <v>170</v>
      </c>
      <c r="M103" s="10" t="n">
        <v>86</v>
      </c>
      <c r="N103" s="10" t="n">
        <v>400</v>
      </c>
      <c r="O103" s="11" t="s">
        <v>2785</v>
      </c>
      <c r="P103" s="10" t="s">
        <v>2989</v>
      </c>
      <c r="Q103" s="11" t="s">
        <v>2990</v>
      </c>
      <c r="R103" s="11" t="s">
        <v>2991</v>
      </c>
      <c r="S103" s="11"/>
      <c r="T103" s="11"/>
      <c r="U103" s="10"/>
      <c r="V103" s="11" t="s">
        <v>3334</v>
      </c>
      <c r="W103" s="10"/>
      <c r="X103" s="11"/>
      <c r="Y103" s="10" t="s">
        <v>2888</v>
      </c>
      <c r="Z103" s="10" t="s">
        <v>1509</v>
      </c>
      <c r="AA103" s="11" t="s">
        <v>3074</v>
      </c>
      <c r="AB103" s="11"/>
      <c r="AC103" s="10" t="s">
        <v>2995</v>
      </c>
    </row>
    <row r="104" customFormat="false" ht="30" hidden="false" customHeight="true" outlineLevel="0" collapsed="false">
      <c r="A104" s="12" t="s">
        <v>3335</v>
      </c>
      <c r="B104" s="12" t="s">
        <v>3336</v>
      </c>
      <c r="C104" s="12" t="s">
        <v>564</v>
      </c>
      <c r="D104" s="12" t="s">
        <v>2903</v>
      </c>
      <c r="E104" s="12" t="s">
        <v>2582</v>
      </c>
      <c r="F104" s="12" t="s">
        <v>2583</v>
      </c>
      <c r="G104" s="13" t="s">
        <v>3007</v>
      </c>
      <c r="H104" s="12" t="s">
        <v>3008</v>
      </c>
      <c r="I104" s="12" t="s">
        <v>3009</v>
      </c>
      <c r="J104" s="13" t="s">
        <v>3337</v>
      </c>
      <c r="K104" s="13" t="s">
        <v>438</v>
      </c>
      <c r="L104" s="12" t="s">
        <v>184</v>
      </c>
      <c r="M104" s="12" t="n">
        <v>89</v>
      </c>
      <c r="N104" s="12" t="n">
        <v>595</v>
      </c>
      <c r="O104" s="13" t="s">
        <v>2792</v>
      </c>
      <c r="P104" s="12" t="s">
        <v>2989</v>
      </c>
      <c r="Q104" s="13" t="s">
        <v>3338</v>
      </c>
      <c r="R104" s="13" t="s">
        <v>3165</v>
      </c>
      <c r="S104" s="13"/>
      <c r="T104" s="13"/>
      <c r="U104" s="12" t="s">
        <v>3339</v>
      </c>
      <c r="V104" s="13" t="s">
        <v>3340</v>
      </c>
      <c r="W104" s="12"/>
      <c r="X104" s="13"/>
      <c r="Y104" s="12" t="s">
        <v>2888</v>
      </c>
      <c r="Z104" s="12" t="s">
        <v>1509</v>
      </c>
      <c r="AA104" s="13" t="s">
        <v>3013</v>
      </c>
      <c r="AB104" s="13"/>
      <c r="AC104" s="12" t="s">
        <v>3014</v>
      </c>
    </row>
    <row r="105" customFormat="false" ht="30" hidden="false" customHeight="true" outlineLevel="0" collapsed="false">
      <c r="A105" s="10" t="s">
        <v>3341</v>
      </c>
      <c r="B105" s="10" t="s">
        <v>3342</v>
      </c>
      <c r="C105" s="10" t="s">
        <v>571</v>
      </c>
      <c r="D105" s="10" t="s">
        <v>2984</v>
      </c>
      <c r="E105" s="10" t="s">
        <v>1992</v>
      </c>
      <c r="F105" s="10" t="s">
        <v>1993</v>
      </c>
      <c r="G105" s="11" t="s">
        <v>2998</v>
      </c>
      <c r="H105" s="10" t="s">
        <v>3072</v>
      </c>
      <c r="I105" s="10" t="s">
        <v>3073</v>
      </c>
      <c r="J105" s="11" t="s">
        <v>866</v>
      </c>
      <c r="K105" s="11" t="s">
        <v>452</v>
      </c>
      <c r="L105" s="10" t="s">
        <v>191</v>
      </c>
      <c r="M105" s="10" t="n">
        <v>43</v>
      </c>
      <c r="N105" s="10" t="n">
        <v>245</v>
      </c>
      <c r="O105" s="11" t="s">
        <v>3000</v>
      </c>
      <c r="P105" s="10" t="s">
        <v>2989</v>
      </c>
      <c r="Q105" s="11" t="s">
        <v>3343</v>
      </c>
      <c r="R105" s="11" t="s">
        <v>2991</v>
      </c>
      <c r="S105" s="11" t="s">
        <v>3002</v>
      </c>
      <c r="T105" s="11" t="s">
        <v>3344</v>
      </c>
      <c r="U105" s="10"/>
      <c r="V105" s="11"/>
      <c r="W105" s="10"/>
      <c r="X105" s="11"/>
      <c r="Y105" s="10" t="s">
        <v>2888</v>
      </c>
      <c r="Z105" s="10" t="s">
        <v>1509</v>
      </c>
      <c r="AA105" s="11" t="s">
        <v>3074</v>
      </c>
      <c r="AB105" s="11"/>
      <c r="AC105" s="10" t="s">
        <v>2995</v>
      </c>
    </row>
    <row r="106" customFormat="false" ht="30" hidden="false" customHeight="true" outlineLevel="0" collapsed="false">
      <c r="A106" s="12" t="s">
        <v>3345</v>
      </c>
      <c r="B106" s="12" t="s">
        <v>3346</v>
      </c>
      <c r="C106" s="12" t="s">
        <v>571</v>
      </c>
      <c r="D106" s="12" t="s">
        <v>2984</v>
      </c>
      <c r="E106" s="12" t="s">
        <v>1803</v>
      </c>
      <c r="F106" s="12" t="s">
        <v>1804</v>
      </c>
      <c r="G106" s="13" t="s">
        <v>3071</v>
      </c>
      <c r="H106" s="12" t="s">
        <v>3018</v>
      </c>
      <c r="I106" s="12" t="s">
        <v>3023</v>
      </c>
      <c r="J106" s="13" t="s">
        <v>3221</v>
      </c>
      <c r="K106" s="13" t="s">
        <v>452</v>
      </c>
      <c r="L106" s="12" t="s">
        <v>170</v>
      </c>
      <c r="M106" s="12" t="n">
        <v>81</v>
      </c>
      <c r="N106" s="12" t="n">
        <v>330</v>
      </c>
      <c r="O106" s="13" t="s">
        <v>2785</v>
      </c>
      <c r="P106" s="12" t="s">
        <v>3011</v>
      </c>
      <c r="Q106" s="13"/>
      <c r="R106" s="13" t="s">
        <v>2991</v>
      </c>
      <c r="S106" s="13"/>
      <c r="T106" s="13"/>
      <c r="U106" s="12"/>
      <c r="V106" s="13"/>
      <c r="W106" s="12"/>
      <c r="X106" s="13"/>
      <c r="Y106" s="12" t="s">
        <v>2884</v>
      </c>
      <c r="Z106" s="12" t="s">
        <v>2886</v>
      </c>
      <c r="AA106" s="13" t="s">
        <v>3019</v>
      </c>
      <c r="AB106" s="13"/>
      <c r="AC106" s="12" t="s">
        <v>2995</v>
      </c>
    </row>
    <row r="107" customFormat="false" ht="30" hidden="false" customHeight="true" outlineLevel="0" collapsed="false">
      <c r="A107" s="10" t="s">
        <v>3347</v>
      </c>
      <c r="B107" s="10" t="s">
        <v>3348</v>
      </c>
      <c r="C107" s="10" t="s">
        <v>571</v>
      </c>
      <c r="D107" s="10" t="s">
        <v>2984</v>
      </c>
      <c r="E107" s="10" t="s">
        <v>1839</v>
      </c>
      <c r="F107" s="10" t="s">
        <v>1840</v>
      </c>
      <c r="G107" s="11" t="s">
        <v>3039</v>
      </c>
      <c r="H107" s="10" t="s">
        <v>2986</v>
      </c>
      <c r="I107" s="10" t="s">
        <v>3023</v>
      </c>
      <c r="J107" s="11" t="s">
        <v>38</v>
      </c>
      <c r="K107" s="11" t="s">
        <v>452</v>
      </c>
      <c r="L107" s="10" t="s">
        <v>184</v>
      </c>
      <c r="M107" s="10" t="n">
        <v>87</v>
      </c>
      <c r="N107" s="10" t="n">
        <v>495</v>
      </c>
      <c r="O107" s="11" t="s">
        <v>2792</v>
      </c>
      <c r="P107" s="10" t="s">
        <v>3097</v>
      </c>
      <c r="Q107" s="11" t="s">
        <v>3067</v>
      </c>
      <c r="R107" s="11" t="s">
        <v>3201</v>
      </c>
      <c r="S107" s="11"/>
      <c r="T107" s="11"/>
      <c r="U107" s="10"/>
      <c r="V107" s="11"/>
      <c r="W107" s="10"/>
      <c r="X107" s="11"/>
      <c r="Y107" s="10" t="s">
        <v>2894</v>
      </c>
      <c r="Z107" s="10" t="s">
        <v>1554</v>
      </c>
      <c r="AA107" s="11" t="s">
        <v>2994</v>
      </c>
      <c r="AB107" s="11"/>
      <c r="AC107" s="10" t="s">
        <v>2995</v>
      </c>
    </row>
    <row r="108" customFormat="false" ht="30" hidden="false" customHeight="true" outlineLevel="0" collapsed="false">
      <c r="A108" s="12" t="s">
        <v>3349</v>
      </c>
      <c r="B108" s="12" t="s">
        <v>3350</v>
      </c>
      <c r="C108" s="12" t="s">
        <v>571</v>
      </c>
      <c r="D108" s="12" t="s">
        <v>2984</v>
      </c>
      <c r="E108" s="12" t="s">
        <v>1903</v>
      </c>
      <c r="F108" s="12" t="s">
        <v>1904</v>
      </c>
      <c r="G108" s="13" t="s">
        <v>3080</v>
      </c>
      <c r="H108" s="12" t="s">
        <v>3018</v>
      </c>
      <c r="I108" s="12" t="s">
        <v>3023</v>
      </c>
      <c r="J108" s="13" t="s">
        <v>1253</v>
      </c>
      <c r="K108" s="13" t="s">
        <v>452</v>
      </c>
      <c r="L108" s="12" t="s">
        <v>177</v>
      </c>
      <c r="M108" s="12" t="n">
        <v>76</v>
      </c>
      <c r="N108" s="12" t="n">
        <v>400</v>
      </c>
      <c r="O108" s="13" t="s">
        <v>3031</v>
      </c>
      <c r="P108" s="12" t="s">
        <v>3011</v>
      </c>
      <c r="Q108" s="13"/>
      <c r="R108" s="13" t="s">
        <v>2991</v>
      </c>
      <c r="S108" s="13"/>
      <c r="T108" s="13"/>
      <c r="U108" s="12"/>
      <c r="V108" s="13"/>
      <c r="W108" s="12" t="s">
        <v>3351</v>
      </c>
      <c r="X108" s="13"/>
      <c r="Y108" s="12" t="s">
        <v>2884</v>
      </c>
      <c r="Z108" s="12" t="s">
        <v>2886</v>
      </c>
      <c r="AA108" s="13" t="s">
        <v>3019</v>
      </c>
      <c r="AB108" s="13"/>
      <c r="AC108" s="12" t="s">
        <v>2995</v>
      </c>
    </row>
    <row r="109" customFormat="false" ht="30" hidden="false" customHeight="true" outlineLevel="0" collapsed="false">
      <c r="A109" s="10" t="s">
        <v>3352</v>
      </c>
      <c r="B109" s="10" t="s">
        <v>3353</v>
      </c>
      <c r="C109" s="10" t="s">
        <v>571</v>
      </c>
      <c r="D109" s="10" t="s">
        <v>2984</v>
      </c>
      <c r="E109" s="10" t="s">
        <v>1931</v>
      </c>
      <c r="F109" s="10" t="s">
        <v>1932</v>
      </c>
      <c r="G109" s="11" t="s">
        <v>3029</v>
      </c>
      <c r="H109" s="10" t="s">
        <v>3049</v>
      </c>
      <c r="I109" s="10" t="s">
        <v>3093</v>
      </c>
      <c r="J109" s="11" t="s">
        <v>3140</v>
      </c>
      <c r="K109" s="11" t="s">
        <v>452</v>
      </c>
      <c r="L109" s="10" t="s">
        <v>177</v>
      </c>
      <c r="M109" s="10" t="n">
        <v>79</v>
      </c>
      <c r="N109" s="10" t="n">
        <v>430</v>
      </c>
      <c r="O109" s="11" t="s">
        <v>3031</v>
      </c>
      <c r="P109" s="10" t="s">
        <v>2989</v>
      </c>
      <c r="Q109" s="11" t="s">
        <v>3354</v>
      </c>
      <c r="R109" s="11" t="s">
        <v>2991</v>
      </c>
      <c r="S109" s="11"/>
      <c r="T109" s="11"/>
      <c r="U109" s="10"/>
      <c r="V109" s="11"/>
      <c r="W109" s="10"/>
      <c r="X109" s="11"/>
      <c r="Y109" s="10" t="s">
        <v>2888</v>
      </c>
      <c r="Z109" s="10" t="s">
        <v>1509</v>
      </c>
      <c r="AA109" s="11" t="s">
        <v>3050</v>
      </c>
      <c r="AB109" s="11"/>
      <c r="AC109" s="10" t="s">
        <v>2995</v>
      </c>
    </row>
    <row r="110" customFormat="false" ht="30" hidden="false" customHeight="true" outlineLevel="0" collapsed="false">
      <c r="A110" s="12" t="s">
        <v>3355</v>
      </c>
      <c r="B110" s="12" t="s">
        <v>3356</v>
      </c>
      <c r="C110" s="12" t="s">
        <v>571</v>
      </c>
      <c r="D110" s="12" t="s">
        <v>2903</v>
      </c>
      <c r="E110" s="12" t="s">
        <v>2389</v>
      </c>
      <c r="F110" s="12" t="s">
        <v>2127</v>
      </c>
      <c r="G110" s="13" t="s">
        <v>3088</v>
      </c>
      <c r="H110" s="12" t="s">
        <v>3008</v>
      </c>
      <c r="I110" s="12" t="s">
        <v>3009</v>
      </c>
      <c r="J110" s="13" t="s">
        <v>3357</v>
      </c>
      <c r="K110" s="13" t="s">
        <v>438</v>
      </c>
      <c r="L110" s="12" t="s">
        <v>184</v>
      </c>
      <c r="M110" s="12" t="n">
        <v>86</v>
      </c>
      <c r="N110" s="12" t="n">
        <v>590</v>
      </c>
      <c r="O110" s="13" t="s">
        <v>2792</v>
      </c>
      <c r="P110" s="12" t="s">
        <v>2989</v>
      </c>
      <c r="Q110" s="13" t="s">
        <v>3358</v>
      </c>
      <c r="R110" s="13" t="s">
        <v>3165</v>
      </c>
      <c r="S110" s="13"/>
      <c r="T110" s="13"/>
      <c r="U110" s="12"/>
      <c r="V110" s="13"/>
      <c r="W110" s="12"/>
      <c r="X110" s="13"/>
      <c r="Y110" s="12" t="s">
        <v>2888</v>
      </c>
      <c r="Z110" s="12" t="s">
        <v>1509</v>
      </c>
      <c r="AA110" s="13" t="s">
        <v>3359</v>
      </c>
      <c r="AB110" s="13" t="s">
        <v>3360</v>
      </c>
      <c r="AC110" s="12" t="s">
        <v>3361</v>
      </c>
    </row>
    <row r="111" customFormat="false" ht="30" hidden="false" customHeight="true" outlineLevel="0" collapsed="false">
      <c r="A111" s="10" t="s">
        <v>3362</v>
      </c>
      <c r="B111" s="10" t="s">
        <v>3363</v>
      </c>
      <c r="C111" s="10" t="s">
        <v>571</v>
      </c>
      <c r="D111" s="10" t="s">
        <v>2984</v>
      </c>
      <c r="E111" s="10" t="s">
        <v>2114</v>
      </c>
      <c r="F111" s="10" t="s">
        <v>2115</v>
      </c>
      <c r="G111" s="11" t="s">
        <v>3058</v>
      </c>
      <c r="H111" s="10" t="s">
        <v>3072</v>
      </c>
      <c r="I111" s="10" t="s">
        <v>3073</v>
      </c>
      <c r="J111" s="11" t="s">
        <v>1291</v>
      </c>
      <c r="K111" s="11" t="s">
        <v>455</v>
      </c>
      <c r="L111" s="10" t="s">
        <v>170</v>
      </c>
      <c r="M111" s="10" t="n">
        <v>85</v>
      </c>
      <c r="N111" s="10" t="n">
        <v>380</v>
      </c>
      <c r="O111" s="11" t="s">
        <v>2785</v>
      </c>
      <c r="P111" s="10" t="s">
        <v>3011</v>
      </c>
      <c r="Q111" s="11" t="s">
        <v>2990</v>
      </c>
      <c r="R111" s="11" t="s">
        <v>2991</v>
      </c>
      <c r="S111" s="11"/>
      <c r="T111" s="11"/>
      <c r="U111" s="10"/>
      <c r="V111" s="11"/>
      <c r="W111" s="10" t="s">
        <v>3364</v>
      </c>
      <c r="X111" s="11"/>
      <c r="Y111" s="10" t="s">
        <v>2888</v>
      </c>
      <c r="Z111" s="10" t="s">
        <v>1509</v>
      </c>
      <c r="AA111" s="11" t="s">
        <v>3074</v>
      </c>
      <c r="AB111" s="11"/>
      <c r="AC111" s="10" t="s">
        <v>2995</v>
      </c>
    </row>
    <row r="112" customFormat="false" ht="30" hidden="false" customHeight="true" outlineLevel="0" collapsed="false">
      <c r="A112" s="12" t="s">
        <v>3365</v>
      </c>
      <c r="B112" s="12" t="s">
        <v>3366</v>
      </c>
      <c r="C112" s="12" t="s">
        <v>571</v>
      </c>
      <c r="D112" s="12" t="s">
        <v>2903</v>
      </c>
      <c r="E112" s="12" t="s">
        <v>2489</v>
      </c>
      <c r="F112" s="12" t="s">
        <v>2490</v>
      </c>
      <c r="G112" s="13" t="s">
        <v>3022</v>
      </c>
      <c r="H112" s="12" t="s">
        <v>3049</v>
      </c>
      <c r="I112" s="12" t="s">
        <v>3093</v>
      </c>
      <c r="J112" s="13" t="s">
        <v>1267</v>
      </c>
      <c r="K112" s="13" t="s">
        <v>445</v>
      </c>
      <c r="L112" s="12" t="s">
        <v>191</v>
      </c>
      <c r="M112" s="12" t="n">
        <v>49</v>
      </c>
      <c r="N112" s="12" t="n">
        <v>740</v>
      </c>
      <c r="O112" s="13" t="s">
        <v>3024</v>
      </c>
      <c r="P112" s="12" t="s">
        <v>2989</v>
      </c>
      <c r="Q112" s="13" t="s">
        <v>3354</v>
      </c>
      <c r="R112" s="13" t="s">
        <v>2991</v>
      </c>
      <c r="S112" s="13"/>
      <c r="T112" s="13"/>
      <c r="U112" s="12"/>
      <c r="V112" s="13"/>
      <c r="W112" s="12"/>
      <c r="X112" s="13"/>
      <c r="Y112" s="12" t="s">
        <v>2888</v>
      </c>
      <c r="Z112" s="12" t="s">
        <v>1509</v>
      </c>
      <c r="AA112" s="13" t="s">
        <v>3050</v>
      </c>
      <c r="AB112" s="13"/>
      <c r="AC112" s="12" t="s">
        <v>3367</v>
      </c>
    </row>
    <row r="113" customFormat="false" ht="30" hidden="false" customHeight="true" outlineLevel="0" collapsed="false">
      <c r="A113" s="10" t="s">
        <v>3368</v>
      </c>
      <c r="B113" s="10" t="s">
        <v>3369</v>
      </c>
      <c r="C113" s="10" t="s">
        <v>571</v>
      </c>
      <c r="D113" s="10" t="s">
        <v>2984</v>
      </c>
      <c r="E113" s="10" t="s">
        <v>1994</v>
      </c>
      <c r="F113" s="10" t="s">
        <v>1995</v>
      </c>
      <c r="G113" s="11" t="s">
        <v>3053</v>
      </c>
      <c r="H113" s="10" t="s">
        <v>3072</v>
      </c>
      <c r="I113" s="10" t="s">
        <v>3073</v>
      </c>
      <c r="J113" s="11" t="s">
        <v>38</v>
      </c>
      <c r="K113" s="11" t="s">
        <v>452</v>
      </c>
      <c r="L113" s="10" t="s">
        <v>191</v>
      </c>
      <c r="M113" s="10" t="n">
        <v>45</v>
      </c>
      <c r="N113" s="10" t="n">
        <v>230</v>
      </c>
      <c r="O113" s="11" t="s">
        <v>3000</v>
      </c>
      <c r="P113" s="10" t="s">
        <v>2989</v>
      </c>
      <c r="Q113" s="11" t="s">
        <v>3054</v>
      </c>
      <c r="R113" s="11" t="s">
        <v>3055</v>
      </c>
      <c r="S113" s="11"/>
      <c r="T113" s="11"/>
      <c r="U113" s="10"/>
      <c r="V113" s="11"/>
      <c r="W113" s="10" t="s">
        <v>3370</v>
      </c>
      <c r="X113" s="11"/>
      <c r="Y113" s="10" t="s">
        <v>2888</v>
      </c>
      <c r="Z113" s="10" t="s">
        <v>1509</v>
      </c>
      <c r="AA113" s="11" t="s">
        <v>3074</v>
      </c>
      <c r="AB113" s="11"/>
      <c r="AC113" s="10" t="s">
        <v>2995</v>
      </c>
    </row>
    <row r="114" customFormat="false" ht="30" hidden="false" customHeight="true" outlineLevel="0" collapsed="false">
      <c r="A114" s="12" t="s">
        <v>3371</v>
      </c>
      <c r="B114" s="12" t="s">
        <v>3372</v>
      </c>
      <c r="C114" s="12" t="s">
        <v>571</v>
      </c>
      <c r="D114" s="12" t="s">
        <v>2984</v>
      </c>
      <c r="E114" s="12" t="s">
        <v>1809</v>
      </c>
      <c r="F114" s="12" t="s">
        <v>1810</v>
      </c>
      <c r="G114" s="13" t="s">
        <v>3112</v>
      </c>
      <c r="H114" s="12" t="s">
        <v>2986</v>
      </c>
      <c r="I114" s="12" t="s">
        <v>3023</v>
      </c>
      <c r="J114" s="13" t="s">
        <v>1256</v>
      </c>
      <c r="K114" s="13" t="s">
        <v>452</v>
      </c>
      <c r="L114" s="12" t="s">
        <v>191</v>
      </c>
      <c r="M114" s="12" t="n">
        <v>52</v>
      </c>
      <c r="N114" s="12" t="n">
        <v>655</v>
      </c>
      <c r="O114" s="13" t="s">
        <v>3024</v>
      </c>
      <c r="P114" s="12" t="s">
        <v>2989</v>
      </c>
      <c r="Q114" s="13"/>
      <c r="R114" s="13" t="s">
        <v>2991</v>
      </c>
      <c r="S114" s="13"/>
      <c r="T114" s="13"/>
      <c r="U114" s="12"/>
      <c r="V114" s="13"/>
      <c r="W114" s="12"/>
      <c r="X114" s="13"/>
      <c r="Y114" s="12" t="s">
        <v>2888</v>
      </c>
      <c r="Z114" s="12" t="s">
        <v>1509</v>
      </c>
      <c r="AA114" s="13" t="s">
        <v>2994</v>
      </c>
      <c r="AB114" s="13"/>
      <c r="AC114" s="12" t="s">
        <v>2995</v>
      </c>
    </row>
    <row r="115" customFormat="false" ht="30" hidden="false" customHeight="true" outlineLevel="0" collapsed="false">
      <c r="A115" s="10" t="s">
        <v>3373</v>
      </c>
      <c r="B115" s="10" t="s">
        <v>3374</v>
      </c>
      <c r="C115" s="10" t="s">
        <v>571</v>
      </c>
      <c r="D115" s="10" t="s">
        <v>2984</v>
      </c>
      <c r="E115" s="10" t="s">
        <v>1843</v>
      </c>
      <c r="F115" s="10" t="s">
        <v>1844</v>
      </c>
      <c r="G115" s="11" t="s">
        <v>3092</v>
      </c>
      <c r="H115" s="10" t="s">
        <v>3049</v>
      </c>
      <c r="I115" s="10" t="s">
        <v>3093</v>
      </c>
      <c r="J115" s="11" t="s">
        <v>3375</v>
      </c>
      <c r="K115" s="11" t="s">
        <v>452</v>
      </c>
      <c r="L115" s="10" t="s">
        <v>170</v>
      </c>
      <c r="M115" s="10" t="n">
        <v>81</v>
      </c>
      <c r="N115" s="10" t="n">
        <v>345</v>
      </c>
      <c r="O115" s="11" t="s">
        <v>2785</v>
      </c>
      <c r="P115" s="10" t="s">
        <v>3011</v>
      </c>
      <c r="Q115" s="11"/>
      <c r="R115" s="11" t="s">
        <v>2991</v>
      </c>
      <c r="S115" s="11"/>
      <c r="T115" s="11"/>
      <c r="U115" s="10"/>
      <c r="V115" s="11"/>
      <c r="W115" s="10"/>
      <c r="X115" s="11"/>
      <c r="Y115" s="10" t="s">
        <v>2884</v>
      </c>
      <c r="Z115" s="10" t="s">
        <v>2886</v>
      </c>
      <c r="AA115" s="11" t="s">
        <v>3376</v>
      </c>
      <c r="AB115" s="11"/>
      <c r="AC115" s="10" t="s">
        <v>2995</v>
      </c>
    </row>
    <row r="116" customFormat="false" ht="30" hidden="false" customHeight="true" outlineLevel="0" collapsed="false">
      <c r="A116" s="12" t="s">
        <v>3377</v>
      </c>
      <c r="B116" s="12" t="s">
        <v>3378</v>
      </c>
      <c r="C116" s="12" t="s">
        <v>571</v>
      </c>
      <c r="D116" s="12" t="s">
        <v>2984</v>
      </c>
      <c r="E116" s="12" t="s">
        <v>1811</v>
      </c>
      <c r="F116" s="12" t="s">
        <v>1812</v>
      </c>
      <c r="G116" s="13" t="s">
        <v>3007</v>
      </c>
      <c r="H116" s="12" t="s">
        <v>2999</v>
      </c>
      <c r="I116" s="12" t="s">
        <v>2987</v>
      </c>
      <c r="J116" s="13" t="s">
        <v>3379</v>
      </c>
      <c r="K116" s="13" t="s">
        <v>441</v>
      </c>
      <c r="L116" s="12" t="s">
        <v>177</v>
      </c>
      <c r="M116" s="12" t="n">
        <v>83</v>
      </c>
      <c r="N116" s="12" t="n">
        <v>570</v>
      </c>
      <c r="O116" s="13" t="s">
        <v>3031</v>
      </c>
      <c r="P116" s="12" t="s">
        <v>2989</v>
      </c>
      <c r="Q116" s="13" t="s">
        <v>3380</v>
      </c>
      <c r="R116" s="13" t="s">
        <v>2991</v>
      </c>
      <c r="S116" s="13"/>
      <c r="T116" s="13"/>
      <c r="U116" s="12"/>
      <c r="V116" s="13"/>
      <c r="W116" s="12"/>
      <c r="X116" s="13"/>
      <c r="Y116" s="12" t="s">
        <v>2888</v>
      </c>
      <c r="Z116" s="12" t="s">
        <v>1509</v>
      </c>
      <c r="AA116" s="13" t="s">
        <v>3381</v>
      </c>
      <c r="AB116" s="13" t="s">
        <v>3382</v>
      </c>
      <c r="AC116" s="12" t="s">
        <v>3383</v>
      </c>
    </row>
    <row r="117" customFormat="false" ht="30" hidden="false" customHeight="true" outlineLevel="0" collapsed="false">
      <c r="A117" s="10" t="s">
        <v>3384</v>
      </c>
      <c r="B117" s="10" t="s">
        <v>3385</v>
      </c>
      <c r="C117" s="10" t="s">
        <v>571</v>
      </c>
      <c r="D117" s="10" t="s">
        <v>2984</v>
      </c>
      <c r="E117" s="10" t="s">
        <v>2362</v>
      </c>
      <c r="F117" s="10" t="s">
        <v>2363</v>
      </c>
      <c r="G117" s="11" t="s">
        <v>3007</v>
      </c>
      <c r="H117" s="10" t="s">
        <v>3018</v>
      </c>
      <c r="I117" s="10" t="s">
        <v>2987</v>
      </c>
      <c r="J117" s="11" t="s">
        <v>3386</v>
      </c>
      <c r="K117" s="11" t="s">
        <v>452</v>
      </c>
      <c r="L117" s="10" t="s">
        <v>170</v>
      </c>
      <c r="M117" s="10" t="n">
        <v>84</v>
      </c>
      <c r="N117" s="10" t="n">
        <v>350</v>
      </c>
      <c r="O117" s="11" t="s">
        <v>2785</v>
      </c>
      <c r="P117" s="10" t="s">
        <v>3011</v>
      </c>
      <c r="Q117" s="11"/>
      <c r="R117" s="11" t="s">
        <v>2991</v>
      </c>
      <c r="S117" s="11"/>
      <c r="T117" s="11"/>
      <c r="U117" s="10"/>
      <c r="V117" s="11"/>
      <c r="W117" s="10"/>
      <c r="X117" s="11"/>
      <c r="Y117" s="10" t="s">
        <v>2884</v>
      </c>
      <c r="Z117" s="10" t="s">
        <v>2886</v>
      </c>
      <c r="AA117" s="11" t="s">
        <v>3019</v>
      </c>
      <c r="AB117" s="11"/>
      <c r="AC117" s="10" t="s">
        <v>2995</v>
      </c>
    </row>
    <row r="118" customFormat="false" ht="30" hidden="false" customHeight="true" outlineLevel="0" collapsed="false">
      <c r="A118" s="12" t="s">
        <v>3387</v>
      </c>
      <c r="B118" s="12" t="s">
        <v>3388</v>
      </c>
      <c r="C118" s="12" t="s">
        <v>571</v>
      </c>
      <c r="D118" s="12" t="s">
        <v>2984</v>
      </c>
      <c r="E118" s="12" t="s">
        <v>1813</v>
      </c>
      <c r="F118" s="12" t="s">
        <v>1814</v>
      </c>
      <c r="G118" s="13" t="s">
        <v>3092</v>
      </c>
      <c r="H118" s="12" t="s">
        <v>3049</v>
      </c>
      <c r="I118" s="12" t="s">
        <v>3023</v>
      </c>
      <c r="J118" s="13" t="s">
        <v>1259</v>
      </c>
      <c r="K118" s="13" t="s">
        <v>452</v>
      </c>
      <c r="L118" s="12" t="s">
        <v>170</v>
      </c>
      <c r="M118" s="12" t="n">
        <v>82</v>
      </c>
      <c r="N118" s="12" t="n">
        <v>315</v>
      </c>
      <c r="O118" s="13" t="s">
        <v>2785</v>
      </c>
      <c r="P118" s="12" t="s">
        <v>3011</v>
      </c>
      <c r="Q118" s="13"/>
      <c r="R118" s="13" t="s">
        <v>2991</v>
      </c>
      <c r="S118" s="13"/>
      <c r="T118" s="13"/>
      <c r="U118" s="12"/>
      <c r="V118" s="13"/>
      <c r="W118" s="12"/>
      <c r="X118" s="13"/>
      <c r="Y118" s="12" t="s">
        <v>2884</v>
      </c>
      <c r="Z118" s="12" t="s">
        <v>2886</v>
      </c>
      <c r="AA118" s="13" t="s">
        <v>3050</v>
      </c>
      <c r="AB118" s="13"/>
      <c r="AC118" s="12" t="s">
        <v>2995</v>
      </c>
    </row>
    <row r="119" customFormat="false" ht="30" hidden="false" customHeight="true" outlineLevel="0" collapsed="false">
      <c r="A119" s="10" t="s">
        <v>3389</v>
      </c>
      <c r="B119" s="10" t="s">
        <v>3390</v>
      </c>
      <c r="C119" s="10" t="s">
        <v>571</v>
      </c>
      <c r="D119" s="10" t="s">
        <v>2903</v>
      </c>
      <c r="E119" s="10" t="s">
        <v>2509</v>
      </c>
      <c r="F119" s="10" t="s">
        <v>2279</v>
      </c>
      <c r="G119" s="11" t="s">
        <v>3088</v>
      </c>
      <c r="H119" s="10" t="s">
        <v>2999</v>
      </c>
      <c r="I119" s="10" t="s">
        <v>2987</v>
      </c>
      <c r="J119" s="11" t="s">
        <v>3391</v>
      </c>
      <c r="K119" s="11" t="s">
        <v>423</v>
      </c>
      <c r="L119" s="10" t="s">
        <v>170</v>
      </c>
      <c r="M119" s="10" t="n">
        <v>86</v>
      </c>
      <c r="N119" s="10" t="n">
        <v>450</v>
      </c>
      <c r="O119" s="11" t="s">
        <v>2785</v>
      </c>
      <c r="P119" s="10" t="s">
        <v>3011</v>
      </c>
      <c r="Q119" s="11"/>
      <c r="R119" s="11" t="s">
        <v>2991</v>
      </c>
      <c r="S119" s="11"/>
      <c r="T119" s="11"/>
      <c r="U119" s="10"/>
      <c r="V119" s="11"/>
      <c r="W119" s="10"/>
      <c r="X119" s="11"/>
      <c r="Y119" s="10" t="s">
        <v>2884</v>
      </c>
      <c r="Z119" s="10" t="s">
        <v>2886</v>
      </c>
      <c r="AA119" s="11" t="s">
        <v>3004</v>
      </c>
      <c r="AB119" s="11"/>
      <c r="AC119" s="10" t="s">
        <v>3014</v>
      </c>
    </row>
    <row r="120" customFormat="false" ht="30" hidden="false" customHeight="true" outlineLevel="0" collapsed="false">
      <c r="A120" s="12" t="s">
        <v>3392</v>
      </c>
      <c r="B120" s="12" t="s">
        <v>3393</v>
      </c>
      <c r="C120" s="12" t="s">
        <v>571</v>
      </c>
      <c r="D120" s="12" t="s">
        <v>2903</v>
      </c>
      <c r="E120" s="12" t="s">
        <v>2405</v>
      </c>
      <c r="F120" s="12" t="s">
        <v>2406</v>
      </c>
      <c r="G120" s="13" t="s">
        <v>2985</v>
      </c>
      <c r="H120" s="12" t="s">
        <v>3100</v>
      </c>
      <c r="I120" s="12" t="s">
        <v>2987</v>
      </c>
      <c r="J120" s="13" t="s">
        <v>3394</v>
      </c>
      <c r="K120" s="13" t="s">
        <v>414</v>
      </c>
      <c r="L120" s="12" t="s">
        <v>170</v>
      </c>
      <c r="M120" s="12" t="n">
        <v>88</v>
      </c>
      <c r="N120" s="12" t="n">
        <v>485</v>
      </c>
      <c r="O120" s="13" t="s">
        <v>3031</v>
      </c>
      <c r="P120" s="12" t="s">
        <v>3041</v>
      </c>
      <c r="Q120" s="13" t="s">
        <v>3237</v>
      </c>
      <c r="R120" s="13" t="s">
        <v>2991</v>
      </c>
      <c r="S120" s="13"/>
      <c r="T120" s="13" t="s">
        <v>3395</v>
      </c>
      <c r="U120" s="12"/>
      <c r="V120" s="13"/>
      <c r="W120" s="12" t="s">
        <v>3104</v>
      </c>
      <c r="X120" s="13"/>
      <c r="Y120" s="12" t="s">
        <v>2824</v>
      </c>
      <c r="Z120" s="12" t="s">
        <v>2892</v>
      </c>
      <c r="AA120" s="13" t="s">
        <v>3105</v>
      </c>
      <c r="AB120" s="13"/>
      <c r="AC120" s="12" t="s">
        <v>3014</v>
      </c>
    </row>
    <row r="121" customFormat="false" ht="30" hidden="false" customHeight="true" outlineLevel="0" collapsed="false">
      <c r="A121" s="10" t="s">
        <v>3396</v>
      </c>
      <c r="B121" s="10" t="s">
        <v>3111</v>
      </c>
      <c r="C121" s="10" t="s">
        <v>571</v>
      </c>
      <c r="D121" s="10" t="s">
        <v>2984</v>
      </c>
      <c r="E121" s="10" t="s">
        <v>1987</v>
      </c>
      <c r="F121" s="10" t="s">
        <v>1988</v>
      </c>
      <c r="G121" s="11" t="s">
        <v>3071</v>
      </c>
      <c r="H121" s="10" t="s">
        <v>3072</v>
      </c>
      <c r="I121" s="10" t="s">
        <v>3073</v>
      </c>
      <c r="J121" s="11" t="s">
        <v>1303</v>
      </c>
      <c r="K121" s="11" t="s">
        <v>452</v>
      </c>
      <c r="L121" s="10" t="s">
        <v>170</v>
      </c>
      <c r="M121" s="10" t="n">
        <v>83</v>
      </c>
      <c r="N121" s="10" t="n">
        <v>365</v>
      </c>
      <c r="O121" s="11" t="s">
        <v>2785</v>
      </c>
      <c r="P121" s="10" t="s">
        <v>3011</v>
      </c>
      <c r="Q121" s="11"/>
      <c r="R121" s="11" t="s">
        <v>2991</v>
      </c>
      <c r="S121" s="11"/>
      <c r="T121" s="11"/>
      <c r="U121" s="10"/>
      <c r="V121" s="11"/>
      <c r="W121" s="10"/>
      <c r="X121" s="11"/>
      <c r="Y121" s="10" t="s">
        <v>2884</v>
      </c>
      <c r="Z121" s="10" t="s">
        <v>2886</v>
      </c>
      <c r="AA121" s="11" t="s">
        <v>3074</v>
      </c>
      <c r="AB121" s="11"/>
      <c r="AC121" s="10" t="s">
        <v>2995</v>
      </c>
    </row>
    <row r="122" customFormat="false" ht="30" hidden="false" customHeight="true" outlineLevel="0" collapsed="false">
      <c r="A122" s="12" t="s">
        <v>3397</v>
      </c>
      <c r="B122" s="12" t="s">
        <v>3398</v>
      </c>
      <c r="C122" s="12" t="s">
        <v>571</v>
      </c>
      <c r="D122" s="12" t="s">
        <v>2984</v>
      </c>
      <c r="E122" s="12" t="s">
        <v>1845</v>
      </c>
      <c r="F122" s="12" t="s">
        <v>1846</v>
      </c>
      <c r="G122" s="13" t="s">
        <v>3084</v>
      </c>
      <c r="H122" s="12" t="s">
        <v>3049</v>
      </c>
      <c r="I122" s="12" t="s">
        <v>3093</v>
      </c>
      <c r="J122" s="13" t="s">
        <v>3140</v>
      </c>
      <c r="K122" s="13" t="s">
        <v>452</v>
      </c>
      <c r="L122" s="12" t="s">
        <v>191</v>
      </c>
      <c r="M122" s="12" t="n">
        <v>46</v>
      </c>
      <c r="N122" s="12" t="n">
        <v>255</v>
      </c>
      <c r="O122" s="13" t="s">
        <v>3000</v>
      </c>
      <c r="P122" s="12" t="s">
        <v>2989</v>
      </c>
      <c r="Q122" s="13" t="s">
        <v>3025</v>
      </c>
      <c r="R122" s="13" t="s">
        <v>2991</v>
      </c>
      <c r="S122" s="13"/>
      <c r="T122" s="13" t="s">
        <v>3399</v>
      </c>
      <c r="U122" s="12"/>
      <c r="V122" s="13"/>
      <c r="W122" s="12"/>
      <c r="X122" s="13"/>
      <c r="Y122" s="12" t="s">
        <v>2888</v>
      </c>
      <c r="Z122" s="12" t="s">
        <v>1509</v>
      </c>
      <c r="AA122" s="13" t="s">
        <v>3400</v>
      </c>
      <c r="AB122" s="13"/>
      <c r="AC122" s="12" t="s">
        <v>2995</v>
      </c>
    </row>
    <row r="123" customFormat="false" ht="30" hidden="false" customHeight="true" outlineLevel="0" collapsed="false">
      <c r="A123" s="10" t="s">
        <v>3401</v>
      </c>
      <c r="B123" s="10" t="s">
        <v>3402</v>
      </c>
      <c r="C123" s="10" t="s">
        <v>571</v>
      </c>
      <c r="D123" s="10" t="s">
        <v>2984</v>
      </c>
      <c r="E123" s="10" t="s">
        <v>1996</v>
      </c>
      <c r="F123" s="10" t="s">
        <v>1997</v>
      </c>
      <c r="G123" s="11" t="s">
        <v>3058</v>
      </c>
      <c r="H123" s="10" t="s">
        <v>3072</v>
      </c>
      <c r="I123" s="10" t="s">
        <v>3073</v>
      </c>
      <c r="J123" s="11" t="s">
        <v>3403</v>
      </c>
      <c r="K123" s="11" t="s">
        <v>455</v>
      </c>
      <c r="L123" s="10" t="s">
        <v>177</v>
      </c>
      <c r="M123" s="10" t="n">
        <v>85</v>
      </c>
      <c r="N123" s="10" t="n">
        <v>545</v>
      </c>
      <c r="O123" s="11" t="s">
        <v>3031</v>
      </c>
      <c r="P123" s="10" t="s">
        <v>3011</v>
      </c>
      <c r="Q123" s="11" t="s">
        <v>2990</v>
      </c>
      <c r="R123" s="11" t="s">
        <v>2991</v>
      </c>
      <c r="S123" s="11"/>
      <c r="T123" s="11"/>
      <c r="U123" s="10"/>
      <c r="V123" s="11" t="s">
        <v>3404</v>
      </c>
      <c r="W123" s="10"/>
      <c r="X123" s="11"/>
      <c r="Y123" s="10" t="s">
        <v>2903</v>
      </c>
      <c r="Z123" s="10" t="s">
        <v>2904</v>
      </c>
      <c r="AA123" s="11" t="s">
        <v>3405</v>
      </c>
      <c r="AB123" s="11" t="s">
        <v>3406</v>
      </c>
      <c r="AC123" s="10" t="s">
        <v>3407</v>
      </c>
    </row>
    <row r="124" customFormat="false" ht="30" hidden="false" customHeight="true" outlineLevel="0" collapsed="false">
      <c r="A124" s="12" t="s">
        <v>3408</v>
      </c>
      <c r="B124" s="12" t="s">
        <v>3409</v>
      </c>
      <c r="C124" s="12" t="s">
        <v>571</v>
      </c>
      <c r="D124" s="12" t="s">
        <v>2903</v>
      </c>
      <c r="E124" s="12" t="s">
        <v>2410</v>
      </c>
      <c r="F124" s="12" t="s">
        <v>2411</v>
      </c>
      <c r="G124" s="13" t="s">
        <v>3077</v>
      </c>
      <c r="H124" s="12" t="s">
        <v>3008</v>
      </c>
      <c r="I124" s="12" t="s">
        <v>3009</v>
      </c>
      <c r="J124" s="13" t="s">
        <v>975</v>
      </c>
      <c r="K124" s="13" t="s">
        <v>438</v>
      </c>
      <c r="L124" s="12" t="s">
        <v>184</v>
      </c>
      <c r="M124" s="12" t="n">
        <v>64</v>
      </c>
      <c r="N124" s="12" t="n">
        <v>370</v>
      </c>
      <c r="O124" s="13" t="s">
        <v>2792</v>
      </c>
      <c r="P124" s="12" t="s">
        <v>3011</v>
      </c>
      <c r="Q124" s="13"/>
      <c r="R124" s="13" t="s">
        <v>3410</v>
      </c>
      <c r="S124" s="13"/>
      <c r="T124" s="13"/>
      <c r="U124" s="12"/>
      <c r="V124" s="13"/>
      <c r="W124" s="12"/>
      <c r="X124" s="13"/>
      <c r="Y124" s="12" t="s">
        <v>2900</v>
      </c>
      <c r="Z124" s="12" t="s">
        <v>1509</v>
      </c>
      <c r="AA124" s="13" t="s">
        <v>3411</v>
      </c>
      <c r="AB124" s="13"/>
      <c r="AC124" s="12" t="s">
        <v>3014</v>
      </c>
    </row>
    <row r="125" customFormat="false" ht="30" hidden="false" customHeight="true" outlineLevel="0" collapsed="false">
      <c r="A125" s="10" t="s">
        <v>3412</v>
      </c>
      <c r="B125" s="10" t="s">
        <v>3413</v>
      </c>
      <c r="C125" s="10" t="s">
        <v>571</v>
      </c>
      <c r="D125" s="10" t="s">
        <v>2903</v>
      </c>
      <c r="E125" s="10" t="s">
        <v>2497</v>
      </c>
      <c r="F125" s="10" t="s">
        <v>2498</v>
      </c>
      <c r="G125" s="11" t="s">
        <v>3029</v>
      </c>
      <c r="H125" s="10" t="s">
        <v>2999</v>
      </c>
      <c r="I125" s="10" t="s">
        <v>3009</v>
      </c>
      <c r="J125" s="11" t="s">
        <v>3414</v>
      </c>
      <c r="K125" s="11" t="s">
        <v>414</v>
      </c>
      <c r="L125" s="10" t="s">
        <v>177</v>
      </c>
      <c r="M125" s="10" t="n">
        <v>81</v>
      </c>
      <c r="N125" s="10" t="n">
        <v>560</v>
      </c>
      <c r="O125" s="11" t="s">
        <v>3031</v>
      </c>
      <c r="P125" s="10" t="s">
        <v>3011</v>
      </c>
      <c r="Q125" s="11" t="s">
        <v>2990</v>
      </c>
      <c r="R125" s="11" t="s">
        <v>2991</v>
      </c>
      <c r="S125" s="11"/>
      <c r="T125" s="11"/>
      <c r="U125" s="10"/>
      <c r="V125" s="11"/>
      <c r="W125" s="10"/>
      <c r="X125" s="11"/>
      <c r="Y125" s="10" t="s">
        <v>2888</v>
      </c>
      <c r="Z125" s="10" t="s">
        <v>1509</v>
      </c>
      <c r="AA125" s="11" t="s">
        <v>3004</v>
      </c>
      <c r="AB125" s="11"/>
      <c r="AC125" s="10" t="s">
        <v>3153</v>
      </c>
    </row>
    <row r="126" customFormat="false" ht="30" hidden="false" customHeight="true" outlineLevel="0" collapsed="false">
      <c r="A126" s="12" t="s">
        <v>3415</v>
      </c>
      <c r="B126" s="12" t="s">
        <v>3416</v>
      </c>
      <c r="C126" s="12" t="s">
        <v>571</v>
      </c>
      <c r="D126" s="12" t="s">
        <v>2903</v>
      </c>
      <c r="E126" s="12" t="s">
        <v>2536</v>
      </c>
      <c r="F126" s="12" t="s">
        <v>2537</v>
      </c>
      <c r="G126" s="13" t="s">
        <v>3039</v>
      </c>
      <c r="H126" s="12" t="s">
        <v>2999</v>
      </c>
      <c r="I126" s="12" t="s">
        <v>3009</v>
      </c>
      <c r="J126" s="13" t="s">
        <v>444</v>
      </c>
      <c r="K126" s="13" t="s">
        <v>441</v>
      </c>
      <c r="L126" s="12" t="s">
        <v>184</v>
      </c>
      <c r="M126" s="12" t="n">
        <v>87</v>
      </c>
      <c r="N126" s="12" t="n">
        <v>505</v>
      </c>
      <c r="O126" s="13" t="s">
        <v>2792</v>
      </c>
      <c r="P126" s="12" t="s">
        <v>2989</v>
      </c>
      <c r="Q126" s="13" t="s">
        <v>3067</v>
      </c>
      <c r="R126" s="13" t="s">
        <v>3201</v>
      </c>
      <c r="S126" s="13"/>
      <c r="T126" s="13"/>
      <c r="U126" s="12"/>
      <c r="V126" s="13" t="s">
        <v>3417</v>
      </c>
      <c r="W126" s="12"/>
      <c r="X126" s="13"/>
      <c r="Y126" s="12" t="s">
        <v>2900</v>
      </c>
      <c r="Z126" s="12" t="s">
        <v>1509</v>
      </c>
      <c r="AA126" s="13" t="s">
        <v>3418</v>
      </c>
      <c r="AB126" s="13" t="s">
        <v>3419</v>
      </c>
      <c r="AC126" s="12" t="s">
        <v>2995</v>
      </c>
    </row>
    <row r="127" customFormat="false" ht="30" hidden="false" customHeight="true" outlineLevel="0" collapsed="false">
      <c r="A127" s="10" t="s">
        <v>3420</v>
      </c>
      <c r="B127" s="10" t="s">
        <v>3421</v>
      </c>
      <c r="C127" s="10" t="s">
        <v>571</v>
      </c>
      <c r="D127" s="10" t="s">
        <v>2984</v>
      </c>
      <c r="E127" s="10" t="s">
        <v>1815</v>
      </c>
      <c r="F127" s="10" t="s">
        <v>1816</v>
      </c>
      <c r="G127" s="11" t="s">
        <v>3062</v>
      </c>
      <c r="H127" s="10" t="s">
        <v>3018</v>
      </c>
      <c r="I127" s="10" t="s">
        <v>2987</v>
      </c>
      <c r="J127" s="11" t="s">
        <v>1222</v>
      </c>
      <c r="K127" s="11" t="s">
        <v>433</v>
      </c>
      <c r="L127" s="10" t="s">
        <v>170</v>
      </c>
      <c r="M127" s="10" t="n">
        <v>80</v>
      </c>
      <c r="N127" s="10" t="n">
        <v>375</v>
      </c>
      <c r="O127" s="11" t="s">
        <v>3031</v>
      </c>
      <c r="P127" s="10" t="s">
        <v>3011</v>
      </c>
      <c r="Q127" s="11" t="s">
        <v>2990</v>
      </c>
      <c r="R127" s="11" t="s">
        <v>2991</v>
      </c>
      <c r="S127" s="11"/>
      <c r="T127" s="11"/>
      <c r="U127" s="10"/>
      <c r="V127" s="11" t="s">
        <v>3422</v>
      </c>
      <c r="W127" s="10"/>
      <c r="X127" s="11"/>
      <c r="Y127" s="10" t="s">
        <v>2888</v>
      </c>
      <c r="Z127" s="10" t="s">
        <v>1509</v>
      </c>
      <c r="AA127" s="11" t="s">
        <v>3019</v>
      </c>
      <c r="AB127" s="11"/>
      <c r="AC127" s="10" t="s">
        <v>2995</v>
      </c>
    </row>
    <row r="128" customFormat="false" ht="30" hidden="false" customHeight="true" outlineLevel="0" collapsed="false">
      <c r="A128" s="12" t="s">
        <v>3423</v>
      </c>
      <c r="B128" s="12" t="s">
        <v>3424</v>
      </c>
      <c r="C128" s="12" t="s">
        <v>571</v>
      </c>
      <c r="D128" s="12" t="s">
        <v>2984</v>
      </c>
      <c r="E128" s="12" t="s">
        <v>1817</v>
      </c>
      <c r="F128" s="12" t="s">
        <v>1818</v>
      </c>
      <c r="G128" s="13" t="s">
        <v>3048</v>
      </c>
      <c r="H128" s="12" t="s">
        <v>3018</v>
      </c>
      <c r="I128" s="12" t="s">
        <v>3023</v>
      </c>
      <c r="J128" s="13" t="s">
        <v>38</v>
      </c>
      <c r="K128" s="13" t="s">
        <v>38</v>
      </c>
      <c r="L128" s="12" t="s">
        <v>170</v>
      </c>
      <c r="M128" s="12" t="n">
        <v>78</v>
      </c>
      <c r="N128" s="12" t="n">
        <v>295</v>
      </c>
      <c r="O128" s="13" t="s">
        <v>2785</v>
      </c>
      <c r="P128" s="12" t="s">
        <v>3011</v>
      </c>
      <c r="Q128" s="13"/>
      <c r="R128" s="13" t="s">
        <v>2991</v>
      </c>
      <c r="S128" s="13"/>
      <c r="T128" s="13"/>
      <c r="U128" s="12"/>
      <c r="V128" s="13"/>
      <c r="W128" s="12"/>
      <c r="X128" s="13"/>
      <c r="Y128" s="12" t="s">
        <v>2884</v>
      </c>
      <c r="Z128" s="12" t="s">
        <v>2886</v>
      </c>
      <c r="AA128" s="13" t="s">
        <v>3019</v>
      </c>
      <c r="AB128" s="13"/>
      <c r="AC128" s="12" t="s">
        <v>2995</v>
      </c>
    </row>
    <row r="129" customFormat="false" ht="30" hidden="false" customHeight="true" outlineLevel="0" collapsed="false">
      <c r="A129" s="10" t="s">
        <v>3425</v>
      </c>
      <c r="B129" s="10" t="s">
        <v>3426</v>
      </c>
      <c r="C129" s="10" t="s">
        <v>571</v>
      </c>
      <c r="D129" s="10" t="s">
        <v>2903</v>
      </c>
      <c r="E129" s="10" t="s">
        <v>2501</v>
      </c>
      <c r="F129" s="10" t="s">
        <v>2502</v>
      </c>
      <c r="G129" s="11" t="s">
        <v>3007</v>
      </c>
      <c r="H129" s="10" t="s">
        <v>2999</v>
      </c>
      <c r="I129" s="10" t="s">
        <v>3073</v>
      </c>
      <c r="J129" s="11" t="s">
        <v>3427</v>
      </c>
      <c r="K129" s="11" t="s">
        <v>455</v>
      </c>
      <c r="L129" s="10" t="s">
        <v>170</v>
      </c>
      <c r="M129" s="10" t="n">
        <v>85</v>
      </c>
      <c r="N129" s="10" t="n">
        <v>465</v>
      </c>
      <c r="O129" s="11" t="s">
        <v>3031</v>
      </c>
      <c r="P129" s="10" t="s">
        <v>3011</v>
      </c>
      <c r="Q129" s="11" t="s">
        <v>2990</v>
      </c>
      <c r="R129" s="11" t="s">
        <v>2991</v>
      </c>
      <c r="S129" s="11"/>
      <c r="T129" s="11"/>
      <c r="U129" s="10"/>
      <c r="V129" s="11" t="s">
        <v>3428</v>
      </c>
      <c r="W129" s="10"/>
      <c r="X129" s="11"/>
      <c r="Y129" s="10" t="s">
        <v>2888</v>
      </c>
      <c r="Z129" s="10" t="s">
        <v>1509</v>
      </c>
      <c r="AA129" s="11" t="s">
        <v>3004</v>
      </c>
      <c r="AB129" s="11"/>
      <c r="AC129" s="10" t="s">
        <v>3106</v>
      </c>
    </row>
    <row r="130" customFormat="false" ht="30" hidden="false" customHeight="true" outlineLevel="0" collapsed="false">
      <c r="A130" s="12" t="s">
        <v>3429</v>
      </c>
      <c r="B130" s="12" t="s">
        <v>3430</v>
      </c>
      <c r="C130" s="12" t="s">
        <v>571</v>
      </c>
      <c r="D130" s="12" t="s">
        <v>2984</v>
      </c>
      <c r="E130" s="12" t="s">
        <v>2126</v>
      </c>
      <c r="F130" s="12" t="s">
        <v>2127</v>
      </c>
      <c r="G130" s="13" t="s">
        <v>3080</v>
      </c>
      <c r="H130" s="12" t="s">
        <v>2986</v>
      </c>
      <c r="I130" s="12" t="s">
        <v>3023</v>
      </c>
      <c r="J130" s="13" t="s">
        <v>1256</v>
      </c>
      <c r="K130" s="13" t="s">
        <v>452</v>
      </c>
      <c r="L130" s="12" t="s">
        <v>177</v>
      </c>
      <c r="M130" s="12" t="n">
        <v>74</v>
      </c>
      <c r="N130" s="12" t="n">
        <v>410</v>
      </c>
      <c r="O130" s="13" t="s">
        <v>3031</v>
      </c>
      <c r="P130" s="12" t="s">
        <v>3177</v>
      </c>
      <c r="Q130" s="13"/>
      <c r="R130" s="13" t="s">
        <v>2991</v>
      </c>
      <c r="S130" s="13"/>
      <c r="T130" s="13"/>
      <c r="U130" s="12"/>
      <c r="V130" s="13"/>
      <c r="W130" s="12" t="s">
        <v>3431</v>
      </c>
      <c r="X130" s="13"/>
      <c r="Y130" s="12" t="s">
        <v>2897</v>
      </c>
      <c r="Z130" s="12" t="s">
        <v>2898</v>
      </c>
      <c r="AA130" s="13" t="s">
        <v>2994</v>
      </c>
      <c r="AB130" s="13"/>
      <c r="AC130" s="12" t="s">
        <v>2995</v>
      </c>
    </row>
    <row r="131" customFormat="false" ht="30" hidden="false" customHeight="true" outlineLevel="0" collapsed="false">
      <c r="A131" s="10" t="s">
        <v>3432</v>
      </c>
      <c r="B131" s="10" t="s">
        <v>3433</v>
      </c>
      <c r="C131" s="10" t="s">
        <v>571</v>
      </c>
      <c r="D131" s="10" t="s">
        <v>2903</v>
      </c>
      <c r="E131" s="10" t="s">
        <v>2505</v>
      </c>
      <c r="F131" s="10" t="s">
        <v>2506</v>
      </c>
      <c r="G131" s="11" t="s">
        <v>3088</v>
      </c>
      <c r="H131" s="10" t="s">
        <v>3008</v>
      </c>
      <c r="I131" s="10" t="s">
        <v>3009</v>
      </c>
      <c r="J131" s="11" t="s">
        <v>1057</v>
      </c>
      <c r="K131" s="11" t="s">
        <v>438</v>
      </c>
      <c r="L131" s="10" t="s">
        <v>170</v>
      </c>
      <c r="M131" s="10" t="n">
        <v>82</v>
      </c>
      <c r="N131" s="10" t="n">
        <v>340</v>
      </c>
      <c r="O131" s="11" t="s">
        <v>2785</v>
      </c>
      <c r="P131" s="10" t="s">
        <v>3011</v>
      </c>
      <c r="Q131" s="11"/>
      <c r="R131" s="11" t="s">
        <v>2991</v>
      </c>
      <c r="S131" s="11"/>
      <c r="T131" s="11"/>
      <c r="U131" s="10"/>
      <c r="V131" s="11"/>
      <c r="W131" s="10"/>
      <c r="X131" s="11"/>
      <c r="Y131" s="10" t="s">
        <v>2884</v>
      </c>
      <c r="Z131" s="10" t="s">
        <v>2886</v>
      </c>
      <c r="AA131" s="11" t="s">
        <v>3013</v>
      </c>
      <c r="AB131" s="11"/>
      <c r="AC131" s="10" t="s">
        <v>3106</v>
      </c>
    </row>
    <row r="132" customFormat="false" ht="30" hidden="false" customHeight="true" outlineLevel="0" collapsed="false">
      <c r="A132" s="12" t="s">
        <v>3434</v>
      </c>
      <c r="B132" s="12" t="s">
        <v>3435</v>
      </c>
      <c r="C132" s="12" t="s">
        <v>571</v>
      </c>
      <c r="D132" s="12" t="s">
        <v>2984</v>
      </c>
      <c r="E132" s="12" t="s">
        <v>1819</v>
      </c>
      <c r="F132" s="12" t="s">
        <v>1820</v>
      </c>
      <c r="G132" s="13" t="s">
        <v>3112</v>
      </c>
      <c r="H132" s="12" t="s">
        <v>3018</v>
      </c>
      <c r="I132" s="12" t="s">
        <v>3093</v>
      </c>
      <c r="J132" s="13" t="s">
        <v>1283</v>
      </c>
      <c r="K132" s="13" t="s">
        <v>433</v>
      </c>
      <c r="L132" s="12" t="s">
        <v>177</v>
      </c>
      <c r="M132" s="12" t="n">
        <v>57</v>
      </c>
      <c r="N132" s="12" t="n">
        <v>630</v>
      </c>
      <c r="O132" s="13" t="s">
        <v>3024</v>
      </c>
      <c r="P132" s="12" t="s">
        <v>2989</v>
      </c>
      <c r="Q132" s="13"/>
      <c r="R132" s="13" t="s">
        <v>2991</v>
      </c>
      <c r="S132" s="13"/>
      <c r="T132" s="13"/>
      <c r="U132" s="12"/>
      <c r="V132" s="13"/>
      <c r="W132" s="12"/>
      <c r="X132" s="13"/>
      <c r="Y132" s="12" t="s">
        <v>2888</v>
      </c>
      <c r="Z132" s="12" t="s">
        <v>1509</v>
      </c>
      <c r="AA132" s="13" t="s">
        <v>3019</v>
      </c>
      <c r="AB132" s="13"/>
      <c r="AC132" s="12" t="s">
        <v>2995</v>
      </c>
    </row>
    <row r="133" customFormat="false" ht="30" hidden="false" customHeight="true" outlineLevel="0" collapsed="false">
      <c r="A133" s="10" t="s">
        <v>3436</v>
      </c>
      <c r="B133" s="10" t="s">
        <v>3437</v>
      </c>
      <c r="C133" s="10" t="s">
        <v>571</v>
      </c>
      <c r="D133" s="10" t="s">
        <v>2984</v>
      </c>
      <c r="E133" s="10" t="s">
        <v>1821</v>
      </c>
      <c r="F133" s="10" t="s">
        <v>1822</v>
      </c>
      <c r="G133" s="11" t="s">
        <v>3092</v>
      </c>
      <c r="H133" s="10" t="s">
        <v>3018</v>
      </c>
      <c r="I133" s="10" t="s">
        <v>2987</v>
      </c>
      <c r="J133" s="11" t="s">
        <v>1219</v>
      </c>
      <c r="K133" s="11" t="s">
        <v>452</v>
      </c>
      <c r="L133" s="10" t="s">
        <v>170</v>
      </c>
      <c r="M133" s="10" t="n">
        <v>81</v>
      </c>
      <c r="N133" s="10" t="n">
        <v>325</v>
      </c>
      <c r="O133" s="11" t="s">
        <v>3031</v>
      </c>
      <c r="P133" s="10" t="s">
        <v>3011</v>
      </c>
      <c r="Q133" s="11"/>
      <c r="R133" s="11" t="s">
        <v>2991</v>
      </c>
      <c r="S133" s="11"/>
      <c r="T133" s="11"/>
      <c r="U133" s="10"/>
      <c r="V133" s="11"/>
      <c r="W133" s="10"/>
      <c r="X133" s="11"/>
      <c r="Y133" s="10" t="s">
        <v>2884</v>
      </c>
      <c r="Z133" s="10" t="s">
        <v>2886</v>
      </c>
      <c r="AA133" s="11" t="s">
        <v>3019</v>
      </c>
      <c r="AB133" s="11"/>
      <c r="AC133" s="10" t="s">
        <v>2995</v>
      </c>
    </row>
    <row r="134" customFormat="false" ht="30" hidden="false" customHeight="true" outlineLevel="0" collapsed="false">
      <c r="A134" s="12" t="s">
        <v>3438</v>
      </c>
      <c r="B134" s="12" t="s">
        <v>3439</v>
      </c>
      <c r="C134" s="12" t="s">
        <v>571</v>
      </c>
      <c r="D134" s="12" t="s">
        <v>2984</v>
      </c>
      <c r="E134" s="12" t="s">
        <v>2042</v>
      </c>
      <c r="F134" s="12" t="s">
        <v>2043</v>
      </c>
      <c r="G134" s="13" t="s">
        <v>3065</v>
      </c>
      <c r="H134" s="12" t="s">
        <v>3018</v>
      </c>
      <c r="I134" s="12" t="s">
        <v>3023</v>
      </c>
      <c r="J134" s="13" t="s">
        <v>1253</v>
      </c>
      <c r="K134" s="13" t="s">
        <v>452</v>
      </c>
      <c r="L134" s="12" t="s">
        <v>177</v>
      </c>
      <c r="M134" s="12" t="n">
        <v>55</v>
      </c>
      <c r="N134" s="12" t="n">
        <v>665</v>
      </c>
      <c r="O134" s="13" t="s">
        <v>3024</v>
      </c>
      <c r="P134" s="12" t="s">
        <v>2989</v>
      </c>
      <c r="Q134" s="13" t="s">
        <v>3025</v>
      </c>
      <c r="R134" s="13" t="s">
        <v>2991</v>
      </c>
      <c r="S134" s="13"/>
      <c r="T134" s="13"/>
      <c r="U134" s="12"/>
      <c r="V134" s="13"/>
      <c r="W134" s="12" t="s">
        <v>3440</v>
      </c>
      <c r="X134" s="13"/>
      <c r="Y134" s="12" t="s">
        <v>2888</v>
      </c>
      <c r="Z134" s="12" t="s">
        <v>1509</v>
      </c>
      <c r="AA134" s="13" t="s">
        <v>3019</v>
      </c>
      <c r="AB134" s="13"/>
      <c r="AC134" s="12" t="s">
        <v>2995</v>
      </c>
    </row>
    <row r="135" customFormat="false" ht="30" hidden="false" customHeight="true" outlineLevel="0" collapsed="false">
      <c r="A135" s="10" t="s">
        <v>3441</v>
      </c>
      <c r="B135" s="10" t="s">
        <v>3442</v>
      </c>
      <c r="C135" s="10" t="s">
        <v>571</v>
      </c>
      <c r="D135" s="10" t="s">
        <v>2984</v>
      </c>
      <c r="E135" s="10" t="s">
        <v>2090</v>
      </c>
      <c r="F135" s="10" t="s">
        <v>2091</v>
      </c>
      <c r="G135" s="11" t="s">
        <v>2985</v>
      </c>
      <c r="H135" s="10" t="s">
        <v>3018</v>
      </c>
      <c r="I135" s="10" t="s">
        <v>3023</v>
      </c>
      <c r="J135" s="11" t="s">
        <v>38</v>
      </c>
      <c r="K135" s="11" t="s">
        <v>452</v>
      </c>
      <c r="L135" s="10" t="s">
        <v>184</v>
      </c>
      <c r="M135" s="10" t="n">
        <v>89</v>
      </c>
      <c r="N135" s="10" t="n">
        <v>520</v>
      </c>
      <c r="O135" s="11" t="s">
        <v>2792</v>
      </c>
      <c r="P135" s="10" t="s">
        <v>2989</v>
      </c>
      <c r="Q135" s="11" t="s">
        <v>3443</v>
      </c>
      <c r="R135" s="11" t="s">
        <v>3444</v>
      </c>
      <c r="S135" s="11"/>
      <c r="T135" s="11"/>
      <c r="U135" s="10"/>
      <c r="V135" s="11"/>
      <c r="W135" s="10" t="s">
        <v>3445</v>
      </c>
      <c r="X135" s="11"/>
      <c r="Y135" s="10" t="s">
        <v>2888</v>
      </c>
      <c r="Z135" s="10" t="s">
        <v>1509</v>
      </c>
      <c r="AA135" s="11" t="s">
        <v>3019</v>
      </c>
      <c r="AB135" s="11"/>
      <c r="AC135" s="10" t="s">
        <v>2995</v>
      </c>
    </row>
    <row r="136" customFormat="false" ht="30" hidden="false" customHeight="true" outlineLevel="0" collapsed="false">
      <c r="A136" s="12" t="s">
        <v>3446</v>
      </c>
      <c r="B136" s="12" t="s">
        <v>3447</v>
      </c>
      <c r="C136" s="12" t="s">
        <v>571</v>
      </c>
      <c r="D136" s="12" t="s">
        <v>2903</v>
      </c>
      <c r="E136" s="12" t="s">
        <v>2390</v>
      </c>
      <c r="F136" s="12" t="s">
        <v>2391</v>
      </c>
      <c r="G136" s="13" t="s">
        <v>3071</v>
      </c>
      <c r="H136" s="12" t="s">
        <v>2999</v>
      </c>
      <c r="I136" s="12" t="s">
        <v>3009</v>
      </c>
      <c r="J136" s="13" t="s">
        <v>3448</v>
      </c>
      <c r="K136" s="13" t="s">
        <v>455</v>
      </c>
      <c r="L136" s="12" t="s">
        <v>170</v>
      </c>
      <c r="M136" s="12" t="n">
        <v>83</v>
      </c>
      <c r="N136" s="12" t="n">
        <v>365</v>
      </c>
      <c r="O136" s="13" t="s">
        <v>2785</v>
      </c>
      <c r="P136" s="12" t="s">
        <v>3011</v>
      </c>
      <c r="Q136" s="13"/>
      <c r="R136" s="13" t="s">
        <v>2991</v>
      </c>
      <c r="S136" s="13"/>
      <c r="T136" s="13"/>
      <c r="U136" s="12"/>
      <c r="V136" s="13"/>
      <c r="W136" s="12"/>
      <c r="X136" s="13"/>
      <c r="Y136" s="12" t="s">
        <v>2884</v>
      </c>
      <c r="Z136" s="12" t="s">
        <v>2886</v>
      </c>
      <c r="AA136" s="13" t="s">
        <v>3004</v>
      </c>
      <c r="AB136" s="13"/>
      <c r="AC136" s="12" t="s">
        <v>3014</v>
      </c>
    </row>
    <row r="137" customFormat="false" ht="30" hidden="false" customHeight="true" outlineLevel="0" collapsed="false">
      <c r="A137" s="10" t="s">
        <v>3449</v>
      </c>
      <c r="B137" s="10" t="s">
        <v>3450</v>
      </c>
      <c r="C137" s="10" t="s">
        <v>571</v>
      </c>
      <c r="D137" s="10" t="s">
        <v>2984</v>
      </c>
      <c r="E137" s="10" t="s">
        <v>1847</v>
      </c>
      <c r="F137" s="10" t="s">
        <v>1848</v>
      </c>
      <c r="G137" s="11" t="s">
        <v>3039</v>
      </c>
      <c r="H137" s="10" t="s">
        <v>2999</v>
      </c>
      <c r="I137" s="10" t="s">
        <v>3023</v>
      </c>
      <c r="J137" s="11" t="s">
        <v>1003</v>
      </c>
      <c r="K137" s="11" t="s">
        <v>441</v>
      </c>
      <c r="L137" s="10" t="s">
        <v>184</v>
      </c>
      <c r="M137" s="10" t="n">
        <v>86</v>
      </c>
      <c r="N137" s="10" t="n">
        <v>475</v>
      </c>
      <c r="O137" s="11" t="s">
        <v>2792</v>
      </c>
      <c r="P137" s="10" t="s">
        <v>2989</v>
      </c>
      <c r="Q137" s="11" t="s">
        <v>3067</v>
      </c>
      <c r="R137" s="11" t="s">
        <v>3201</v>
      </c>
      <c r="S137" s="11"/>
      <c r="T137" s="11"/>
      <c r="U137" s="10"/>
      <c r="V137" s="11"/>
      <c r="W137" s="10"/>
      <c r="X137" s="11"/>
      <c r="Y137" s="10" t="s">
        <v>2888</v>
      </c>
      <c r="Z137" s="10" t="s">
        <v>1509</v>
      </c>
      <c r="AA137" s="11" t="s">
        <v>3004</v>
      </c>
      <c r="AB137" s="11"/>
      <c r="AC137" s="10" t="s">
        <v>2995</v>
      </c>
    </row>
    <row r="138" customFormat="false" ht="30" hidden="false" customHeight="true" outlineLevel="0" collapsed="false">
      <c r="A138" s="12" t="s">
        <v>3451</v>
      </c>
      <c r="B138" s="12" t="s">
        <v>3452</v>
      </c>
      <c r="C138" s="12" t="s">
        <v>571</v>
      </c>
      <c r="D138" s="12" t="s">
        <v>2984</v>
      </c>
      <c r="E138" s="12" t="s">
        <v>1849</v>
      </c>
      <c r="F138" s="12" t="s">
        <v>1850</v>
      </c>
      <c r="G138" s="13" t="s">
        <v>3058</v>
      </c>
      <c r="H138" s="12" t="s">
        <v>3018</v>
      </c>
      <c r="I138" s="12" t="s">
        <v>2987</v>
      </c>
      <c r="J138" s="13" t="s">
        <v>3250</v>
      </c>
      <c r="K138" s="13" t="s">
        <v>418</v>
      </c>
      <c r="L138" s="12" t="s">
        <v>170</v>
      </c>
      <c r="M138" s="12" t="n">
        <v>84</v>
      </c>
      <c r="N138" s="12" t="n">
        <v>345</v>
      </c>
      <c r="O138" s="13" t="s">
        <v>2785</v>
      </c>
      <c r="P138" s="12" t="s">
        <v>2989</v>
      </c>
      <c r="Q138" s="13" t="s">
        <v>2990</v>
      </c>
      <c r="R138" s="13" t="s">
        <v>2991</v>
      </c>
      <c r="S138" s="13"/>
      <c r="T138" s="13"/>
      <c r="U138" s="12"/>
      <c r="V138" s="13"/>
      <c r="W138" s="12" t="s">
        <v>3044</v>
      </c>
      <c r="X138" s="13"/>
      <c r="Y138" s="12" t="s">
        <v>2888</v>
      </c>
      <c r="Z138" s="12" t="s">
        <v>1509</v>
      </c>
      <c r="AA138" s="13" t="s">
        <v>3019</v>
      </c>
      <c r="AB138" s="13"/>
      <c r="AC138" s="12" t="s">
        <v>2995</v>
      </c>
    </row>
    <row r="139" customFormat="false" ht="30" hidden="false" customHeight="true" outlineLevel="0" collapsed="false">
      <c r="A139" s="10" t="s">
        <v>3453</v>
      </c>
      <c r="B139" s="10" t="s">
        <v>3454</v>
      </c>
      <c r="C139" s="10" t="s">
        <v>571</v>
      </c>
      <c r="D139" s="10" t="s">
        <v>2903</v>
      </c>
      <c r="E139" s="10" t="s">
        <v>2394</v>
      </c>
      <c r="F139" s="10" t="s">
        <v>2395</v>
      </c>
      <c r="G139" s="11" t="s">
        <v>3029</v>
      </c>
      <c r="H139" s="10" t="s">
        <v>2986</v>
      </c>
      <c r="I139" s="10" t="s">
        <v>2987</v>
      </c>
      <c r="J139" s="11" t="s">
        <v>1193</v>
      </c>
      <c r="K139" s="11" t="s">
        <v>433</v>
      </c>
      <c r="L139" s="10" t="s">
        <v>177</v>
      </c>
      <c r="M139" s="10" t="n">
        <v>79</v>
      </c>
      <c r="N139" s="10" t="n">
        <v>435</v>
      </c>
      <c r="O139" s="11" t="s">
        <v>3031</v>
      </c>
      <c r="P139" s="10" t="s">
        <v>3097</v>
      </c>
      <c r="Q139" s="11"/>
      <c r="R139" s="11" t="s">
        <v>2991</v>
      </c>
      <c r="S139" s="11"/>
      <c r="T139" s="11"/>
      <c r="U139" s="10"/>
      <c r="V139" s="11"/>
      <c r="W139" s="10"/>
      <c r="X139" s="11"/>
      <c r="Y139" s="10" t="s">
        <v>2894</v>
      </c>
      <c r="Z139" s="10" t="s">
        <v>1554</v>
      </c>
      <c r="AA139" s="11" t="s">
        <v>3455</v>
      </c>
      <c r="AB139" s="11" t="s">
        <v>3456</v>
      </c>
      <c r="AC139" s="10" t="s">
        <v>2995</v>
      </c>
    </row>
    <row r="140" customFormat="false" ht="30" hidden="false" customHeight="true" outlineLevel="0" collapsed="false">
      <c r="A140" s="12" t="s">
        <v>3457</v>
      </c>
      <c r="B140" s="12" t="s">
        <v>3458</v>
      </c>
      <c r="C140" s="12" t="s">
        <v>571</v>
      </c>
      <c r="D140" s="12" t="s">
        <v>2984</v>
      </c>
      <c r="E140" s="12" t="s">
        <v>1851</v>
      </c>
      <c r="F140" s="12" t="s">
        <v>1852</v>
      </c>
      <c r="G140" s="13" t="s">
        <v>3080</v>
      </c>
      <c r="H140" s="12" t="s">
        <v>3018</v>
      </c>
      <c r="I140" s="12" t="s">
        <v>3093</v>
      </c>
      <c r="J140" s="13" t="s">
        <v>3094</v>
      </c>
      <c r="K140" s="13" t="s">
        <v>452</v>
      </c>
      <c r="L140" s="12" t="s">
        <v>177</v>
      </c>
      <c r="M140" s="12" t="n">
        <v>77</v>
      </c>
      <c r="N140" s="12" t="n">
        <v>390</v>
      </c>
      <c r="O140" s="13" t="s">
        <v>3031</v>
      </c>
      <c r="P140" s="12" t="s">
        <v>3011</v>
      </c>
      <c r="Q140" s="13"/>
      <c r="R140" s="13" t="s">
        <v>2991</v>
      </c>
      <c r="S140" s="13"/>
      <c r="T140" s="13"/>
      <c r="U140" s="12"/>
      <c r="V140" s="13"/>
      <c r="W140" s="12"/>
      <c r="X140" s="13"/>
      <c r="Y140" s="12" t="s">
        <v>2884</v>
      </c>
      <c r="Z140" s="12" t="s">
        <v>2886</v>
      </c>
      <c r="AA140" s="13" t="s">
        <v>3459</v>
      </c>
      <c r="AB140" s="13" t="s">
        <v>3460</v>
      </c>
      <c r="AC140" s="12" t="s">
        <v>2995</v>
      </c>
    </row>
    <row r="141" customFormat="false" ht="30" hidden="false" customHeight="true" outlineLevel="0" collapsed="false">
      <c r="A141" s="10" t="s">
        <v>3461</v>
      </c>
      <c r="B141" s="10" t="s">
        <v>3462</v>
      </c>
      <c r="C141" s="10" t="s">
        <v>571</v>
      </c>
      <c r="D141" s="10" t="s">
        <v>2984</v>
      </c>
      <c r="E141" s="10" t="s">
        <v>1873</v>
      </c>
      <c r="F141" s="10" t="s">
        <v>1874</v>
      </c>
      <c r="G141" s="11" t="s">
        <v>3065</v>
      </c>
      <c r="H141" s="10" t="s">
        <v>3018</v>
      </c>
      <c r="I141" s="10" t="s">
        <v>3023</v>
      </c>
      <c r="J141" s="11" t="s">
        <v>1249</v>
      </c>
      <c r="K141" s="11" t="s">
        <v>452</v>
      </c>
      <c r="L141" s="10" t="s">
        <v>191</v>
      </c>
      <c r="M141" s="10" t="n">
        <v>50</v>
      </c>
      <c r="N141" s="10" t="n">
        <v>650</v>
      </c>
      <c r="O141" s="11" t="s">
        <v>3024</v>
      </c>
      <c r="P141" s="10" t="s">
        <v>2989</v>
      </c>
      <c r="Q141" s="11"/>
      <c r="R141" s="11" t="s">
        <v>2991</v>
      </c>
      <c r="S141" s="11"/>
      <c r="T141" s="11"/>
      <c r="U141" s="10"/>
      <c r="V141" s="11"/>
      <c r="W141" s="10"/>
      <c r="X141" s="11"/>
      <c r="Y141" s="10" t="s">
        <v>2888</v>
      </c>
      <c r="Z141" s="10" t="s">
        <v>1509</v>
      </c>
      <c r="AA141" s="11" t="s">
        <v>3019</v>
      </c>
      <c r="AB141" s="11"/>
      <c r="AC141" s="10" t="s">
        <v>2995</v>
      </c>
    </row>
    <row r="142" customFormat="false" ht="30" hidden="false" customHeight="true" outlineLevel="0" collapsed="false">
      <c r="A142" s="12" t="s">
        <v>3463</v>
      </c>
      <c r="B142" s="12" t="s">
        <v>3464</v>
      </c>
      <c r="C142" s="12" t="s">
        <v>571</v>
      </c>
      <c r="D142" s="12" t="s">
        <v>2903</v>
      </c>
      <c r="E142" s="12" t="s">
        <v>2489</v>
      </c>
      <c r="F142" s="12" t="s">
        <v>2490</v>
      </c>
      <c r="G142" s="13" t="s">
        <v>3007</v>
      </c>
      <c r="H142" s="12" t="s">
        <v>2999</v>
      </c>
      <c r="I142" s="12" t="s">
        <v>3009</v>
      </c>
      <c r="J142" s="13" t="s">
        <v>3465</v>
      </c>
      <c r="K142" s="13" t="s">
        <v>445</v>
      </c>
      <c r="L142" s="12" t="s">
        <v>170</v>
      </c>
      <c r="M142" s="12" t="n">
        <v>87</v>
      </c>
      <c r="N142" s="12" t="n">
        <v>390</v>
      </c>
      <c r="O142" s="13" t="s">
        <v>2785</v>
      </c>
      <c r="P142" s="12" t="s">
        <v>3011</v>
      </c>
      <c r="Q142" s="13"/>
      <c r="R142" s="13" t="s">
        <v>2991</v>
      </c>
      <c r="S142" s="13"/>
      <c r="T142" s="13"/>
      <c r="U142" s="12" t="s">
        <v>3466</v>
      </c>
      <c r="V142" s="13"/>
      <c r="W142" s="12" t="s">
        <v>3351</v>
      </c>
      <c r="X142" s="13"/>
      <c r="Y142" s="12" t="s">
        <v>2884</v>
      </c>
      <c r="Z142" s="12" t="s">
        <v>2886</v>
      </c>
      <c r="AA142" s="13" t="s">
        <v>3004</v>
      </c>
      <c r="AB142" s="13"/>
      <c r="AC142" s="12" t="s">
        <v>3467</v>
      </c>
    </row>
    <row r="143" customFormat="false" ht="30" hidden="false" customHeight="true" outlineLevel="0" collapsed="false">
      <c r="A143" s="10" t="s">
        <v>3468</v>
      </c>
      <c r="B143" s="10" t="s">
        <v>3469</v>
      </c>
      <c r="C143" s="10" t="s">
        <v>571</v>
      </c>
      <c r="D143" s="10" t="s">
        <v>2903</v>
      </c>
      <c r="E143" s="10" t="s">
        <v>2532</v>
      </c>
      <c r="F143" s="10" t="s">
        <v>2533</v>
      </c>
      <c r="G143" s="11" t="s">
        <v>3029</v>
      </c>
      <c r="H143" s="10" t="s">
        <v>3008</v>
      </c>
      <c r="I143" s="10" t="s">
        <v>2987</v>
      </c>
      <c r="J143" s="11" t="s">
        <v>3117</v>
      </c>
      <c r="K143" s="11" t="s">
        <v>438</v>
      </c>
      <c r="L143" s="10" t="s">
        <v>177</v>
      </c>
      <c r="M143" s="10" t="n">
        <v>80</v>
      </c>
      <c r="N143" s="10" t="n">
        <v>440</v>
      </c>
      <c r="O143" s="11" t="s">
        <v>3031</v>
      </c>
      <c r="P143" s="10" t="s">
        <v>2989</v>
      </c>
      <c r="Q143" s="11" t="s">
        <v>3118</v>
      </c>
      <c r="R143" s="11" t="s">
        <v>2991</v>
      </c>
      <c r="S143" s="11"/>
      <c r="T143" s="11" t="s">
        <v>3119</v>
      </c>
      <c r="U143" s="10"/>
      <c r="V143" s="11"/>
      <c r="W143" s="10"/>
      <c r="X143" s="11"/>
      <c r="Y143" s="10" t="s">
        <v>2888</v>
      </c>
      <c r="Z143" s="10" t="s">
        <v>1509</v>
      </c>
      <c r="AA143" s="11" t="s">
        <v>3013</v>
      </c>
      <c r="AB143" s="11"/>
      <c r="AC143" s="10" t="s">
        <v>3014</v>
      </c>
    </row>
    <row r="144" customFormat="false" ht="30" hidden="false" customHeight="true" outlineLevel="0" collapsed="false">
      <c r="A144" s="12" t="s">
        <v>3470</v>
      </c>
      <c r="B144" s="12" t="s">
        <v>3471</v>
      </c>
      <c r="C144" s="12" t="s">
        <v>571</v>
      </c>
      <c r="D144" s="12" t="s">
        <v>2903</v>
      </c>
      <c r="E144" s="12" t="s">
        <v>2485</v>
      </c>
      <c r="F144" s="12" t="s">
        <v>2486</v>
      </c>
      <c r="G144" s="13" t="s">
        <v>3080</v>
      </c>
      <c r="H144" s="12" t="s">
        <v>3072</v>
      </c>
      <c r="I144" s="12" t="s">
        <v>3073</v>
      </c>
      <c r="J144" s="13" t="s">
        <v>3472</v>
      </c>
      <c r="K144" s="13" t="s">
        <v>445</v>
      </c>
      <c r="L144" s="12" t="s">
        <v>177</v>
      </c>
      <c r="M144" s="12" t="n">
        <v>77</v>
      </c>
      <c r="N144" s="12" t="n">
        <v>405</v>
      </c>
      <c r="O144" s="13" t="s">
        <v>3031</v>
      </c>
      <c r="P144" s="12" t="s">
        <v>3011</v>
      </c>
      <c r="Q144" s="13"/>
      <c r="R144" s="13" t="s">
        <v>2991</v>
      </c>
      <c r="S144" s="13"/>
      <c r="T144" s="13"/>
      <c r="U144" s="12"/>
      <c r="V144" s="13"/>
      <c r="W144" s="12"/>
      <c r="X144" s="13"/>
      <c r="Y144" s="12" t="s">
        <v>2884</v>
      </c>
      <c r="Z144" s="12" t="s">
        <v>2886</v>
      </c>
      <c r="AA144" s="13" t="s">
        <v>3074</v>
      </c>
      <c r="AB144" s="13"/>
      <c r="AC144" s="12" t="s">
        <v>3014</v>
      </c>
    </row>
    <row r="145" customFormat="false" ht="30" hidden="false" customHeight="true" outlineLevel="0" collapsed="false">
      <c r="A145" s="10" t="s">
        <v>3473</v>
      </c>
      <c r="B145" s="10" t="s">
        <v>3191</v>
      </c>
      <c r="C145" s="10" t="s">
        <v>571</v>
      </c>
      <c r="D145" s="10" t="s">
        <v>2984</v>
      </c>
      <c r="E145" s="10" t="s">
        <v>1806</v>
      </c>
      <c r="F145" s="10" t="s">
        <v>1807</v>
      </c>
      <c r="G145" s="11" t="s">
        <v>3062</v>
      </c>
      <c r="H145" s="10" t="s">
        <v>2986</v>
      </c>
      <c r="I145" s="10" t="s">
        <v>3093</v>
      </c>
      <c r="J145" s="11" t="s">
        <v>3474</v>
      </c>
      <c r="K145" s="11" t="s">
        <v>433</v>
      </c>
      <c r="L145" s="10" t="s">
        <v>170</v>
      </c>
      <c r="M145" s="10" t="n">
        <v>80</v>
      </c>
      <c r="N145" s="10" t="n">
        <v>355</v>
      </c>
      <c r="O145" s="11" t="s">
        <v>2785</v>
      </c>
      <c r="P145" s="10" t="s">
        <v>2989</v>
      </c>
      <c r="Q145" s="11" t="s">
        <v>2990</v>
      </c>
      <c r="R145" s="11" t="s">
        <v>2991</v>
      </c>
      <c r="S145" s="11"/>
      <c r="T145" s="11"/>
      <c r="U145" s="10"/>
      <c r="V145" s="11" t="s">
        <v>3475</v>
      </c>
      <c r="W145" s="10"/>
      <c r="X145" s="11"/>
      <c r="Y145" s="10" t="s">
        <v>2888</v>
      </c>
      <c r="Z145" s="10" t="s">
        <v>1509</v>
      </c>
      <c r="AA145" s="11" t="s">
        <v>3476</v>
      </c>
      <c r="AB145" s="11" t="s">
        <v>3477</v>
      </c>
      <c r="AC145" s="10" t="s">
        <v>2995</v>
      </c>
    </row>
    <row r="146" customFormat="false" ht="30" hidden="false" customHeight="true" outlineLevel="0" collapsed="false">
      <c r="A146" s="12" t="s">
        <v>3478</v>
      </c>
      <c r="B146" s="12" t="s">
        <v>3479</v>
      </c>
      <c r="C146" s="12" t="s">
        <v>571</v>
      </c>
      <c r="D146" s="12" t="s">
        <v>2984</v>
      </c>
      <c r="E146" s="12" t="s">
        <v>1877</v>
      </c>
      <c r="F146" s="12" t="s">
        <v>1878</v>
      </c>
      <c r="G146" s="13" t="s">
        <v>3048</v>
      </c>
      <c r="H146" s="12" t="s">
        <v>3049</v>
      </c>
      <c r="I146" s="12" t="s">
        <v>3023</v>
      </c>
      <c r="J146" s="13" t="s">
        <v>1259</v>
      </c>
      <c r="K146" s="13" t="s">
        <v>452</v>
      </c>
      <c r="L146" s="12" t="s">
        <v>170</v>
      </c>
      <c r="M146" s="12" t="n">
        <v>79</v>
      </c>
      <c r="N146" s="12" t="n">
        <v>310</v>
      </c>
      <c r="O146" s="13" t="s">
        <v>2785</v>
      </c>
      <c r="P146" s="12" t="s">
        <v>3011</v>
      </c>
      <c r="Q146" s="13"/>
      <c r="R146" s="13" t="s">
        <v>2991</v>
      </c>
      <c r="S146" s="13"/>
      <c r="T146" s="13"/>
      <c r="U146" s="12"/>
      <c r="V146" s="13"/>
      <c r="W146" s="12"/>
      <c r="X146" s="13"/>
      <c r="Y146" s="12" t="s">
        <v>2884</v>
      </c>
      <c r="Z146" s="12" t="s">
        <v>2886</v>
      </c>
      <c r="AA146" s="13" t="s">
        <v>3050</v>
      </c>
      <c r="AB146" s="13"/>
      <c r="AC146" s="12" t="s">
        <v>2995</v>
      </c>
    </row>
    <row r="147" customFormat="false" ht="30" hidden="false" customHeight="true" outlineLevel="0" collapsed="false">
      <c r="A147" s="10" t="s">
        <v>3480</v>
      </c>
      <c r="B147" s="10" t="s">
        <v>3481</v>
      </c>
      <c r="C147" s="10" t="s">
        <v>571</v>
      </c>
      <c r="D147" s="10" t="s">
        <v>2984</v>
      </c>
      <c r="E147" s="10" t="s">
        <v>2368</v>
      </c>
      <c r="F147" s="10" t="s">
        <v>2369</v>
      </c>
      <c r="G147" s="11" t="s">
        <v>3022</v>
      </c>
      <c r="H147" s="10" t="s">
        <v>3049</v>
      </c>
      <c r="I147" s="10" t="s">
        <v>3023</v>
      </c>
      <c r="J147" s="11" t="s">
        <v>1259</v>
      </c>
      <c r="K147" s="11" t="s">
        <v>452</v>
      </c>
      <c r="L147" s="10" t="s">
        <v>191</v>
      </c>
      <c r="M147" s="10" t="n">
        <v>54</v>
      </c>
      <c r="N147" s="10" t="n">
        <v>605</v>
      </c>
      <c r="O147" s="11" t="s">
        <v>3024</v>
      </c>
      <c r="P147" s="10" t="s">
        <v>3177</v>
      </c>
      <c r="Q147" s="11" t="s">
        <v>3354</v>
      </c>
      <c r="R147" s="11" t="s">
        <v>2991</v>
      </c>
      <c r="S147" s="11"/>
      <c r="T147" s="11"/>
      <c r="U147" s="10"/>
      <c r="V147" s="11"/>
      <c r="W147" s="10"/>
      <c r="X147" s="11"/>
      <c r="Y147" s="10" t="s">
        <v>2897</v>
      </c>
      <c r="Z147" s="10" t="s">
        <v>2898</v>
      </c>
      <c r="AA147" s="11" t="s">
        <v>3482</v>
      </c>
      <c r="AB147" s="11"/>
      <c r="AC147" s="10" t="s">
        <v>2995</v>
      </c>
    </row>
    <row r="148" customFormat="false" ht="30" hidden="false" customHeight="true" outlineLevel="0" collapsed="false">
      <c r="A148" s="12" t="s">
        <v>3483</v>
      </c>
      <c r="B148" s="12" t="s">
        <v>3484</v>
      </c>
      <c r="C148" s="12" t="s">
        <v>571</v>
      </c>
      <c r="D148" s="12" t="s">
        <v>2984</v>
      </c>
      <c r="E148" s="12" t="s">
        <v>1933</v>
      </c>
      <c r="F148" s="12" t="s">
        <v>1934</v>
      </c>
      <c r="G148" s="13" t="s">
        <v>3092</v>
      </c>
      <c r="H148" s="12" t="s">
        <v>3049</v>
      </c>
      <c r="I148" s="12" t="s">
        <v>3093</v>
      </c>
      <c r="J148" s="13" t="s">
        <v>3094</v>
      </c>
      <c r="K148" s="13" t="s">
        <v>452</v>
      </c>
      <c r="L148" s="12" t="s">
        <v>177</v>
      </c>
      <c r="M148" s="12" t="n">
        <v>78</v>
      </c>
      <c r="N148" s="12" t="n">
        <v>425</v>
      </c>
      <c r="O148" s="13" t="s">
        <v>3031</v>
      </c>
      <c r="P148" s="12" t="s">
        <v>3011</v>
      </c>
      <c r="Q148" s="13"/>
      <c r="R148" s="13" t="s">
        <v>2991</v>
      </c>
      <c r="S148" s="13"/>
      <c r="T148" s="13"/>
      <c r="U148" s="12"/>
      <c r="V148" s="13"/>
      <c r="W148" s="12"/>
      <c r="X148" s="13"/>
      <c r="Y148" s="12" t="s">
        <v>2884</v>
      </c>
      <c r="Z148" s="12" t="s">
        <v>2886</v>
      </c>
      <c r="AA148" s="13" t="s">
        <v>3050</v>
      </c>
      <c r="AB148" s="13"/>
      <c r="AC148" s="12" t="s">
        <v>2995</v>
      </c>
    </row>
    <row r="149" customFormat="false" ht="30" hidden="false" customHeight="true" outlineLevel="0" collapsed="false">
      <c r="A149" s="10" t="s">
        <v>3485</v>
      </c>
      <c r="B149" s="10" t="s">
        <v>3486</v>
      </c>
      <c r="C149" s="10" t="s">
        <v>571</v>
      </c>
      <c r="D149" s="10" t="s">
        <v>2984</v>
      </c>
      <c r="E149" s="10" t="s">
        <v>2138</v>
      </c>
      <c r="F149" s="10" t="s">
        <v>2139</v>
      </c>
      <c r="G149" s="11" t="s">
        <v>3112</v>
      </c>
      <c r="H149" s="10" t="s">
        <v>3049</v>
      </c>
      <c r="I149" s="10" t="s">
        <v>3093</v>
      </c>
      <c r="J149" s="11" t="s">
        <v>1272</v>
      </c>
      <c r="K149" s="11" t="s">
        <v>452</v>
      </c>
      <c r="L149" s="10" t="s">
        <v>177</v>
      </c>
      <c r="M149" s="10" t="n">
        <v>53</v>
      </c>
      <c r="N149" s="10" t="n">
        <v>690</v>
      </c>
      <c r="O149" s="11" t="s">
        <v>3024</v>
      </c>
      <c r="P149" s="10" t="s">
        <v>2989</v>
      </c>
      <c r="Q149" s="11" t="s">
        <v>3025</v>
      </c>
      <c r="R149" s="11" t="s">
        <v>2991</v>
      </c>
      <c r="S149" s="11"/>
      <c r="T149" s="11" t="s">
        <v>3487</v>
      </c>
      <c r="U149" s="10"/>
      <c r="V149" s="11"/>
      <c r="W149" s="10" t="s">
        <v>3488</v>
      </c>
      <c r="X149" s="11"/>
      <c r="Y149" s="10" t="s">
        <v>2888</v>
      </c>
      <c r="Z149" s="10" t="s">
        <v>1509</v>
      </c>
      <c r="AA149" s="11" t="s">
        <v>3050</v>
      </c>
      <c r="AB149" s="11"/>
      <c r="AC149" s="10" t="s">
        <v>2995</v>
      </c>
    </row>
    <row r="150" customFormat="false" ht="30" hidden="false" customHeight="true" outlineLevel="0" collapsed="false">
      <c r="A150" s="12" t="s">
        <v>3489</v>
      </c>
      <c r="B150" s="12" t="s">
        <v>3490</v>
      </c>
      <c r="C150" s="12" t="s">
        <v>571</v>
      </c>
      <c r="D150" s="12" t="s">
        <v>2984</v>
      </c>
      <c r="E150" s="12" t="s">
        <v>2094</v>
      </c>
      <c r="F150" s="12" t="s">
        <v>2095</v>
      </c>
      <c r="G150" s="13" t="s">
        <v>3071</v>
      </c>
      <c r="H150" s="12" t="s">
        <v>3072</v>
      </c>
      <c r="I150" s="12" t="s">
        <v>3073</v>
      </c>
      <c r="J150" s="13" t="s">
        <v>1296</v>
      </c>
      <c r="K150" s="13" t="s">
        <v>452</v>
      </c>
      <c r="L150" s="12" t="s">
        <v>170</v>
      </c>
      <c r="M150" s="12" t="n">
        <v>85</v>
      </c>
      <c r="N150" s="12" t="n">
        <v>385</v>
      </c>
      <c r="O150" s="13" t="s">
        <v>2785</v>
      </c>
      <c r="P150" s="12" t="s">
        <v>3011</v>
      </c>
      <c r="Q150" s="13"/>
      <c r="R150" s="13" t="s">
        <v>2991</v>
      </c>
      <c r="S150" s="13"/>
      <c r="T150" s="13"/>
      <c r="U150" s="12"/>
      <c r="V150" s="13"/>
      <c r="W150" s="12" t="s">
        <v>3491</v>
      </c>
      <c r="X150" s="13"/>
      <c r="Y150" s="12" t="s">
        <v>2884</v>
      </c>
      <c r="Z150" s="12" t="s">
        <v>2886</v>
      </c>
      <c r="AA150" s="13" t="s">
        <v>3074</v>
      </c>
      <c r="AB150" s="13"/>
      <c r="AC150" s="12" t="s">
        <v>2995</v>
      </c>
    </row>
    <row r="151" customFormat="false" ht="30" hidden="false" customHeight="true" outlineLevel="0" collapsed="false">
      <c r="A151" s="10" t="s">
        <v>3492</v>
      </c>
      <c r="B151" s="10" t="s">
        <v>3493</v>
      </c>
      <c r="C151" s="10" t="s">
        <v>571</v>
      </c>
      <c r="D151" s="10" t="s">
        <v>2903</v>
      </c>
      <c r="E151" s="10" t="s">
        <v>2418</v>
      </c>
      <c r="F151" s="10" t="s">
        <v>2419</v>
      </c>
      <c r="G151" s="11" t="s">
        <v>3088</v>
      </c>
      <c r="H151" s="10" t="s">
        <v>3100</v>
      </c>
      <c r="I151" s="10" t="s">
        <v>2987</v>
      </c>
      <c r="J151" s="11" t="s">
        <v>874</v>
      </c>
      <c r="K151" s="11" t="s">
        <v>414</v>
      </c>
      <c r="L151" s="10" t="s">
        <v>170</v>
      </c>
      <c r="M151" s="10" t="n">
        <v>86</v>
      </c>
      <c r="N151" s="10" t="n">
        <v>460</v>
      </c>
      <c r="O151" s="11" t="s">
        <v>2785</v>
      </c>
      <c r="P151" s="10" t="s">
        <v>3041</v>
      </c>
      <c r="Q151" s="11" t="s">
        <v>3237</v>
      </c>
      <c r="R151" s="11" t="s">
        <v>2991</v>
      </c>
      <c r="S151" s="11"/>
      <c r="T151" s="11" t="s">
        <v>3238</v>
      </c>
      <c r="U151" s="10"/>
      <c r="V151" s="11"/>
      <c r="W151" s="10" t="s">
        <v>3239</v>
      </c>
      <c r="X151" s="11"/>
      <c r="Y151" s="10" t="s">
        <v>2824</v>
      </c>
      <c r="Z151" s="10" t="s">
        <v>2892</v>
      </c>
      <c r="AA151" s="11" t="s">
        <v>3105</v>
      </c>
      <c r="AB151" s="11"/>
      <c r="AC151" s="10" t="s">
        <v>3014</v>
      </c>
    </row>
    <row r="152" customFormat="false" ht="30" hidden="false" customHeight="true" outlineLevel="0" collapsed="false">
      <c r="A152" s="12" t="s">
        <v>3494</v>
      </c>
      <c r="B152" s="12" t="s">
        <v>3495</v>
      </c>
      <c r="C152" s="12" t="s">
        <v>571</v>
      </c>
      <c r="D152" s="12" t="s">
        <v>2903</v>
      </c>
      <c r="E152" s="12" t="s">
        <v>2520</v>
      </c>
      <c r="F152" s="12" t="s">
        <v>2521</v>
      </c>
      <c r="G152" s="13" t="s">
        <v>2985</v>
      </c>
      <c r="H152" s="12" t="s">
        <v>3018</v>
      </c>
      <c r="I152" s="12" t="s">
        <v>2987</v>
      </c>
      <c r="J152" s="13" t="s">
        <v>3250</v>
      </c>
      <c r="K152" s="13" t="s">
        <v>452</v>
      </c>
      <c r="L152" s="12" t="s">
        <v>170</v>
      </c>
      <c r="M152" s="12" t="n">
        <v>88</v>
      </c>
      <c r="N152" s="12" t="n">
        <v>460</v>
      </c>
      <c r="O152" s="13" t="s">
        <v>2785</v>
      </c>
      <c r="P152" s="12" t="s">
        <v>2989</v>
      </c>
      <c r="Q152" s="13" t="s">
        <v>3251</v>
      </c>
      <c r="R152" s="13" t="s">
        <v>2991</v>
      </c>
      <c r="S152" s="13"/>
      <c r="T152" s="13"/>
      <c r="U152" s="12"/>
      <c r="V152" s="13" t="s">
        <v>3496</v>
      </c>
      <c r="W152" s="12"/>
      <c r="X152" s="13"/>
      <c r="Y152" s="12" t="s">
        <v>2888</v>
      </c>
      <c r="Z152" s="12" t="s">
        <v>1509</v>
      </c>
      <c r="AA152" s="13" t="s">
        <v>3497</v>
      </c>
      <c r="AB152" s="13" t="s">
        <v>3498</v>
      </c>
      <c r="AC152" s="12" t="s">
        <v>2995</v>
      </c>
    </row>
    <row r="153" customFormat="false" ht="30" hidden="false" customHeight="true" outlineLevel="0" collapsed="false">
      <c r="A153" s="10" t="s">
        <v>3499</v>
      </c>
      <c r="B153" s="10" t="s">
        <v>3500</v>
      </c>
      <c r="C153" s="10" t="s">
        <v>571</v>
      </c>
      <c r="D153" s="10" t="s">
        <v>2984</v>
      </c>
      <c r="E153" s="10" t="s">
        <v>1879</v>
      </c>
      <c r="F153" s="10" t="s">
        <v>1880</v>
      </c>
      <c r="G153" s="11" t="s">
        <v>3062</v>
      </c>
      <c r="H153" s="10" t="s">
        <v>2986</v>
      </c>
      <c r="I153" s="10" t="s">
        <v>2987</v>
      </c>
      <c r="J153" s="11" t="s">
        <v>1216</v>
      </c>
      <c r="K153" s="11" t="s">
        <v>452</v>
      </c>
      <c r="L153" s="10" t="s">
        <v>170</v>
      </c>
      <c r="M153" s="10" t="n">
        <v>82</v>
      </c>
      <c r="N153" s="10" t="n">
        <v>355</v>
      </c>
      <c r="O153" s="11" t="s">
        <v>2785</v>
      </c>
      <c r="P153" s="10" t="s">
        <v>3011</v>
      </c>
      <c r="Q153" s="11"/>
      <c r="R153" s="11" t="s">
        <v>2991</v>
      </c>
      <c r="S153" s="11"/>
      <c r="T153" s="11"/>
      <c r="U153" s="10"/>
      <c r="V153" s="11"/>
      <c r="W153" s="10"/>
      <c r="X153" s="11"/>
      <c r="Y153" s="10" t="s">
        <v>2884</v>
      </c>
      <c r="Z153" s="10" t="s">
        <v>2886</v>
      </c>
      <c r="AA153" s="11" t="s">
        <v>2994</v>
      </c>
      <c r="AB153" s="11"/>
      <c r="AC153" s="10" t="s">
        <v>2995</v>
      </c>
    </row>
    <row r="154" customFormat="false" ht="30" hidden="false" customHeight="true" outlineLevel="0" collapsed="false">
      <c r="A154" s="12" t="s">
        <v>3501</v>
      </c>
      <c r="B154" s="12" t="s">
        <v>3502</v>
      </c>
      <c r="C154" s="12" t="s">
        <v>571</v>
      </c>
      <c r="D154" s="12" t="s">
        <v>2903</v>
      </c>
      <c r="E154" s="12" t="s">
        <v>2514</v>
      </c>
      <c r="F154" s="12" t="s">
        <v>2515</v>
      </c>
      <c r="G154" s="13" t="s">
        <v>3007</v>
      </c>
      <c r="H154" s="12" t="s">
        <v>2999</v>
      </c>
      <c r="I154" s="12" t="s">
        <v>2987</v>
      </c>
      <c r="J154" s="13" t="s">
        <v>3503</v>
      </c>
      <c r="K154" s="13" t="s">
        <v>441</v>
      </c>
      <c r="L154" s="12" t="s">
        <v>170</v>
      </c>
      <c r="M154" s="12" t="n">
        <v>84</v>
      </c>
      <c r="N154" s="12" t="n">
        <v>395</v>
      </c>
      <c r="O154" s="13" t="s">
        <v>2785</v>
      </c>
      <c r="P154" s="12" t="s">
        <v>3011</v>
      </c>
      <c r="Q154" s="13"/>
      <c r="R154" s="13" t="s">
        <v>2991</v>
      </c>
      <c r="S154" s="13"/>
      <c r="T154" s="13"/>
      <c r="U154" s="12"/>
      <c r="V154" s="13"/>
      <c r="W154" s="12"/>
      <c r="X154" s="13"/>
      <c r="Y154" s="12" t="s">
        <v>2884</v>
      </c>
      <c r="Z154" s="12" t="s">
        <v>2886</v>
      </c>
      <c r="AA154" s="13" t="s">
        <v>3004</v>
      </c>
      <c r="AB154" s="13"/>
      <c r="AC154" s="12" t="s">
        <v>3014</v>
      </c>
    </row>
    <row r="155" customFormat="false" ht="30" hidden="false" customHeight="true" outlineLevel="0" collapsed="false">
      <c r="A155" s="10" t="s">
        <v>3504</v>
      </c>
      <c r="B155" s="10" t="s">
        <v>3505</v>
      </c>
      <c r="C155" s="10" t="s">
        <v>3506</v>
      </c>
      <c r="D155" s="10" t="s">
        <v>2903</v>
      </c>
      <c r="E155" s="10" t="s">
        <v>2415</v>
      </c>
      <c r="F155" s="10" t="s">
        <v>2416</v>
      </c>
      <c r="G155" s="11" t="s">
        <v>3039</v>
      </c>
      <c r="H155" s="10" t="s">
        <v>3072</v>
      </c>
      <c r="I155" s="10" t="s">
        <v>3073</v>
      </c>
      <c r="J155" s="11" t="s">
        <v>3414</v>
      </c>
      <c r="K155" s="11" t="s">
        <v>414</v>
      </c>
      <c r="L155" s="10" t="s">
        <v>184</v>
      </c>
      <c r="M155" s="10" t="n">
        <v>88</v>
      </c>
      <c r="N155" s="10" t="n">
        <v>520</v>
      </c>
      <c r="O155" s="11" t="s">
        <v>2792</v>
      </c>
      <c r="P155" s="10" t="s">
        <v>2989</v>
      </c>
      <c r="Q155" s="11" t="s">
        <v>3380</v>
      </c>
      <c r="R155" s="11" t="s">
        <v>3201</v>
      </c>
      <c r="S155" s="11"/>
      <c r="T155" s="11" t="s">
        <v>3507</v>
      </c>
      <c r="U155" s="10"/>
      <c r="V155" s="11"/>
      <c r="W155" s="10"/>
      <c r="X155" s="11"/>
      <c r="Y155" s="10" t="s">
        <v>2888</v>
      </c>
      <c r="Z155" s="10" t="s">
        <v>1509</v>
      </c>
      <c r="AA155" s="11" t="s">
        <v>3508</v>
      </c>
      <c r="AB155" s="11" t="s">
        <v>3509</v>
      </c>
      <c r="AC155" s="10" t="s">
        <v>3510</v>
      </c>
    </row>
    <row r="156" customFormat="false" ht="30" hidden="false" customHeight="true" outlineLevel="0" collapsed="false">
      <c r="A156" s="12" t="s">
        <v>3511</v>
      </c>
      <c r="B156" s="12" t="s">
        <v>3512</v>
      </c>
      <c r="C156" s="12" t="s">
        <v>3506</v>
      </c>
      <c r="D156" s="12" t="s">
        <v>2903</v>
      </c>
      <c r="E156" s="12" t="s">
        <v>2443</v>
      </c>
      <c r="F156" s="12" t="s">
        <v>2444</v>
      </c>
      <c r="G156" s="13" t="s">
        <v>3065</v>
      </c>
      <c r="H156" s="12" t="s">
        <v>2999</v>
      </c>
      <c r="I156" s="12" t="s">
        <v>3009</v>
      </c>
      <c r="J156" s="13" t="s">
        <v>1037</v>
      </c>
      <c r="K156" s="13" t="s">
        <v>441</v>
      </c>
      <c r="L156" s="12" t="s">
        <v>191</v>
      </c>
      <c r="M156" s="12" t="n">
        <v>51</v>
      </c>
      <c r="N156" s="12" t="n">
        <v>680</v>
      </c>
      <c r="O156" s="13" t="s">
        <v>3024</v>
      </c>
      <c r="P156" s="12" t="s">
        <v>2989</v>
      </c>
      <c r="Q156" s="13"/>
      <c r="R156" s="13" t="s">
        <v>2991</v>
      </c>
      <c r="S156" s="13"/>
      <c r="T156" s="13"/>
      <c r="U156" s="12"/>
      <c r="V156" s="13"/>
      <c r="W156" s="12"/>
      <c r="X156" s="13"/>
      <c r="Y156" s="12" t="s">
        <v>2888</v>
      </c>
      <c r="Z156" s="12" t="s">
        <v>1509</v>
      </c>
      <c r="AA156" s="13" t="s">
        <v>3513</v>
      </c>
      <c r="AB156" s="13"/>
      <c r="AC156" s="12" t="s">
        <v>3014</v>
      </c>
    </row>
    <row r="157" customFormat="false" ht="30" hidden="false" customHeight="true" outlineLevel="0" collapsed="false">
      <c r="A157" s="10" t="s">
        <v>3514</v>
      </c>
      <c r="B157" s="10" t="s">
        <v>3515</v>
      </c>
      <c r="C157" s="10" t="s">
        <v>3506</v>
      </c>
      <c r="D157" s="10" t="s">
        <v>2903</v>
      </c>
      <c r="E157" s="10" t="s">
        <v>2410</v>
      </c>
      <c r="F157" s="10" t="s">
        <v>2411</v>
      </c>
      <c r="G157" s="11" t="s">
        <v>3022</v>
      </c>
      <c r="H157" s="10" t="s">
        <v>3008</v>
      </c>
      <c r="I157" s="10" t="s">
        <v>2987</v>
      </c>
      <c r="J157" s="11" t="s">
        <v>3516</v>
      </c>
      <c r="K157" s="11" t="s">
        <v>438</v>
      </c>
      <c r="L157" s="10" t="s">
        <v>191</v>
      </c>
      <c r="M157" s="10" t="n">
        <v>52</v>
      </c>
      <c r="N157" s="10" t="n">
        <v>645</v>
      </c>
      <c r="O157" s="11" t="s">
        <v>3024</v>
      </c>
      <c r="P157" s="10" t="s">
        <v>2989</v>
      </c>
      <c r="Q157" s="11" t="s">
        <v>3118</v>
      </c>
      <c r="R157" s="11" t="s">
        <v>2991</v>
      </c>
      <c r="S157" s="11"/>
      <c r="T157" s="11"/>
      <c r="U157" s="10"/>
      <c r="V157" s="11"/>
      <c r="W157" s="10"/>
      <c r="X157" s="11"/>
      <c r="Y157" s="10" t="s">
        <v>2888</v>
      </c>
      <c r="Z157" s="10" t="s">
        <v>1509</v>
      </c>
      <c r="AA157" s="11" t="s">
        <v>3517</v>
      </c>
      <c r="AB157" s="11"/>
      <c r="AC157" s="10" t="s">
        <v>3014</v>
      </c>
    </row>
    <row r="158" customFormat="false" ht="30" hidden="false" customHeight="true" outlineLevel="0" collapsed="false">
      <c r="A158" s="12" t="s">
        <v>3518</v>
      </c>
      <c r="B158" s="12" t="s">
        <v>3519</v>
      </c>
      <c r="C158" s="12" t="s">
        <v>3506</v>
      </c>
      <c r="D158" s="12" t="s">
        <v>2984</v>
      </c>
      <c r="E158" s="12" t="s">
        <v>1921</v>
      </c>
      <c r="F158" s="12" t="s">
        <v>1922</v>
      </c>
      <c r="G158" s="13" t="s">
        <v>3112</v>
      </c>
      <c r="H158" s="12" t="s">
        <v>3018</v>
      </c>
      <c r="I158" s="12" t="s">
        <v>3023</v>
      </c>
      <c r="J158" s="13" t="s">
        <v>1244</v>
      </c>
      <c r="K158" s="13" t="s">
        <v>452</v>
      </c>
      <c r="L158" s="12" t="s">
        <v>191</v>
      </c>
      <c r="M158" s="12" t="n">
        <v>53</v>
      </c>
      <c r="N158" s="12" t="n">
        <v>615</v>
      </c>
      <c r="O158" s="13" t="s">
        <v>3024</v>
      </c>
      <c r="P158" s="12" t="s">
        <v>2989</v>
      </c>
      <c r="Q158" s="13" t="s">
        <v>3025</v>
      </c>
      <c r="R158" s="13" t="s">
        <v>2991</v>
      </c>
      <c r="S158" s="13"/>
      <c r="T158" s="13" t="s">
        <v>3520</v>
      </c>
      <c r="U158" s="12"/>
      <c r="V158" s="13"/>
      <c r="W158" s="12" t="s">
        <v>3351</v>
      </c>
      <c r="X158" s="13"/>
      <c r="Y158" s="12" t="s">
        <v>2888</v>
      </c>
      <c r="Z158" s="12" t="s">
        <v>1509</v>
      </c>
      <c r="AA158" s="13" t="s">
        <v>3521</v>
      </c>
      <c r="AB158" s="13"/>
      <c r="AC158" s="12" t="s">
        <v>2995</v>
      </c>
    </row>
    <row r="159" customFormat="false" ht="30" hidden="false" customHeight="true" outlineLevel="0" collapsed="false">
      <c r="A159" s="10" t="s">
        <v>3522</v>
      </c>
      <c r="B159" s="10" t="s">
        <v>3523</v>
      </c>
      <c r="C159" s="10" t="s">
        <v>3506</v>
      </c>
      <c r="D159" s="10" t="s">
        <v>2984</v>
      </c>
      <c r="E159" s="10" t="s">
        <v>1923</v>
      </c>
      <c r="F159" s="10" t="s">
        <v>1924</v>
      </c>
      <c r="G159" s="11" t="s">
        <v>3029</v>
      </c>
      <c r="H159" s="10" t="s">
        <v>3018</v>
      </c>
      <c r="I159" s="10" t="s">
        <v>3023</v>
      </c>
      <c r="J159" s="11" t="s">
        <v>3221</v>
      </c>
      <c r="K159" s="11" t="s">
        <v>452</v>
      </c>
      <c r="L159" s="10" t="s">
        <v>170</v>
      </c>
      <c r="M159" s="10" t="n">
        <v>84</v>
      </c>
      <c r="N159" s="10" t="n">
        <v>385</v>
      </c>
      <c r="O159" s="11" t="s">
        <v>3031</v>
      </c>
      <c r="P159" s="10" t="s">
        <v>3011</v>
      </c>
      <c r="Q159" s="11"/>
      <c r="R159" s="11" t="s">
        <v>2991</v>
      </c>
      <c r="S159" s="11"/>
      <c r="T159" s="11"/>
      <c r="U159" s="10"/>
      <c r="V159" s="11"/>
      <c r="W159" s="10" t="s">
        <v>3351</v>
      </c>
      <c r="X159" s="11"/>
      <c r="Y159" s="10" t="s">
        <v>2884</v>
      </c>
      <c r="Z159" s="10" t="s">
        <v>2886</v>
      </c>
      <c r="AA159" s="11" t="s">
        <v>3524</v>
      </c>
      <c r="AB159" s="11"/>
      <c r="AC159" s="10" t="s">
        <v>2995</v>
      </c>
    </row>
    <row r="160" customFormat="false" ht="30" hidden="false" customHeight="true" outlineLevel="0" collapsed="false">
      <c r="A160" s="12" t="s">
        <v>3525</v>
      </c>
      <c r="B160" s="12" t="s">
        <v>3526</v>
      </c>
      <c r="C160" s="12" t="s">
        <v>3506</v>
      </c>
      <c r="D160" s="12" t="s">
        <v>2984</v>
      </c>
      <c r="E160" s="12" t="s">
        <v>1875</v>
      </c>
      <c r="F160" s="12" t="s">
        <v>1876</v>
      </c>
      <c r="G160" s="13" t="s">
        <v>2985</v>
      </c>
      <c r="H160" s="12" t="s">
        <v>3018</v>
      </c>
      <c r="I160" s="12" t="s">
        <v>3023</v>
      </c>
      <c r="J160" s="13" t="s">
        <v>3527</v>
      </c>
      <c r="K160" s="13" t="s">
        <v>452</v>
      </c>
      <c r="L160" s="12" t="s">
        <v>170</v>
      </c>
      <c r="M160" s="12" t="n">
        <v>89</v>
      </c>
      <c r="N160" s="12" t="n">
        <v>530</v>
      </c>
      <c r="O160" s="13" t="s">
        <v>2785</v>
      </c>
      <c r="P160" s="12" t="s">
        <v>2989</v>
      </c>
      <c r="Q160" s="13" t="s">
        <v>2990</v>
      </c>
      <c r="R160" s="13" t="s">
        <v>2991</v>
      </c>
      <c r="S160" s="13"/>
      <c r="T160" s="13"/>
      <c r="U160" s="12"/>
      <c r="V160" s="13"/>
      <c r="W160" s="12" t="s">
        <v>3440</v>
      </c>
      <c r="X160" s="13"/>
      <c r="Y160" s="12" t="s">
        <v>2824</v>
      </c>
      <c r="Z160" s="12" t="s">
        <v>2892</v>
      </c>
      <c r="AA160" s="13" t="s">
        <v>3528</v>
      </c>
      <c r="AB160" s="13" t="s">
        <v>3529</v>
      </c>
      <c r="AC160" s="12" t="s">
        <v>2995</v>
      </c>
    </row>
    <row r="161" customFormat="false" ht="30" hidden="false" customHeight="true" outlineLevel="0" collapsed="false">
      <c r="A161" s="10" t="s">
        <v>3530</v>
      </c>
      <c r="B161" s="10" t="s">
        <v>3531</v>
      </c>
      <c r="C161" s="10" t="s">
        <v>3506</v>
      </c>
      <c r="D161" s="10" t="s">
        <v>2903</v>
      </c>
      <c r="E161" s="10" t="s">
        <v>2424</v>
      </c>
      <c r="F161" s="10" t="s">
        <v>2425</v>
      </c>
      <c r="G161" s="11" t="s">
        <v>3071</v>
      </c>
      <c r="H161" s="10" t="s">
        <v>3072</v>
      </c>
      <c r="I161" s="10" t="s">
        <v>3073</v>
      </c>
      <c r="J161" s="11" t="s">
        <v>3472</v>
      </c>
      <c r="K161" s="11" t="s">
        <v>445</v>
      </c>
      <c r="L161" s="10" t="s">
        <v>170</v>
      </c>
      <c r="M161" s="10" t="n">
        <v>83</v>
      </c>
      <c r="N161" s="10" t="n">
        <v>365</v>
      </c>
      <c r="O161" s="11" t="s">
        <v>2785</v>
      </c>
      <c r="P161" s="10" t="s">
        <v>3011</v>
      </c>
      <c r="Q161" s="11"/>
      <c r="R161" s="11" t="s">
        <v>2991</v>
      </c>
      <c r="S161" s="11"/>
      <c r="T161" s="11"/>
      <c r="U161" s="10"/>
      <c r="V161" s="11"/>
      <c r="W161" s="10"/>
      <c r="X161" s="11"/>
      <c r="Y161" s="10" t="s">
        <v>2884</v>
      </c>
      <c r="Z161" s="10" t="s">
        <v>2886</v>
      </c>
      <c r="AA161" s="11" t="s">
        <v>3532</v>
      </c>
      <c r="AB161" s="11"/>
      <c r="AC161" s="10" t="s">
        <v>3014</v>
      </c>
    </row>
    <row r="162" customFormat="false" ht="30" hidden="false" customHeight="true" outlineLevel="0" collapsed="false">
      <c r="A162" s="12" t="s">
        <v>3533</v>
      </c>
      <c r="B162" s="12" t="s">
        <v>3534</v>
      </c>
      <c r="C162" s="12" t="s">
        <v>3506</v>
      </c>
      <c r="D162" s="12" t="s">
        <v>2984</v>
      </c>
      <c r="E162" s="12" t="s">
        <v>1863</v>
      </c>
      <c r="F162" s="12" t="s">
        <v>1864</v>
      </c>
      <c r="G162" s="13" t="s">
        <v>3080</v>
      </c>
      <c r="H162" s="12" t="s">
        <v>2986</v>
      </c>
      <c r="I162" s="12" t="s">
        <v>3023</v>
      </c>
      <c r="J162" s="13" t="s">
        <v>1256</v>
      </c>
      <c r="K162" s="13" t="s">
        <v>433</v>
      </c>
      <c r="L162" s="12" t="s">
        <v>177</v>
      </c>
      <c r="M162" s="12" t="n">
        <v>78</v>
      </c>
      <c r="N162" s="12" t="n">
        <v>410</v>
      </c>
      <c r="O162" s="13" t="s">
        <v>3031</v>
      </c>
      <c r="P162" s="12" t="s">
        <v>3177</v>
      </c>
      <c r="Q162" s="13"/>
      <c r="R162" s="13" t="s">
        <v>2991</v>
      </c>
      <c r="S162" s="13"/>
      <c r="T162" s="13"/>
      <c r="U162" s="12"/>
      <c r="V162" s="13"/>
      <c r="W162" s="12"/>
      <c r="X162" s="13"/>
      <c r="Y162" s="12" t="s">
        <v>2897</v>
      </c>
      <c r="Z162" s="12" t="s">
        <v>2898</v>
      </c>
      <c r="AA162" s="13" t="s">
        <v>3535</v>
      </c>
      <c r="AB162" s="13"/>
      <c r="AC162" s="12" t="s">
        <v>2995</v>
      </c>
    </row>
    <row r="163" customFormat="false" ht="30" hidden="false" customHeight="true" outlineLevel="0" collapsed="false">
      <c r="A163" s="10" t="s">
        <v>3536</v>
      </c>
      <c r="B163" s="10" t="s">
        <v>3537</v>
      </c>
      <c r="C163" s="10" t="s">
        <v>3506</v>
      </c>
      <c r="D163" s="10" t="s">
        <v>2903</v>
      </c>
      <c r="E163" s="10" t="s">
        <v>2424</v>
      </c>
      <c r="F163" s="10" t="s">
        <v>2425</v>
      </c>
      <c r="G163" s="11" t="s">
        <v>3053</v>
      </c>
      <c r="H163" s="10" t="s">
        <v>3072</v>
      </c>
      <c r="I163" s="10" t="s">
        <v>3073</v>
      </c>
      <c r="J163" s="11" t="s">
        <v>1052</v>
      </c>
      <c r="K163" s="11" t="s">
        <v>423</v>
      </c>
      <c r="L163" s="10" t="s">
        <v>170</v>
      </c>
      <c r="M163" s="10" t="n">
        <v>62</v>
      </c>
      <c r="N163" s="10" t="n">
        <v>275</v>
      </c>
      <c r="O163" s="11" t="s">
        <v>2785</v>
      </c>
      <c r="P163" s="10" t="s">
        <v>3011</v>
      </c>
      <c r="Q163" s="11"/>
      <c r="R163" s="11" t="s">
        <v>2991</v>
      </c>
      <c r="S163" s="11"/>
      <c r="T163" s="11"/>
      <c r="U163" s="10"/>
      <c r="V163" s="11"/>
      <c r="W163" s="10"/>
      <c r="X163" s="11"/>
      <c r="Y163" s="10" t="s">
        <v>2884</v>
      </c>
      <c r="Z163" s="10" t="s">
        <v>2886</v>
      </c>
      <c r="AA163" s="11" t="s">
        <v>3538</v>
      </c>
      <c r="AB163" s="11"/>
      <c r="AC163" s="10" t="s">
        <v>3014</v>
      </c>
    </row>
    <row r="164" customFormat="false" ht="30" hidden="false" customHeight="true" outlineLevel="0" collapsed="false">
      <c r="A164" s="12" t="s">
        <v>3539</v>
      </c>
      <c r="B164" s="12" t="s">
        <v>3540</v>
      </c>
      <c r="C164" s="12" t="s">
        <v>3506</v>
      </c>
      <c r="D164" s="12" t="s">
        <v>2984</v>
      </c>
      <c r="E164" s="12" t="s">
        <v>1915</v>
      </c>
      <c r="F164" s="12" t="s">
        <v>1916</v>
      </c>
      <c r="G164" s="13" t="s">
        <v>3092</v>
      </c>
      <c r="H164" s="12" t="s">
        <v>3049</v>
      </c>
      <c r="I164" s="12" t="s">
        <v>3023</v>
      </c>
      <c r="J164" s="13" t="s">
        <v>1259</v>
      </c>
      <c r="K164" s="13" t="s">
        <v>452</v>
      </c>
      <c r="L164" s="12" t="s">
        <v>177</v>
      </c>
      <c r="M164" s="12" t="n">
        <v>79</v>
      </c>
      <c r="N164" s="12" t="n">
        <v>435</v>
      </c>
      <c r="O164" s="13" t="s">
        <v>3031</v>
      </c>
      <c r="P164" s="12" t="s">
        <v>3177</v>
      </c>
      <c r="Q164" s="13" t="s">
        <v>3354</v>
      </c>
      <c r="R164" s="13" t="s">
        <v>2991</v>
      </c>
      <c r="S164" s="13"/>
      <c r="T164" s="13"/>
      <c r="U164" s="12"/>
      <c r="V164" s="13"/>
      <c r="W164" s="12" t="s">
        <v>3351</v>
      </c>
      <c r="X164" s="13"/>
      <c r="Y164" s="12" t="s">
        <v>2897</v>
      </c>
      <c r="Z164" s="12" t="s">
        <v>2898</v>
      </c>
      <c r="AA164" s="13" t="s">
        <v>3541</v>
      </c>
      <c r="AB164" s="13"/>
      <c r="AC164" s="12" t="s">
        <v>2995</v>
      </c>
    </row>
    <row r="165" customFormat="false" ht="30" hidden="false" customHeight="true" outlineLevel="0" collapsed="false">
      <c r="A165" s="10" t="s">
        <v>3542</v>
      </c>
      <c r="B165" s="10" t="s">
        <v>3543</v>
      </c>
      <c r="C165" s="10" t="s">
        <v>3506</v>
      </c>
      <c r="D165" s="10" t="s">
        <v>2984</v>
      </c>
      <c r="E165" s="10" t="s">
        <v>1865</v>
      </c>
      <c r="F165" s="10" t="s">
        <v>1866</v>
      </c>
      <c r="G165" s="11" t="s">
        <v>3058</v>
      </c>
      <c r="H165" s="10" t="s">
        <v>3018</v>
      </c>
      <c r="I165" s="10" t="s">
        <v>3093</v>
      </c>
      <c r="J165" s="11" t="s">
        <v>3375</v>
      </c>
      <c r="K165" s="11" t="s">
        <v>452</v>
      </c>
      <c r="L165" s="10" t="s">
        <v>170</v>
      </c>
      <c r="M165" s="10" t="n">
        <v>82</v>
      </c>
      <c r="N165" s="10" t="n">
        <v>340</v>
      </c>
      <c r="O165" s="11" t="s">
        <v>2785</v>
      </c>
      <c r="P165" s="10" t="s">
        <v>3011</v>
      </c>
      <c r="Q165" s="11"/>
      <c r="R165" s="11" t="s">
        <v>2991</v>
      </c>
      <c r="S165" s="11"/>
      <c r="T165" s="11"/>
      <c r="U165" s="10"/>
      <c r="V165" s="11"/>
      <c r="W165" s="10"/>
      <c r="X165" s="11"/>
      <c r="Y165" s="10" t="s">
        <v>2884</v>
      </c>
      <c r="Z165" s="10" t="s">
        <v>2886</v>
      </c>
      <c r="AA165" s="11" t="s">
        <v>3544</v>
      </c>
      <c r="AB165" s="11"/>
      <c r="AC165" s="10" t="s">
        <v>2995</v>
      </c>
    </row>
    <row r="166" customFormat="false" ht="30" hidden="false" customHeight="true" outlineLevel="0" collapsed="false">
      <c r="A166" s="12" t="s">
        <v>3545</v>
      </c>
      <c r="B166" s="12" t="s">
        <v>3546</v>
      </c>
      <c r="C166" s="12" t="s">
        <v>3506</v>
      </c>
      <c r="D166" s="12" t="s">
        <v>2984</v>
      </c>
      <c r="E166" s="12" t="s">
        <v>1837</v>
      </c>
      <c r="F166" s="12" t="s">
        <v>1838</v>
      </c>
      <c r="G166" s="13" t="s">
        <v>3048</v>
      </c>
      <c r="H166" s="12" t="s">
        <v>3018</v>
      </c>
      <c r="I166" s="12" t="s">
        <v>3023</v>
      </c>
      <c r="J166" s="13" t="s">
        <v>3547</v>
      </c>
      <c r="K166" s="13" t="s">
        <v>452</v>
      </c>
      <c r="L166" s="12" t="s">
        <v>170</v>
      </c>
      <c r="M166" s="12" t="n">
        <v>80</v>
      </c>
      <c r="N166" s="12" t="n">
        <v>315</v>
      </c>
      <c r="O166" s="13" t="s">
        <v>2785</v>
      </c>
      <c r="P166" s="12" t="s">
        <v>3011</v>
      </c>
      <c r="Q166" s="13"/>
      <c r="R166" s="13" t="s">
        <v>2991</v>
      </c>
      <c r="S166" s="13"/>
      <c r="T166" s="13"/>
      <c r="U166" s="12"/>
      <c r="V166" s="13"/>
      <c r="W166" s="12"/>
      <c r="X166" s="13"/>
      <c r="Y166" s="12" t="s">
        <v>2884</v>
      </c>
      <c r="Z166" s="12" t="s">
        <v>2886</v>
      </c>
      <c r="AA166" s="13" t="s">
        <v>3548</v>
      </c>
      <c r="AB166" s="13"/>
      <c r="AC166" s="12" t="s">
        <v>2995</v>
      </c>
    </row>
    <row r="167" customFormat="false" ht="30" hidden="false" customHeight="true" outlineLevel="0" collapsed="false">
      <c r="A167" s="10" t="s">
        <v>3549</v>
      </c>
      <c r="B167" s="10" t="s">
        <v>3550</v>
      </c>
      <c r="C167" s="10" t="s">
        <v>3506</v>
      </c>
      <c r="D167" s="10" t="s">
        <v>2984</v>
      </c>
      <c r="E167" s="10" t="s">
        <v>1943</v>
      </c>
      <c r="F167" s="10" t="s">
        <v>1944</v>
      </c>
      <c r="G167" s="11" t="s">
        <v>3022</v>
      </c>
      <c r="H167" s="10" t="s">
        <v>3018</v>
      </c>
      <c r="I167" s="10" t="s">
        <v>3093</v>
      </c>
      <c r="J167" s="11" t="s">
        <v>1280</v>
      </c>
      <c r="K167" s="11" t="s">
        <v>452</v>
      </c>
      <c r="L167" s="10" t="s">
        <v>177</v>
      </c>
      <c r="M167" s="10" t="n">
        <v>55</v>
      </c>
      <c r="N167" s="10" t="n">
        <v>650</v>
      </c>
      <c r="O167" s="11" t="s">
        <v>3024</v>
      </c>
      <c r="P167" s="10" t="s">
        <v>2989</v>
      </c>
      <c r="Q167" s="11" t="s">
        <v>3025</v>
      </c>
      <c r="R167" s="11" t="s">
        <v>2991</v>
      </c>
      <c r="S167" s="11"/>
      <c r="T167" s="11" t="s">
        <v>3551</v>
      </c>
      <c r="U167" s="10"/>
      <c r="V167" s="11"/>
      <c r="W167" s="10"/>
      <c r="X167" s="11"/>
      <c r="Y167" s="10" t="s">
        <v>2888</v>
      </c>
      <c r="Z167" s="10" t="s">
        <v>1509</v>
      </c>
      <c r="AA167" s="11" t="s">
        <v>3552</v>
      </c>
      <c r="AB167" s="11"/>
      <c r="AC167" s="10" t="s">
        <v>2995</v>
      </c>
    </row>
    <row r="168" customFormat="false" ht="30" hidden="false" customHeight="true" outlineLevel="0" collapsed="false">
      <c r="A168" s="12" t="s">
        <v>3553</v>
      </c>
      <c r="B168" s="12" t="s">
        <v>3554</v>
      </c>
      <c r="C168" s="12" t="s">
        <v>3506</v>
      </c>
      <c r="D168" s="12" t="s">
        <v>2903</v>
      </c>
      <c r="E168" s="12" t="s">
        <v>2402</v>
      </c>
      <c r="F168" s="12" t="s">
        <v>2403</v>
      </c>
      <c r="G168" s="13" t="s">
        <v>3007</v>
      </c>
      <c r="H168" s="12" t="s">
        <v>2999</v>
      </c>
      <c r="I168" s="12" t="s">
        <v>2987</v>
      </c>
      <c r="J168" s="13" t="s">
        <v>3391</v>
      </c>
      <c r="K168" s="13" t="s">
        <v>423</v>
      </c>
      <c r="L168" s="12" t="s">
        <v>170</v>
      </c>
      <c r="M168" s="12" t="n">
        <v>86</v>
      </c>
      <c r="N168" s="12" t="n">
        <v>425</v>
      </c>
      <c r="O168" s="13" t="s">
        <v>3031</v>
      </c>
      <c r="P168" s="12" t="s">
        <v>3011</v>
      </c>
      <c r="Q168" s="13"/>
      <c r="R168" s="13" t="s">
        <v>2991</v>
      </c>
      <c r="S168" s="13"/>
      <c r="T168" s="13"/>
      <c r="U168" s="12"/>
      <c r="V168" s="13"/>
      <c r="W168" s="12" t="s">
        <v>3351</v>
      </c>
      <c r="X168" s="13"/>
      <c r="Y168" s="12" t="s">
        <v>2884</v>
      </c>
      <c r="Z168" s="12" t="s">
        <v>2886</v>
      </c>
      <c r="AA168" s="13" t="s">
        <v>3555</v>
      </c>
      <c r="AB168" s="13" t="s">
        <v>3556</v>
      </c>
      <c r="AC168" s="12" t="s">
        <v>3014</v>
      </c>
    </row>
    <row r="169" customFormat="false" ht="30" hidden="false" customHeight="true" outlineLevel="0" collapsed="false">
      <c r="A169" s="10" t="s">
        <v>3557</v>
      </c>
      <c r="B169" s="10" t="s">
        <v>3558</v>
      </c>
      <c r="C169" s="10" t="s">
        <v>3506</v>
      </c>
      <c r="D169" s="10" t="s">
        <v>2903</v>
      </c>
      <c r="E169" s="10" t="s">
        <v>2394</v>
      </c>
      <c r="F169" s="10" t="s">
        <v>2395</v>
      </c>
      <c r="G169" s="11" t="s">
        <v>3062</v>
      </c>
      <c r="H169" s="10" t="s">
        <v>3018</v>
      </c>
      <c r="I169" s="10" t="s">
        <v>2987</v>
      </c>
      <c r="J169" s="11" t="s">
        <v>892</v>
      </c>
      <c r="K169" s="11" t="s">
        <v>445</v>
      </c>
      <c r="L169" s="10" t="s">
        <v>170</v>
      </c>
      <c r="M169" s="10" t="n">
        <v>83</v>
      </c>
      <c r="N169" s="10" t="n">
        <v>380</v>
      </c>
      <c r="O169" s="11" t="s">
        <v>2785</v>
      </c>
      <c r="P169" s="10" t="s">
        <v>3011</v>
      </c>
      <c r="Q169" s="11"/>
      <c r="R169" s="11" t="s">
        <v>2991</v>
      </c>
      <c r="S169" s="11"/>
      <c r="T169" s="11"/>
      <c r="U169" s="10"/>
      <c r="V169" s="11"/>
      <c r="W169" s="10" t="s">
        <v>3440</v>
      </c>
      <c r="X169" s="11"/>
      <c r="Y169" s="10" t="s">
        <v>2824</v>
      </c>
      <c r="Z169" s="10" t="s">
        <v>2892</v>
      </c>
      <c r="AA169" s="11" t="s">
        <v>3559</v>
      </c>
      <c r="AB169" s="11"/>
      <c r="AC169" s="10" t="s">
        <v>3014</v>
      </c>
    </row>
    <row r="170" customFormat="false" ht="30" hidden="false" customHeight="true" outlineLevel="0" collapsed="false">
      <c r="A170" s="12" t="s">
        <v>3560</v>
      </c>
      <c r="B170" s="12" t="s">
        <v>3561</v>
      </c>
      <c r="C170" s="12" t="s">
        <v>3506</v>
      </c>
      <c r="D170" s="12" t="s">
        <v>2984</v>
      </c>
      <c r="E170" s="12" t="s">
        <v>1897</v>
      </c>
      <c r="F170" s="12" t="s">
        <v>1898</v>
      </c>
      <c r="G170" s="13" t="s">
        <v>3065</v>
      </c>
      <c r="H170" s="12" t="s">
        <v>2986</v>
      </c>
      <c r="I170" s="12" t="s">
        <v>3023</v>
      </c>
      <c r="J170" s="13" t="s">
        <v>1249</v>
      </c>
      <c r="K170" s="13" t="s">
        <v>433</v>
      </c>
      <c r="L170" s="12" t="s">
        <v>177</v>
      </c>
      <c r="M170" s="12" t="n">
        <v>54</v>
      </c>
      <c r="N170" s="12" t="n">
        <v>630</v>
      </c>
      <c r="O170" s="13" t="s">
        <v>3024</v>
      </c>
      <c r="P170" s="12" t="s">
        <v>2989</v>
      </c>
      <c r="Q170" s="13"/>
      <c r="R170" s="13" t="s">
        <v>2991</v>
      </c>
      <c r="S170" s="13"/>
      <c r="T170" s="13"/>
      <c r="U170" s="12"/>
      <c r="V170" s="13"/>
      <c r="W170" s="12" t="s">
        <v>3440</v>
      </c>
      <c r="X170" s="13"/>
      <c r="Y170" s="12" t="s">
        <v>2888</v>
      </c>
      <c r="Z170" s="12" t="s">
        <v>1509</v>
      </c>
      <c r="AA170" s="13" t="s">
        <v>3562</v>
      </c>
      <c r="AB170" s="13"/>
      <c r="AC170" s="12" t="s">
        <v>2995</v>
      </c>
    </row>
    <row r="171" customFormat="false" ht="30" hidden="false" customHeight="true" outlineLevel="0" collapsed="false">
      <c r="A171" s="10" t="s">
        <v>3563</v>
      </c>
      <c r="B171" s="10" t="s">
        <v>3564</v>
      </c>
      <c r="C171" s="10" t="s">
        <v>3506</v>
      </c>
      <c r="D171" s="10" t="s">
        <v>2903</v>
      </c>
      <c r="E171" s="10" t="s">
        <v>2399</v>
      </c>
      <c r="F171" s="10" t="s">
        <v>2400</v>
      </c>
      <c r="G171" s="11" t="s">
        <v>3029</v>
      </c>
      <c r="H171" s="10" t="s">
        <v>3008</v>
      </c>
      <c r="I171" s="10" t="s">
        <v>3009</v>
      </c>
      <c r="J171" s="11" t="s">
        <v>3565</v>
      </c>
      <c r="K171" s="11" t="s">
        <v>438</v>
      </c>
      <c r="L171" s="10" t="s">
        <v>177</v>
      </c>
      <c r="M171" s="10" t="n">
        <v>85</v>
      </c>
      <c r="N171" s="10" t="n">
        <v>515</v>
      </c>
      <c r="O171" s="11" t="s">
        <v>3031</v>
      </c>
      <c r="P171" s="10" t="s">
        <v>2989</v>
      </c>
      <c r="Q171" s="11" t="s">
        <v>3118</v>
      </c>
      <c r="R171" s="11" t="s">
        <v>2991</v>
      </c>
      <c r="S171" s="11"/>
      <c r="T171" s="11"/>
      <c r="U171" s="10"/>
      <c r="V171" s="11"/>
      <c r="W171" s="10"/>
      <c r="X171" s="11"/>
      <c r="Y171" s="10" t="s">
        <v>2888</v>
      </c>
      <c r="Z171" s="10" t="s">
        <v>1509</v>
      </c>
      <c r="AA171" s="11" t="s">
        <v>3566</v>
      </c>
      <c r="AB171" s="11" t="s">
        <v>3567</v>
      </c>
      <c r="AC171" s="10" t="s">
        <v>3014</v>
      </c>
    </row>
    <row r="172" customFormat="false" ht="30" hidden="false" customHeight="true" outlineLevel="0" collapsed="false">
      <c r="A172" s="12" t="s">
        <v>3568</v>
      </c>
      <c r="B172" s="12" t="s">
        <v>3569</v>
      </c>
      <c r="C172" s="12" t="s">
        <v>3506</v>
      </c>
      <c r="D172" s="12" t="s">
        <v>2903</v>
      </c>
      <c r="E172" s="12" t="s">
        <v>2413</v>
      </c>
      <c r="F172" s="12" t="s">
        <v>2414</v>
      </c>
      <c r="G172" s="13" t="s">
        <v>3088</v>
      </c>
      <c r="H172" s="12" t="s">
        <v>3008</v>
      </c>
      <c r="I172" s="12" t="s">
        <v>3009</v>
      </c>
      <c r="J172" s="13" t="s">
        <v>3225</v>
      </c>
      <c r="K172" s="13" t="s">
        <v>445</v>
      </c>
      <c r="L172" s="12" t="s">
        <v>170</v>
      </c>
      <c r="M172" s="12" t="n">
        <v>84</v>
      </c>
      <c r="N172" s="12" t="n">
        <v>445</v>
      </c>
      <c r="O172" s="13" t="s">
        <v>3031</v>
      </c>
      <c r="P172" s="12" t="s">
        <v>3011</v>
      </c>
      <c r="Q172" s="13"/>
      <c r="R172" s="13" t="s">
        <v>2991</v>
      </c>
      <c r="S172" s="13"/>
      <c r="T172" s="13"/>
      <c r="U172" s="12"/>
      <c r="V172" s="13"/>
      <c r="W172" s="12" t="s">
        <v>3239</v>
      </c>
      <c r="X172" s="13"/>
      <c r="Y172" s="12" t="s">
        <v>2824</v>
      </c>
      <c r="Z172" s="12" t="s">
        <v>2892</v>
      </c>
      <c r="AA172" s="13" t="s">
        <v>3570</v>
      </c>
      <c r="AB172" s="13"/>
      <c r="AC172" s="12" t="s">
        <v>3014</v>
      </c>
    </row>
    <row r="173" customFormat="false" ht="30" hidden="false" customHeight="true" outlineLevel="0" collapsed="false">
      <c r="A173" s="10" t="s">
        <v>3571</v>
      </c>
      <c r="B173" s="10" t="s">
        <v>3572</v>
      </c>
      <c r="C173" s="10" t="s">
        <v>3506</v>
      </c>
      <c r="D173" s="10" t="s">
        <v>2984</v>
      </c>
      <c r="E173" s="10" t="s">
        <v>1947</v>
      </c>
      <c r="F173" s="10" t="s">
        <v>1948</v>
      </c>
      <c r="G173" s="11" t="s">
        <v>3112</v>
      </c>
      <c r="H173" s="10" t="s">
        <v>3049</v>
      </c>
      <c r="I173" s="10" t="s">
        <v>3093</v>
      </c>
      <c r="J173" s="11" t="s">
        <v>1272</v>
      </c>
      <c r="K173" s="11" t="s">
        <v>452</v>
      </c>
      <c r="L173" s="10" t="s">
        <v>191</v>
      </c>
      <c r="M173" s="10" t="n">
        <v>50</v>
      </c>
      <c r="N173" s="10" t="n">
        <v>605</v>
      </c>
      <c r="O173" s="11" t="s">
        <v>3024</v>
      </c>
      <c r="P173" s="10" t="s">
        <v>2989</v>
      </c>
      <c r="Q173" s="11" t="s">
        <v>3025</v>
      </c>
      <c r="R173" s="11" t="s">
        <v>2991</v>
      </c>
      <c r="S173" s="11"/>
      <c r="T173" s="11" t="s">
        <v>3573</v>
      </c>
      <c r="U173" s="10"/>
      <c r="V173" s="11"/>
      <c r="W173" s="10"/>
      <c r="X173" s="11"/>
      <c r="Y173" s="10" t="s">
        <v>2888</v>
      </c>
      <c r="Z173" s="10" t="s">
        <v>1509</v>
      </c>
      <c r="AA173" s="11" t="s">
        <v>3574</v>
      </c>
      <c r="AB173" s="11"/>
      <c r="AC173" s="10" t="s">
        <v>2995</v>
      </c>
    </row>
    <row r="174" customFormat="false" ht="30" hidden="false" customHeight="true" outlineLevel="0" collapsed="false">
      <c r="A174" s="12" t="s">
        <v>3575</v>
      </c>
      <c r="B174" s="12" t="s">
        <v>3576</v>
      </c>
      <c r="C174" s="12" t="s">
        <v>3506</v>
      </c>
      <c r="D174" s="12" t="s">
        <v>2903</v>
      </c>
      <c r="E174" s="12" t="s">
        <v>2413</v>
      </c>
      <c r="F174" s="12" t="s">
        <v>2414</v>
      </c>
      <c r="G174" s="13" t="s">
        <v>2998</v>
      </c>
      <c r="H174" s="12" t="s">
        <v>2999</v>
      </c>
      <c r="I174" s="12" t="s">
        <v>3009</v>
      </c>
      <c r="J174" s="13" t="s">
        <v>966</v>
      </c>
      <c r="K174" s="13" t="s">
        <v>441</v>
      </c>
      <c r="L174" s="12" t="s">
        <v>191</v>
      </c>
      <c r="M174" s="12" t="n">
        <v>45</v>
      </c>
      <c r="N174" s="12" t="n">
        <v>260</v>
      </c>
      <c r="O174" s="13" t="s">
        <v>3000</v>
      </c>
      <c r="P174" s="12" t="s">
        <v>2989</v>
      </c>
      <c r="Q174" s="13" t="s">
        <v>3001</v>
      </c>
      <c r="R174" s="13" t="s">
        <v>2991</v>
      </c>
      <c r="S174" s="13" t="s">
        <v>3002</v>
      </c>
      <c r="T174" s="13"/>
      <c r="U174" s="12"/>
      <c r="V174" s="13"/>
      <c r="W174" s="12"/>
      <c r="X174" s="13"/>
      <c r="Y174" s="12" t="s">
        <v>2888</v>
      </c>
      <c r="Z174" s="12" t="s">
        <v>1509</v>
      </c>
      <c r="AA174" s="13" t="s">
        <v>3577</v>
      </c>
      <c r="AB174" s="13"/>
      <c r="AC174" s="12" t="s">
        <v>3014</v>
      </c>
    </row>
    <row r="175" customFormat="false" ht="30" hidden="false" customHeight="true" outlineLevel="0" collapsed="false">
      <c r="A175" s="10" t="s">
        <v>3578</v>
      </c>
      <c r="B175" s="10" t="s">
        <v>3579</v>
      </c>
      <c r="C175" s="10" t="s">
        <v>3506</v>
      </c>
      <c r="D175" s="10" t="s">
        <v>2984</v>
      </c>
      <c r="E175" s="10" t="s">
        <v>2048</v>
      </c>
      <c r="F175" s="10" t="s">
        <v>2049</v>
      </c>
      <c r="G175" s="11" t="s">
        <v>3071</v>
      </c>
      <c r="H175" s="10" t="s">
        <v>3072</v>
      </c>
      <c r="I175" s="10" t="s">
        <v>3073</v>
      </c>
      <c r="J175" s="11" t="s">
        <v>1303</v>
      </c>
      <c r="K175" s="11" t="s">
        <v>452</v>
      </c>
      <c r="L175" s="10" t="s">
        <v>170</v>
      </c>
      <c r="M175" s="10" t="n">
        <v>85</v>
      </c>
      <c r="N175" s="10" t="n">
        <v>400</v>
      </c>
      <c r="O175" s="11" t="s">
        <v>3031</v>
      </c>
      <c r="P175" s="10" t="s">
        <v>3011</v>
      </c>
      <c r="Q175" s="11"/>
      <c r="R175" s="11" t="s">
        <v>2991</v>
      </c>
      <c r="S175" s="11"/>
      <c r="T175" s="11"/>
      <c r="U175" s="10"/>
      <c r="V175" s="11"/>
      <c r="W175" s="10" t="s">
        <v>3440</v>
      </c>
      <c r="X175" s="11"/>
      <c r="Y175" s="10" t="s">
        <v>2884</v>
      </c>
      <c r="Z175" s="10" t="s">
        <v>2886</v>
      </c>
      <c r="AA175" s="11" t="s">
        <v>3580</v>
      </c>
      <c r="AB175" s="11"/>
      <c r="AC175" s="10" t="s">
        <v>2995</v>
      </c>
    </row>
    <row r="176" customFormat="false" ht="30" hidden="false" customHeight="true" outlineLevel="0" collapsed="false">
      <c r="A176" s="12" t="s">
        <v>3581</v>
      </c>
      <c r="B176" s="12" t="s">
        <v>3582</v>
      </c>
      <c r="C176" s="12" t="s">
        <v>3506</v>
      </c>
      <c r="D176" s="12" t="s">
        <v>2984</v>
      </c>
      <c r="E176" s="12" t="s">
        <v>1803</v>
      </c>
      <c r="F176" s="12" t="s">
        <v>1804</v>
      </c>
      <c r="G176" s="13" t="s">
        <v>3022</v>
      </c>
      <c r="H176" s="12" t="s">
        <v>2999</v>
      </c>
      <c r="I176" s="12" t="s">
        <v>3023</v>
      </c>
      <c r="J176" s="13" t="s">
        <v>3583</v>
      </c>
      <c r="K176" s="13" t="s">
        <v>429</v>
      </c>
      <c r="L176" s="12" t="s">
        <v>191</v>
      </c>
      <c r="M176" s="12" t="n">
        <v>52</v>
      </c>
      <c r="N176" s="12" t="n">
        <v>640</v>
      </c>
      <c r="O176" s="13" t="s">
        <v>3024</v>
      </c>
      <c r="P176" s="12" t="s">
        <v>2989</v>
      </c>
      <c r="Q176" s="13" t="s">
        <v>3067</v>
      </c>
      <c r="R176" s="13" t="s">
        <v>2991</v>
      </c>
      <c r="S176" s="13"/>
      <c r="T176" s="13"/>
      <c r="U176" s="12"/>
      <c r="V176" s="13"/>
      <c r="W176" s="12"/>
      <c r="X176" s="13"/>
      <c r="Y176" s="12" t="s">
        <v>2888</v>
      </c>
      <c r="Z176" s="12" t="s">
        <v>1509</v>
      </c>
      <c r="AA176" s="13" t="s">
        <v>3584</v>
      </c>
      <c r="AB176" s="13"/>
      <c r="AC176" s="12" t="s">
        <v>2995</v>
      </c>
    </row>
    <row r="177" customFormat="false" ht="30" hidden="false" customHeight="true" outlineLevel="0" collapsed="false">
      <c r="A177" s="10" t="s">
        <v>3585</v>
      </c>
      <c r="B177" s="10" t="s">
        <v>3586</v>
      </c>
      <c r="C177" s="10" t="s">
        <v>3506</v>
      </c>
      <c r="D177" s="10" t="s">
        <v>2903</v>
      </c>
      <c r="E177" s="10" t="s">
        <v>2410</v>
      </c>
      <c r="F177" s="10" t="s">
        <v>2411</v>
      </c>
      <c r="G177" s="11" t="s">
        <v>3007</v>
      </c>
      <c r="H177" s="10" t="s">
        <v>3008</v>
      </c>
      <c r="I177" s="10" t="s">
        <v>3009</v>
      </c>
      <c r="J177" s="11" t="s">
        <v>3117</v>
      </c>
      <c r="K177" s="11" t="s">
        <v>438</v>
      </c>
      <c r="L177" s="10" t="s">
        <v>177</v>
      </c>
      <c r="M177" s="10" t="n">
        <v>82</v>
      </c>
      <c r="N177" s="10" t="n">
        <v>475</v>
      </c>
      <c r="O177" s="11" t="s">
        <v>3031</v>
      </c>
      <c r="P177" s="10" t="s">
        <v>2989</v>
      </c>
      <c r="Q177" s="11" t="s">
        <v>3118</v>
      </c>
      <c r="R177" s="11" t="s">
        <v>2991</v>
      </c>
      <c r="S177" s="11"/>
      <c r="T177" s="11" t="s">
        <v>3119</v>
      </c>
      <c r="U177" s="10"/>
      <c r="V177" s="11"/>
      <c r="W177" s="10"/>
      <c r="X177" s="11"/>
      <c r="Y177" s="10" t="s">
        <v>2888</v>
      </c>
      <c r="Z177" s="10" t="s">
        <v>1509</v>
      </c>
      <c r="AA177" s="11" t="s">
        <v>3587</v>
      </c>
      <c r="AB177" s="11" t="s">
        <v>3588</v>
      </c>
      <c r="AC177" s="10" t="s">
        <v>3589</v>
      </c>
    </row>
    <row r="178" customFormat="false" ht="30" hidden="false" customHeight="true" outlineLevel="0" collapsed="false">
      <c r="A178" s="12" t="s">
        <v>3590</v>
      </c>
      <c r="B178" s="12" t="s">
        <v>3591</v>
      </c>
      <c r="C178" s="12" t="s">
        <v>3506</v>
      </c>
      <c r="D178" s="12" t="s">
        <v>2984</v>
      </c>
      <c r="E178" s="12" t="s">
        <v>1949</v>
      </c>
      <c r="F178" s="12" t="s">
        <v>1950</v>
      </c>
      <c r="G178" s="13" t="s">
        <v>3092</v>
      </c>
      <c r="H178" s="12" t="s">
        <v>3049</v>
      </c>
      <c r="I178" s="12" t="s">
        <v>3093</v>
      </c>
      <c r="J178" s="13" t="s">
        <v>1276</v>
      </c>
      <c r="K178" s="13" t="s">
        <v>452</v>
      </c>
      <c r="L178" s="12" t="s">
        <v>170</v>
      </c>
      <c r="M178" s="12" t="n">
        <v>81</v>
      </c>
      <c r="N178" s="12" t="n">
        <v>330</v>
      </c>
      <c r="O178" s="13" t="s">
        <v>2785</v>
      </c>
      <c r="P178" s="12" t="s">
        <v>3011</v>
      </c>
      <c r="Q178" s="13"/>
      <c r="R178" s="13" t="s">
        <v>2991</v>
      </c>
      <c r="S178" s="13"/>
      <c r="T178" s="13"/>
      <c r="U178" s="12"/>
      <c r="V178" s="13"/>
      <c r="W178" s="12"/>
      <c r="X178" s="13"/>
      <c r="Y178" s="12" t="s">
        <v>2884</v>
      </c>
      <c r="Z178" s="12" t="s">
        <v>2886</v>
      </c>
      <c r="AA178" s="13" t="s">
        <v>3592</v>
      </c>
      <c r="AB178" s="13"/>
      <c r="AC178" s="12" t="s">
        <v>2995</v>
      </c>
    </row>
    <row r="179" customFormat="false" ht="30" hidden="false" customHeight="true" outlineLevel="0" collapsed="false">
      <c r="A179" s="10" t="s">
        <v>3593</v>
      </c>
      <c r="B179" s="10" t="s">
        <v>3594</v>
      </c>
      <c r="C179" s="10" t="s">
        <v>3506</v>
      </c>
      <c r="D179" s="10" t="s">
        <v>2903</v>
      </c>
      <c r="E179" s="10" t="s">
        <v>2399</v>
      </c>
      <c r="F179" s="10" t="s">
        <v>2400</v>
      </c>
      <c r="G179" s="11" t="s">
        <v>3017</v>
      </c>
      <c r="H179" s="10" t="s">
        <v>3018</v>
      </c>
      <c r="I179" s="10" t="s">
        <v>2987</v>
      </c>
      <c r="J179" s="11" t="s">
        <v>38</v>
      </c>
      <c r="K179" s="11" t="s">
        <v>452</v>
      </c>
      <c r="L179" s="10" t="s">
        <v>191</v>
      </c>
      <c r="M179" s="10" t="n">
        <v>48</v>
      </c>
      <c r="N179" s="10" t="n">
        <v>285</v>
      </c>
      <c r="O179" s="11" t="s">
        <v>3000</v>
      </c>
      <c r="P179" s="10" t="s">
        <v>2989</v>
      </c>
      <c r="Q179" s="11"/>
      <c r="R179" s="11" t="s">
        <v>2991</v>
      </c>
      <c r="S179" s="11"/>
      <c r="T179" s="11"/>
      <c r="U179" s="10"/>
      <c r="V179" s="11"/>
      <c r="W179" s="10"/>
      <c r="X179" s="11"/>
      <c r="Y179" s="10" t="s">
        <v>2888</v>
      </c>
      <c r="Z179" s="10" t="s">
        <v>1509</v>
      </c>
      <c r="AA179" s="11" t="s">
        <v>3595</v>
      </c>
      <c r="AB179" s="11"/>
      <c r="AC179" s="10" t="s">
        <v>2995</v>
      </c>
    </row>
    <row r="180" customFormat="false" ht="30" hidden="false" customHeight="true" outlineLevel="0" collapsed="false">
      <c r="A180" s="12" t="s">
        <v>3596</v>
      </c>
      <c r="B180" s="12" t="s">
        <v>3597</v>
      </c>
      <c r="C180" s="12" t="s">
        <v>3506</v>
      </c>
      <c r="D180" s="12" t="s">
        <v>2984</v>
      </c>
      <c r="E180" s="12" t="s">
        <v>1945</v>
      </c>
      <c r="F180" s="12" t="s">
        <v>1946</v>
      </c>
      <c r="G180" s="13" t="s">
        <v>3092</v>
      </c>
      <c r="H180" s="12" t="s">
        <v>3049</v>
      </c>
      <c r="I180" s="12" t="s">
        <v>3093</v>
      </c>
      <c r="J180" s="13" t="s">
        <v>1276</v>
      </c>
      <c r="K180" s="13" t="s">
        <v>452</v>
      </c>
      <c r="L180" s="12" t="s">
        <v>170</v>
      </c>
      <c r="M180" s="12" t="n">
        <v>81</v>
      </c>
      <c r="N180" s="12" t="n">
        <v>290</v>
      </c>
      <c r="O180" s="13" t="s">
        <v>2785</v>
      </c>
      <c r="P180" s="12" t="s">
        <v>3011</v>
      </c>
      <c r="Q180" s="13"/>
      <c r="R180" s="13" t="s">
        <v>2991</v>
      </c>
      <c r="S180" s="13"/>
      <c r="T180" s="13"/>
      <c r="U180" s="12"/>
      <c r="V180" s="13"/>
      <c r="W180" s="12"/>
      <c r="X180" s="13"/>
      <c r="Y180" s="12" t="s">
        <v>2884</v>
      </c>
      <c r="Z180" s="12" t="s">
        <v>2886</v>
      </c>
      <c r="AA180" s="13" t="s">
        <v>3598</v>
      </c>
      <c r="AB180" s="13"/>
      <c r="AC180" s="12" t="s">
        <v>2995</v>
      </c>
    </row>
    <row r="181" customFormat="false" ht="30" hidden="false" customHeight="true" outlineLevel="0" collapsed="false">
      <c r="A181" s="10" t="s">
        <v>3599</v>
      </c>
      <c r="B181" s="10" t="s">
        <v>3600</v>
      </c>
      <c r="C181" s="10" t="s">
        <v>3506</v>
      </c>
      <c r="D181" s="10" t="s">
        <v>2984</v>
      </c>
      <c r="E181" s="10" t="s">
        <v>1853</v>
      </c>
      <c r="F181" s="10" t="s">
        <v>1854</v>
      </c>
      <c r="G181" s="11" t="s">
        <v>3065</v>
      </c>
      <c r="H181" s="10" t="s">
        <v>2986</v>
      </c>
      <c r="I181" s="10" t="s">
        <v>3023</v>
      </c>
      <c r="J181" s="11" t="s">
        <v>3601</v>
      </c>
      <c r="K181" s="11" t="s">
        <v>433</v>
      </c>
      <c r="L181" s="10" t="s">
        <v>177</v>
      </c>
      <c r="M181" s="10" t="n">
        <v>54</v>
      </c>
      <c r="N181" s="10" t="n">
        <v>595</v>
      </c>
      <c r="O181" s="11" t="s">
        <v>3024</v>
      </c>
      <c r="P181" s="10" t="s">
        <v>2989</v>
      </c>
      <c r="Q181" s="11"/>
      <c r="R181" s="11" t="s">
        <v>2991</v>
      </c>
      <c r="S181" s="11"/>
      <c r="T181" s="11"/>
      <c r="U181" s="10"/>
      <c r="V181" s="11"/>
      <c r="W181" s="10"/>
      <c r="X181" s="11"/>
      <c r="Y181" s="10" t="s">
        <v>2888</v>
      </c>
      <c r="Z181" s="10" t="s">
        <v>1509</v>
      </c>
      <c r="AA181" s="11" t="s">
        <v>3602</v>
      </c>
      <c r="AB181" s="11" t="s">
        <v>3603</v>
      </c>
      <c r="AC181" s="10" t="s">
        <v>2995</v>
      </c>
    </row>
    <row r="182" customFormat="false" ht="30" hidden="false" customHeight="true" outlineLevel="0" collapsed="false">
      <c r="A182" s="12" t="s">
        <v>3604</v>
      </c>
      <c r="B182" s="12" t="s">
        <v>3605</v>
      </c>
      <c r="C182" s="12" t="s">
        <v>3506</v>
      </c>
      <c r="D182" s="12" t="s">
        <v>2984</v>
      </c>
      <c r="E182" s="12" t="s">
        <v>1869</v>
      </c>
      <c r="F182" s="12" t="s">
        <v>1870</v>
      </c>
      <c r="G182" s="13" t="s">
        <v>3080</v>
      </c>
      <c r="H182" s="12" t="s">
        <v>3018</v>
      </c>
      <c r="I182" s="12" t="s">
        <v>3023</v>
      </c>
      <c r="J182" s="13" t="s">
        <v>1249</v>
      </c>
      <c r="K182" s="13" t="s">
        <v>452</v>
      </c>
      <c r="L182" s="12" t="s">
        <v>177</v>
      </c>
      <c r="M182" s="12" t="n">
        <v>77</v>
      </c>
      <c r="N182" s="12" t="n">
        <v>335</v>
      </c>
      <c r="O182" s="13" t="s">
        <v>3031</v>
      </c>
      <c r="P182" s="12" t="s">
        <v>3011</v>
      </c>
      <c r="Q182" s="13"/>
      <c r="R182" s="13" t="s">
        <v>2991</v>
      </c>
      <c r="S182" s="13"/>
      <c r="T182" s="13"/>
      <c r="U182" s="12"/>
      <c r="V182" s="13"/>
      <c r="W182" s="12"/>
      <c r="X182" s="13"/>
      <c r="Y182" s="12" t="s">
        <v>2884</v>
      </c>
      <c r="Z182" s="12" t="s">
        <v>2886</v>
      </c>
      <c r="AA182" s="13" t="s">
        <v>3606</v>
      </c>
      <c r="AB182" s="13"/>
      <c r="AC182" s="12" t="s">
        <v>2995</v>
      </c>
    </row>
    <row r="183" customFormat="false" ht="30" hidden="false" customHeight="true" outlineLevel="0" collapsed="false">
      <c r="A183" s="10" t="s">
        <v>3607</v>
      </c>
      <c r="B183" s="10" t="s">
        <v>3608</v>
      </c>
      <c r="C183" s="10" t="s">
        <v>3506</v>
      </c>
      <c r="D183" s="10" t="s">
        <v>2984</v>
      </c>
      <c r="E183" s="10" t="s">
        <v>1893</v>
      </c>
      <c r="F183" s="10" t="s">
        <v>1894</v>
      </c>
      <c r="G183" s="11" t="s">
        <v>3062</v>
      </c>
      <c r="H183" s="10" t="s">
        <v>2986</v>
      </c>
      <c r="I183" s="10" t="s">
        <v>2987</v>
      </c>
      <c r="J183" s="11" t="s">
        <v>1231</v>
      </c>
      <c r="K183" s="11" t="s">
        <v>433</v>
      </c>
      <c r="L183" s="10" t="s">
        <v>177</v>
      </c>
      <c r="M183" s="10" t="n">
        <v>79</v>
      </c>
      <c r="N183" s="10" t="n">
        <v>380</v>
      </c>
      <c r="O183" s="11" t="s">
        <v>3031</v>
      </c>
      <c r="P183" s="10" t="s">
        <v>2989</v>
      </c>
      <c r="Q183" s="11" t="s">
        <v>2990</v>
      </c>
      <c r="R183" s="11" t="s">
        <v>2991</v>
      </c>
      <c r="S183" s="11"/>
      <c r="T183" s="11"/>
      <c r="U183" s="10"/>
      <c r="V183" s="11"/>
      <c r="W183" s="10" t="s">
        <v>3440</v>
      </c>
      <c r="X183" s="11"/>
      <c r="Y183" s="10" t="s">
        <v>2824</v>
      </c>
      <c r="Z183" s="10" t="s">
        <v>2892</v>
      </c>
      <c r="AA183" s="11" t="s">
        <v>3609</v>
      </c>
      <c r="AB183" s="11"/>
      <c r="AC183" s="10" t="s">
        <v>2995</v>
      </c>
    </row>
    <row r="184" customFormat="false" ht="30" hidden="false" customHeight="true" outlineLevel="0" collapsed="false">
      <c r="A184" s="12" t="s">
        <v>3610</v>
      </c>
      <c r="B184" s="12" t="s">
        <v>3611</v>
      </c>
      <c r="C184" s="12" t="s">
        <v>3506</v>
      </c>
      <c r="D184" s="12" t="s">
        <v>2984</v>
      </c>
      <c r="E184" s="12" t="s">
        <v>1937</v>
      </c>
      <c r="F184" s="12" t="s">
        <v>1938</v>
      </c>
      <c r="G184" s="13" t="s">
        <v>2998</v>
      </c>
      <c r="H184" s="12" t="s">
        <v>3049</v>
      </c>
      <c r="I184" s="12" t="s">
        <v>2987</v>
      </c>
      <c r="J184" s="13" t="s">
        <v>3612</v>
      </c>
      <c r="K184" s="13" t="s">
        <v>426</v>
      </c>
      <c r="L184" s="12" t="s">
        <v>191</v>
      </c>
      <c r="M184" s="12" t="n">
        <v>44</v>
      </c>
      <c r="N184" s="12" t="n">
        <v>245</v>
      </c>
      <c r="O184" s="13" t="s">
        <v>3000</v>
      </c>
      <c r="P184" s="12" t="s">
        <v>2989</v>
      </c>
      <c r="Q184" s="13" t="s">
        <v>3124</v>
      </c>
      <c r="R184" s="13" t="s">
        <v>2991</v>
      </c>
      <c r="S184" s="13" t="s">
        <v>3002</v>
      </c>
      <c r="T184" s="13"/>
      <c r="U184" s="12"/>
      <c r="V184" s="13"/>
      <c r="W184" s="12"/>
      <c r="X184" s="13"/>
      <c r="Y184" s="12" t="s">
        <v>2888</v>
      </c>
      <c r="Z184" s="12" t="s">
        <v>1509</v>
      </c>
      <c r="AA184" s="13" t="s">
        <v>3613</v>
      </c>
      <c r="AB184" s="13" t="s">
        <v>3614</v>
      </c>
      <c r="AC184" s="12" t="s">
        <v>2995</v>
      </c>
    </row>
    <row r="185" customFormat="false" ht="30" hidden="false" customHeight="true" outlineLevel="0" collapsed="false">
      <c r="A185" s="10" t="s">
        <v>3615</v>
      </c>
      <c r="B185" s="10" t="s">
        <v>3616</v>
      </c>
      <c r="C185" s="10" t="s">
        <v>3506</v>
      </c>
      <c r="D185" s="10" t="s">
        <v>2984</v>
      </c>
      <c r="E185" s="10" t="s">
        <v>1909</v>
      </c>
      <c r="F185" s="10" t="s">
        <v>1910</v>
      </c>
      <c r="G185" s="11" t="s">
        <v>2985</v>
      </c>
      <c r="H185" s="10" t="s">
        <v>2986</v>
      </c>
      <c r="I185" s="10" t="s">
        <v>2987</v>
      </c>
      <c r="J185" s="11" t="s">
        <v>3617</v>
      </c>
      <c r="K185" s="11" t="s">
        <v>433</v>
      </c>
      <c r="L185" s="10" t="s">
        <v>170</v>
      </c>
      <c r="M185" s="10" t="n">
        <v>88</v>
      </c>
      <c r="N185" s="10" t="n">
        <v>405</v>
      </c>
      <c r="O185" s="11" t="s">
        <v>2785</v>
      </c>
      <c r="P185" s="10" t="s">
        <v>3097</v>
      </c>
      <c r="Q185" s="11"/>
      <c r="R185" s="11" t="s">
        <v>2991</v>
      </c>
      <c r="S185" s="11"/>
      <c r="T185" s="11"/>
      <c r="U185" s="10"/>
      <c r="V185" s="11"/>
      <c r="W185" s="10"/>
      <c r="X185" s="11"/>
      <c r="Y185" s="10" t="s">
        <v>2894</v>
      </c>
      <c r="Z185" s="10" t="s">
        <v>1554</v>
      </c>
      <c r="AA185" s="11" t="s">
        <v>3618</v>
      </c>
      <c r="AB185" s="11"/>
      <c r="AC185" s="10" t="s">
        <v>2995</v>
      </c>
    </row>
    <row r="186" customFormat="false" ht="30" hidden="false" customHeight="true" outlineLevel="0" collapsed="false">
      <c r="A186" s="12" t="s">
        <v>3619</v>
      </c>
      <c r="B186" s="12" t="s">
        <v>3620</v>
      </c>
      <c r="C186" s="12" t="s">
        <v>3506</v>
      </c>
      <c r="D186" s="12" t="s">
        <v>2984</v>
      </c>
      <c r="E186" s="12" t="s">
        <v>2070</v>
      </c>
      <c r="F186" s="12" t="s">
        <v>2071</v>
      </c>
      <c r="G186" s="13" t="s">
        <v>3084</v>
      </c>
      <c r="H186" s="12" t="s">
        <v>3072</v>
      </c>
      <c r="I186" s="12" t="s">
        <v>3073</v>
      </c>
      <c r="J186" s="13" t="s">
        <v>1291</v>
      </c>
      <c r="K186" s="13" t="s">
        <v>452</v>
      </c>
      <c r="L186" s="12" t="s">
        <v>191</v>
      </c>
      <c r="M186" s="12" t="n">
        <v>46</v>
      </c>
      <c r="N186" s="12" t="n">
        <v>225</v>
      </c>
      <c r="O186" s="13" t="s">
        <v>3000</v>
      </c>
      <c r="P186" s="12" t="s">
        <v>2989</v>
      </c>
      <c r="Q186" s="13" t="s">
        <v>2990</v>
      </c>
      <c r="R186" s="13" t="s">
        <v>2991</v>
      </c>
      <c r="S186" s="13"/>
      <c r="T186" s="13"/>
      <c r="U186" s="12"/>
      <c r="V186" s="13"/>
      <c r="W186" s="12"/>
      <c r="X186" s="13"/>
      <c r="Y186" s="12" t="s">
        <v>2888</v>
      </c>
      <c r="Z186" s="12" t="s">
        <v>1509</v>
      </c>
      <c r="AA186" s="13" t="s">
        <v>3621</v>
      </c>
      <c r="AB186" s="13"/>
      <c r="AC186" s="12" t="s">
        <v>2995</v>
      </c>
    </row>
    <row r="187" customFormat="false" ht="30" hidden="false" customHeight="true" outlineLevel="0" collapsed="false">
      <c r="A187" s="10" t="s">
        <v>3622</v>
      </c>
      <c r="B187" s="10" t="s">
        <v>3623</v>
      </c>
      <c r="C187" s="10" t="s">
        <v>3506</v>
      </c>
      <c r="D187" s="10" t="s">
        <v>2984</v>
      </c>
      <c r="E187" s="10" t="s">
        <v>2046</v>
      </c>
      <c r="F187" s="10" t="s">
        <v>2047</v>
      </c>
      <c r="G187" s="11" t="s">
        <v>3053</v>
      </c>
      <c r="H187" s="10" t="s">
        <v>3072</v>
      </c>
      <c r="I187" s="10" t="s">
        <v>3073</v>
      </c>
      <c r="J187" s="11" t="s">
        <v>1299</v>
      </c>
      <c r="K187" s="11" t="s">
        <v>452</v>
      </c>
      <c r="L187" s="10" t="s">
        <v>191</v>
      </c>
      <c r="M187" s="10" t="n">
        <v>47</v>
      </c>
      <c r="N187" s="10" t="n">
        <v>255</v>
      </c>
      <c r="O187" s="11" t="s">
        <v>3000</v>
      </c>
      <c r="P187" s="10" t="s">
        <v>2989</v>
      </c>
      <c r="Q187" s="11" t="s">
        <v>3054</v>
      </c>
      <c r="R187" s="11" t="s">
        <v>3055</v>
      </c>
      <c r="S187" s="11"/>
      <c r="T187" s="11"/>
      <c r="U187" s="10"/>
      <c r="V187" s="11"/>
      <c r="W187" s="10" t="s">
        <v>3440</v>
      </c>
      <c r="X187" s="11"/>
      <c r="Y187" s="10" t="s">
        <v>2888</v>
      </c>
      <c r="Z187" s="10" t="s">
        <v>1509</v>
      </c>
      <c r="AA187" s="11" t="s">
        <v>3624</v>
      </c>
      <c r="AB187" s="11"/>
      <c r="AC187" s="10" t="s">
        <v>2995</v>
      </c>
    </row>
    <row r="188" customFormat="false" ht="30" hidden="false" customHeight="true" outlineLevel="0" collapsed="false">
      <c r="A188" s="12" t="s">
        <v>3625</v>
      </c>
      <c r="B188" s="12" t="s">
        <v>3626</v>
      </c>
      <c r="C188" s="12" t="s">
        <v>3506</v>
      </c>
      <c r="D188" s="12" t="s">
        <v>2984</v>
      </c>
      <c r="E188" s="12" t="s">
        <v>1967</v>
      </c>
      <c r="F188" s="12" t="s">
        <v>1968</v>
      </c>
      <c r="G188" s="13" t="s">
        <v>3039</v>
      </c>
      <c r="H188" s="12" t="s">
        <v>2986</v>
      </c>
      <c r="I188" s="12" t="s">
        <v>2987</v>
      </c>
      <c r="J188" s="13" t="s">
        <v>38</v>
      </c>
      <c r="K188" s="13" t="s">
        <v>452</v>
      </c>
      <c r="L188" s="12" t="s">
        <v>184</v>
      </c>
      <c r="M188" s="12" t="n">
        <v>87</v>
      </c>
      <c r="N188" s="12" t="n">
        <v>500</v>
      </c>
      <c r="O188" s="13" t="s">
        <v>2792</v>
      </c>
      <c r="P188" s="12" t="s">
        <v>3097</v>
      </c>
      <c r="Q188" s="13" t="s">
        <v>3067</v>
      </c>
      <c r="R188" s="13" t="s">
        <v>3201</v>
      </c>
      <c r="S188" s="13"/>
      <c r="T188" s="13"/>
      <c r="U188" s="12"/>
      <c r="V188" s="13"/>
      <c r="W188" s="12"/>
      <c r="X188" s="13"/>
      <c r="Y188" s="12" t="s">
        <v>2894</v>
      </c>
      <c r="Z188" s="12" t="s">
        <v>1554</v>
      </c>
      <c r="AA188" s="13" t="s">
        <v>3627</v>
      </c>
      <c r="AB188" s="13"/>
      <c r="AC188" s="12" t="s">
        <v>2995</v>
      </c>
    </row>
    <row r="189" customFormat="false" ht="30" hidden="false" customHeight="true" outlineLevel="0" collapsed="false">
      <c r="A189" s="10" t="s">
        <v>3628</v>
      </c>
      <c r="B189" s="10" t="s">
        <v>3629</v>
      </c>
      <c r="C189" s="10" t="s">
        <v>3506</v>
      </c>
      <c r="D189" s="10" t="s">
        <v>2984</v>
      </c>
      <c r="E189" s="10" t="s">
        <v>1891</v>
      </c>
      <c r="F189" s="10" t="s">
        <v>1892</v>
      </c>
      <c r="G189" s="11" t="s">
        <v>3029</v>
      </c>
      <c r="H189" s="10" t="s">
        <v>3018</v>
      </c>
      <c r="I189" s="10" t="s">
        <v>2987</v>
      </c>
      <c r="J189" s="11" t="s">
        <v>3250</v>
      </c>
      <c r="K189" s="11" t="s">
        <v>418</v>
      </c>
      <c r="L189" s="10" t="s">
        <v>177</v>
      </c>
      <c r="M189" s="10" t="n">
        <v>80</v>
      </c>
      <c r="N189" s="10" t="n">
        <v>370</v>
      </c>
      <c r="O189" s="11" t="s">
        <v>3031</v>
      </c>
      <c r="P189" s="10" t="s">
        <v>2989</v>
      </c>
      <c r="Q189" s="11" t="s">
        <v>2990</v>
      </c>
      <c r="R189" s="11" t="s">
        <v>2991</v>
      </c>
      <c r="S189" s="11"/>
      <c r="T189" s="11"/>
      <c r="U189" s="10"/>
      <c r="V189" s="11"/>
      <c r="W189" s="10" t="s">
        <v>3440</v>
      </c>
      <c r="X189" s="11"/>
      <c r="Y189" s="10" t="s">
        <v>2888</v>
      </c>
      <c r="Z189" s="10" t="s">
        <v>1509</v>
      </c>
      <c r="AA189" s="11" t="s">
        <v>3630</v>
      </c>
      <c r="AB189" s="11"/>
      <c r="AC189" s="10" t="s">
        <v>2995</v>
      </c>
    </row>
    <row r="190" customFormat="false" ht="30" hidden="false" customHeight="true" outlineLevel="0" collapsed="false">
      <c r="A190" s="12" t="s">
        <v>3631</v>
      </c>
      <c r="B190" s="12" t="s">
        <v>3632</v>
      </c>
      <c r="C190" s="12" t="s">
        <v>3506</v>
      </c>
      <c r="D190" s="12" t="s">
        <v>2984</v>
      </c>
      <c r="E190" s="12" t="s">
        <v>1887</v>
      </c>
      <c r="F190" s="12" t="s">
        <v>1888</v>
      </c>
      <c r="G190" s="13" t="s">
        <v>3071</v>
      </c>
      <c r="H190" s="12" t="s">
        <v>3018</v>
      </c>
      <c r="I190" s="12" t="s">
        <v>3023</v>
      </c>
      <c r="J190" s="13" t="s">
        <v>1256</v>
      </c>
      <c r="K190" s="13" t="s">
        <v>452</v>
      </c>
      <c r="L190" s="12" t="s">
        <v>170</v>
      </c>
      <c r="M190" s="12" t="n">
        <v>82</v>
      </c>
      <c r="N190" s="12" t="n">
        <v>325</v>
      </c>
      <c r="O190" s="13" t="s">
        <v>3031</v>
      </c>
      <c r="P190" s="12" t="s">
        <v>3011</v>
      </c>
      <c r="Q190" s="13"/>
      <c r="R190" s="13" t="s">
        <v>2991</v>
      </c>
      <c r="S190" s="13"/>
      <c r="T190" s="13"/>
      <c r="U190" s="12"/>
      <c r="V190" s="13"/>
      <c r="W190" s="12" t="s">
        <v>3440</v>
      </c>
      <c r="X190" s="13"/>
      <c r="Y190" s="12" t="s">
        <v>2884</v>
      </c>
      <c r="Z190" s="12" t="s">
        <v>2886</v>
      </c>
      <c r="AA190" s="13" t="s">
        <v>3633</v>
      </c>
      <c r="AB190" s="13"/>
      <c r="AC190" s="12" t="s">
        <v>2995</v>
      </c>
    </row>
    <row r="191" customFormat="false" ht="30" hidden="false" customHeight="true" outlineLevel="0" collapsed="false">
      <c r="A191" s="10" t="s">
        <v>3634</v>
      </c>
      <c r="B191" s="10" t="s">
        <v>3635</v>
      </c>
      <c r="C191" s="10" t="s">
        <v>3506</v>
      </c>
      <c r="D191" s="10" t="s">
        <v>2903</v>
      </c>
      <c r="E191" s="10" t="s">
        <v>2389</v>
      </c>
      <c r="F191" s="10" t="s">
        <v>2127</v>
      </c>
      <c r="G191" s="11" t="s">
        <v>3017</v>
      </c>
      <c r="H191" s="10" t="s">
        <v>2999</v>
      </c>
      <c r="I191" s="10" t="s">
        <v>3009</v>
      </c>
      <c r="J191" s="11" t="s">
        <v>985</v>
      </c>
      <c r="K191" s="11" t="s">
        <v>441</v>
      </c>
      <c r="L191" s="10" t="s">
        <v>191</v>
      </c>
      <c r="M191" s="10" t="n">
        <v>49</v>
      </c>
      <c r="N191" s="10" t="n">
        <v>270</v>
      </c>
      <c r="O191" s="11" t="s">
        <v>3000</v>
      </c>
      <c r="P191" s="10" t="s">
        <v>2989</v>
      </c>
      <c r="Q191" s="11"/>
      <c r="R191" s="11" t="s">
        <v>2991</v>
      </c>
      <c r="S191" s="11"/>
      <c r="T191" s="11"/>
      <c r="U191" s="10"/>
      <c r="V191" s="11"/>
      <c r="W191" s="10"/>
      <c r="X191" s="11"/>
      <c r="Y191" s="10" t="s">
        <v>2888</v>
      </c>
      <c r="Z191" s="10" t="s">
        <v>1509</v>
      </c>
      <c r="AA191" s="11" t="s">
        <v>3636</v>
      </c>
      <c r="AB191" s="11"/>
      <c r="AC191" s="10" t="s">
        <v>2995</v>
      </c>
    </row>
    <row r="192" customFormat="false" ht="30" hidden="false" customHeight="true" outlineLevel="0" collapsed="false">
      <c r="A192" s="12" t="s">
        <v>3637</v>
      </c>
      <c r="B192" s="12" t="s">
        <v>3638</v>
      </c>
      <c r="C192" s="12" t="s">
        <v>3506</v>
      </c>
      <c r="D192" s="12" t="s">
        <v>2903</v>
      </c>
      <c r="E192" s="12" t="s">
        <v>2415</v>
      </c>
      <c r="F192" s="12" t="s">
        <v>2416</v>
      </c>
      <c r="G192" s="13" t="s">
        <v>3007</v>
      </c>
      <c r="H192" s="12" t="s">
        <v>2999</v>
      </c>
      <c r="I192" s="12" t="s">
        <v>3009</v>
      </c>
      <c r="J192" s="13" t="s">
        <v>3639</v>
      </c>
      <c r="K192" s="13" t="s">
        <v>445</v>
      </c>
      <c r="L192" s="12" t="s">
        <v>170</v>
      </c>
      <c r="M192" s="12" t="n">
        <v>86</v>
      </c>
      <c r="N192" s="12" t="n">
        <v>425</v>
      </c>
      <c r="O192" s="13" t="s">
        <v>2785</v>
      </c>
      <c r="P192" s="12" t="s">
        <v>3011</v>
      </c>
      <c r="Q192" s="13"/>
      <c r="R192" s="13" t="s">
        <v>2991</v>
      </c>
      <c r="S192" s="13"/>
      <c r="T192" s="13"/>
      <c r="U192" s="12" t="s">
        <v>3466</v>
      </c>
      <c r="V192" s="13"/>
      <c r="W192" s="12" t="s">
        <v>3044</v>
      </c>
      <c r="X192" s="13"/>
      <c r="Y192" s="12" t="s">
        <v>2824</v>
      </c>
      <c r="Z192" s="12" t="s">
        <v>2892</v>
      </c>
      <c r="AA192" s="13" t="s">
        <v>3640</v>
      </c>
      <c r="AB192" s="13" t="s">
        <v>3641</v>
      </c>
      <c r="AC192" s="12" t="s">
        <v>3014</v>
      </c>
    </row>
    <row r="193" customFormat="false" ht="30" hidden="false" customHeight="true" outlineLevel="0" collapsed="false">
      <c r="A193" s="10" t="s">
        <v>3642</v>
      </c>
      <c r="B193" s="10" t="s">
        <v>3643</v>
      </c>
      <c r="C193" s="10" t="s">
        <v>3506</v>
      </c>
      <c r="D193" s="10" t="s">
        <v>2903</v>
      </c>
      <c r="E193" s="10" t="s">
        <v>2458</v>
      </c>
      <c r="F193" s="10" t="s">
        <v>2459</v>
      </c>
      <c r="G193" s="11" t="s">
        <v>3058</v>
      </c>
      <c r="H193" s="10" t="s">
        <v>3018</v>
      </c>
      <c r="I193" s="10" t="s">
        <v>3009</v>
      </c>
      <c r="J193" s="11" t="s">
        <v>3644</v>
      </c>
      <c r="K193" s="11" t="s">
        <v>445</v>
      </c>
      <c r="L193" s="10" t="s">
        <v>170</v>
      </c>
      <c r="M193" s="10" t="n">
        <v>84</v>
      </c>
      <c r="N193" s="10" t="n">
        <v>375</v>
      </c>
      <c r="O193" s="11" t="s">
        <v>2785</v>
      </c>
      <c r="P193" s="10" t="s">
        <v>3011</v>
      </c>
      <c r="Q193" s="11"/>
      <c r="R193" s="11" t="s">
        <v>2991</v>
      </c>
      <c r="S193" s="11"/>
      <c r="T193" s="11"/>
      <c r="U193" s="10" t="s">
        <v>3645</v>
      </c>
      <c r="V193" s="11"/>
      <c r="W193" s="10"/>
      <c r="X193" s="11"/>
      <c r="Y193" s="10" t="s">
        <v>2884</v>
      </c>
      <c r="Z193" s="10" t="s">
        <v>2886</v>
      </c>
      <c r="AA193" s="11" t="s">
        <v>3646</v>
      </c>
      <c r="AB193" s="11" t="s">
        <v>3647</v>
      </c>
      <c r="AC193" s="10" t="s">
        <v>3014</v>
      </c>
    </row>
    <row r="194" customFormat="false" ht="30" hidden="false" customHeight="true" outlineLevel="0" collapsed="false">
      <c r="A194" s="12" t="s">
        <v>3648</v>
      </c>
      <c r="B194" s="12" t="s">
        <v>3649</v>
      </c>
      <c r="C194" s="12" t="s">
        <v>3506</v>
      </c>
      <c r="D194" s="12" t="s">
        <v>2984</v>
      </c>
      <c r="E194" s="12" t="s">
        <v>2116</v>
      </c>
      <c r="F194" s="12" t="s">
        <v>2117</v>
      </c>
      <c r="G194" s="13" t="s">
        <v>3022</v>
      </c>
      <c r="H194" s="12" t="s">
        <v>3072</v>
      </c>
      <c r="I194" s="12" t="s">
        <v>3073</v>
      </c>
      <c r="J194" s="13" t="s">
        <v>1299</v>
      </c>
      <c r="K194" s="13" t="s">
        <v>452</v>
      </c>
      <c r="L194" s="12" t="s">
        <v>177</v>
      </c>
      <c r="M194" s="12" t="n">
        <v>56</v>
      </c>
      <c r="N194" s="12" t="n">
        <v>580</v>
      </c>
      <c r="O194" s="13" t="s">
        <v>3024</v>
      </c>
      <c r="P194" s="12" t="s">
        <v>2989</v>
      </c>
      <c r="Q194" s="13" t="s">
        <v>2990</v>
      </c>
      <c r="R194" s="13" t="s">
        <v>2991</v>
      </c>
      <c r="S194" s="13"/>
      <c r="T194" s="13"/>
      <c r="U194" s="12"/>
      <c r="V194" s="13"/>
      <c r="W194" s="12" t="s">
        <v>3364</v>
      </c>
      <c r="X194" s="13"/>
      <c r="Y194" s="12" t="s">
        <v>2888</v>
      </c>
      <c r="Z194" s="12" t="s">
        <v>1509</v>
      </c>
      <c r="AA194" s="13" t="s">
        <v>3650</v>
      </c>
      <c r="AB194" s="13"/>
      <c r="AC194" s="12" t="s">
        <v>2995</v>
      </c>
    </row>
    <row r="195" customFormat="false" ht="30" hidden="false" customHeight="true" outlineLevel="0" collapsed="false">
      <c r="A195" s="10" t="s">
        <v>3651</v>
      </c>
      <c r="B195" s="10" t="s">
        <v>3652</v>
      </c>
      <c r="C195" s="10" t="s">
        <v>3506</v>
      </c>
      <c r="D195" s="10" t="s">
        <v>2984</v>
      </c>
      <c r="E195" s="10" t="s">
        <v>1917</v>
      </c>
      <c r="F195" s="10" t="s">
        <v>1918</v>
      </c>
      <c r="G195" s="11" t="s">
        <v>3048</v>
      </c>
      <c r="H195" s="10" t="s">
        <v>3049</v>
      </c>
      <c r="I195" s="10" t="s">
        <v>2987</v>
      </c>
      <c r="J195" s="11" t="s">
        <v>3653</v>
      </c>
      <c r="K195" s="11" t="s">
        <v>426</v>
      </c>
      <c r="L195" s="10" t="s">
        <v>170</v>
      </c>
      <c r="M195" s="10" t="n">
        <v>83</v>
      </c>
      <c r="N195" s="10" t="n">
        <v>350</v>
      </c>
      <c r="O195" s="11" t="s">
        <v>2785</v>
      </c>
      <c r="P195" s="10" t="s">
        <v>3011</v>
      </c>
      <c r="Q195" s="11"/>
      <c r="R195" s="11" t="s">
        <v>2991</v>
      </c>
      <c r="S195" s="11"/>
      <c r="T195" s="11"/>
      <c r="U195" s="10"/>
      <c r="V195" s="11"/>
      <c r="W195" s="10" t="s">
        <v>3351</v>
      </c>
      <c r="X195" s="11"/>
      <c r="Y195" s="10" t="s">
        <v>2884</v>
      </c>
      <c r="Z195" s="10" t="s">
        <v>2886</v>
      </c>
      <c r="AA195" s="11" t="s">
        <v>3654</v>
      </c>
      <c r="AB195" s="11"/>
      <c r="AC195" s="10" t="s">
        <v>3655</v>
      </c>
    </row>
    <row r="196" customFormat="false" ht="30" hidden="false" customHeight="true" outlineLevel="0" collapsed="false">
      <c r="A196" s="12" t="s">
        <v>3656</v>
      </c>
      <c r="B196" s="12" t="s">
        <v>3657</v>
      </c>
      <c r="C196" s="12" t="s">
        <v>3506</v>
      </c>
      <c r="D196" s="12" t="s">
        <v>2984</v>
      </c>
      <c r="E196" s="12" t="s">
        <v>1939</v>
      </c>
      <c r="F196" s="12" t="s">
        <v>1940</v>
      </c>
      <c r="G196" s="13" t="s">
        <v>3112</v>
      </c>
      <c r="H196" s="12" t="s">
        <v>2986</v>
      </c>
      <c r="I196" s="12" t="s">
        <v>2987</v>
      </c>
      <c r="J196" s="13" t="s">
        <v>1173</v>
      </c>
      <c r="K196" s="13" t="s">
        <v>452</v>
      </c>
      <c r="L196" s="12" t="s">
        <v>191</v>
      </c>
      <c r="M196" s="12" t="n">
        <v>52</v>
      </c>
      <c r="N196" s="12" t="n">
        <v>565</v>
      </c>
      <c r="O196" s="13" t="s">
        <v>3024</v>
      </c>
      <c r="P196" s="12" t="s">
        <v>2989</v>
      </c>
      <c r="Q196" s="13"/>
      <c r="R196" s="13" t="s">
        <v>2991</v>
      </c>
      <c r="S196" s="13"/>
      <c r="T196" s="13"/>
      <c r="U196" s="12"/>
      <c r="V196" s="13"/>
      <c r="W196" s="12"/>
      <c r="X196" s="13"/>
      <c r="Y196" s="12" t="s">
        <v>2888</v>
      </c>
      <c r="Z196" s="12" t="s">
        <v>1509</v>
      </c>
      <c r="AA196" s="13" t="s">
        <v>3658</v>
      </c>
      <c r="AB196" s="13"/>
      <c r="AC196" s="12" t="s">
        <v>2995</v>
      </c>
    </row>
    <row r="197" customFormat="false" ht="30" hidden="false" customHeight="true" outlineLevel="0" collapsed="false">
      <c r="A197" s="10" t="s">
        <v>3659</v>
      </c>
      <c r="B197" s="10" t="s">
        <v>3660</v>
      </c>
      <c r="C197" s="10" t="s">
        <v>3506</v>
      </c>
      <c r="D197" s="10" t="s">
        <v>2984</v>
      </c>
      <c r="E197" s="10" t="s">
        <v>1861</v>
      </c>
      <c r="F197" s="10" t="s">
        <v>1862</v>
      </c>
      <c r="G197" s="11" t="s">
        <v>2998</v>
      </c>
      <c r="H197" s="10" t="s">
        <v>3018</v>
      </c>
      <c r="I197" s="10" t="s">
        <v>3093</v>
      </c>
      <c r="J197" s="11" t="s">
        <v>1280</v>
      </c>
      <c r="K197" s="11" t="s">
        <v>452</v>
      </c>
      <c r="L197" s="10" t="s">
        <v>191</v>
      </c>
      <c r="M197" s="10" t="n">
        <v>45</v>
      </c>
      <c r="N197" s="10" t="n">
        <v>250</v>
      </c>
      <c r="O197" s="11" t="s">
        <v>3000</v>
      </c>
      <c r="P197" s="10" t="s">
        <v>2989</v>
      </c>
      <c r="Q197" s="11" t="s">
        <v>3124</v>
      </c>
      <c r="R197" s="11" t="s">
        <v>2991</v>
      </c>
      <c r="S197" s="11" t="s">
        <v>3002</v>
      </c>
      <c r="T197" s="11"/>
      <c r="U197" s="10"/>
      <c r="V197" s="11"/>
      <c r="W197" s="10" t="s">
        <v>3044</v>
      </c>
      <c r="X197" s="11"/>
      <c r="Y197" s="10" t="s">
        <v>2888</v>
      </c>
      <c r="Z197" s="10" t="s">
        <v>1509</v>
      </c>
      <c r="AA197" s="11" t="s">
        <v>3661</v>
      </c>
      <c r="AB197" s="11"/>
      <c r="AC197" s="10" t="s">
        <v>2995</v>
      </c>
    </row>
    <row r="198" customFormat="false" ht="30" hidden="false" customHeight="true" outlineLevel="0" collapsed="false">
      <c r="A198" s="12" t="s">
        <v>3662</v>
      </c>
      <c r="B198" s="12" t="s">
        <v>3663</v>
      </c>
      <c r="C198" s="12" t="s">
        <v>3506</v>
      </c>
      <c r="D198" s="12" t="s">
        <v>2984</v>
      </c>
      <c r="E198" s="12" t="s">
        <v>1889</v>
      </c>
      <c r="F198" s="12" t="s">
        <v>1890</v>
      </c>
      <c r="G198" s="13" t="s">
        <v>3088</v>
      </c>
      <c r="H198" s="12" t="s">
        <v>3018</v>
      </c>
      <c r="I198" s="12" t="s">
        <v>3023</v>
      </c>
      <c r="J198" s="13" t="s">
        <v>3289</v>
      </c>
      <c r="K198" s="13" t="s">
        <v>452</v>
      </c>
      <c r="L198" s="12" t="s">
        <v>170</v>
      </c>
      <c r="M198" s="12" t="n">
        <v>80</v>
      </c>
      <c r="N198" s="12" t="n">
        <v>295</v>
      </c>
      <c r="O198" s="13" t="s">
        <v>2785</v>
      </c>
      <c r="P198" s="12" t="s">
        <v>3011</v>
      </c>
      <c r="Q198" s="13"/>
      <c r="R198" s="13" t="s">
        <v>2991</v>
      </c>
      <c r="S198" s="13"/>
      <c r="T198" s="13"/>
      <c r="U198" s="12"/>
      <c r="V198" s="13"/>
      <c r="W198" s="12"/>
      <c r="X198" s="13"/>
      <c r="Y198" s="12" t="s">
        <v>2884</v>
      </c>
      <c r="Z198" s="12" t="s">
        <v>2886</v>
      </c>
      <c r="AA198" s="13" t="s">
        <v>3664</v>
      </c>
      <c r="AB198" s="13"/>
      <c r="AC198" s="12" t="s">
        <v>2995</v>
      </c>
    </row>
    <row r="199" customFormat="false" ht="30" hidden="false" customHeight="true" outlineLevel="0" collapsed="false">
      <c r="A199" s="10" t="s">
        <v>3665</v>
      </c>
      <c r="B199" s="10" t="s">
        <v>3666</v>
      </c>
      <c r="C199" s="10" t="s">
        <v>3506</v>
      </c>
      <c r="D199" s="10" t="s">
        <v>2903</v>
      </c>
      <c r="E199" s="10" t="s">
        <v>2415</v>
      </c>
      <c r="F199" s="10" t="s">
        <v>2416</v>
      </c>
      <c r="G199" s="11" t="s">
        <v>3007</v>
      </c>
      <c r="H199" s="10" t="s">
        <v>3072</v>
      </c>
      <c r="I199" s="10" t="s">
        <v>3073</v>
      </c>
      <c r="J199" s="11" t="s">
        <v>3427</v>
      </c>
      <c r="K199" s="11" t="s">
        <v>455</v>
      </c>
      <c r="L199" s="10" t="s">
        <v>170</v>
      </c>
      <c r="M199" s="10" t="n">
        <v>85</v>
      </c>
      <c r="N199" s="10" t="n">
        <v>390</v>
      </c>
      <c r="O199" s="11" t="s">
        <v>2785</v>
      </c>
      <c r="P199" s="10" t="s">
        <v>3011</v>
      </c>
      <c r="Q199" s="11" t="s">
        <v>2990</v>
      </c>
      <c r="R199" s="11" t="s">
        <v>2991</v>
      </c>
      <c r="S199" s="11"/>
      <c r="T199" s="11"/>
      <c r="U199" s="10"/>
      <c r="V199" s="11" t="s">
        <v>3667</v>
      </c>
      <c r="W199" s="10"/>
      <c r="X199" s="11"/>
      <c r="Y199" s="10" t="s">
        <v>2903</v>
      </c>
      <c r="Z199" s="10" t="s">
        <v>2904</v>
      </c>
      <c r="AA199" s="11" t="s">
        <v>3668</v>
      </c>
      <c r="AB199" s="11" t="s">
        <v>3669</v>
      </c>
      <c r="AC199" s="10" t="s">
        <v>3670</v>
      </c>
    </row>
    <row r="200" customFormat="false" ht="30" hidden="false" customHeight="true" outlineLevel="0" collapsed="false">
      <c r="A200" s="12" t="s">
        <v>3671</v>
      </c>
      <c r="B200" s="12" t="s">
        <v>3672</v>
      </c>
      <c r="C200" s="12" t="s">
        <v>3506</v>
      </c>
      <c r="D200" s="12" t="s">
        <v>2984</v>
      </c>
      <c r="E200" s="12" t="s">
        <v>1841</v>
      </c>
      <c r="F200" s="12" t="s">
        <v>1842</v>
      </c>
      <c r="G200" s="13" t="s">
        <v>2985</v>
      </c>
      <c r="H200" s="12" t="s">
        <v>2986</v>
      </c>
      <c r="I200" s="12" t="s">
        <v>2987</v>
      </c>
      <c r="J200" s="13" t="s">
        <v>3673</v>
      </c>
      <c r="K200" s="13" t="s">
        <v>433</v>
      </c>
      <c r="L200" s="12" t="s">
        <v>170</v>
      </c>
      <c r="M200" s="12" t="n">
        <v>89</v>
      </c>
      <c r="N200" s="12" t="n">
        <v>460</v>
      </c>
      <c r="O200" s="13" t="s">
        <v>2785</v>
      </c>
      <c r="P200" s="12" t="s">
        <v>2989</v>
      </c>
      <c r="Q200" s="13" t="s">
        <v>2990</v>
      </c>
      <c r="R200" s="13" t="s">
        <v>2991</v>
      </c>
      <c r="S200" s="13"/>
      <c r="T200" s="13"/>
      <c r="U200" s="12"/>
      <c r="V200" s="13"/>
      <c r="W200" s="12" t="s">
        <v>3044</v>
      </c>
      <c r="X200" s="13"/>
      <c r="Y200" s="12" t="s">
        <v>2888</v>
      </c>
      <c r="Z200" s="12" t="s">
        <v>1509</v>
      </c>
      <c r="AA200" s="13" t="s">
        <v>3674</v>
      </c>
      <c r="AB200" s="13" t="s">
        <v>3675</v>
      </c>
      <c r="AC200" s="12" t="s">
        <v>2995</v>
      </c>
    </row>
    <row r="201" customFormat="false" ht="30" hidden="false" customHeight="true" outlineLevel="0" collapsed="false">
      <c r="A201" s="10" t="s">
        <v>3676</v>
      </c>
      <c r="B201" s="10" t="s">
        <v>3677</v>
      </c>
      <c r="C201" s="10" t="s">
        <v>3506</v>
      </c>
      <c r="D201" s="10" t="s">
        <v>2984</v>
      </c>
      <c r="E201" s="10" t="s">
        <v>1829</v>
      </c>
      <c r="F201" s="10" t="s">
        <v>1830</v>
      </c>
      <c r="G201" s="11" t="s">
        <v>3039</v>
      </c>
      <c r="H201" s="10" t="s">
        <v>2999</v>
      </c>
      <c r="I201" s="10" t="s">
        <v>3023</v>
      </c>
      <c r="J201" s="11" t="s">
        <v>1003</v>
      </c>
      <c r="K201" s="11" t="s">
        <v>441</v>
      </c>
      <c r="L201" s="10" t="s">
        <v>184</v>
      </c>
      <c r="M201" s="10" t="n">
        <v>88</v>
      </c>
      <c r="N201" s="10" t="n">
        <v>485</v>
      </c>
      <c r="O201" s="11" t="s">
        <v>2792</v>
      </c>
      <c r="P201" s="10" t="s">
        <v>2989</v>
      </c>
      <c r="Q201" s="11" t="s">
        <v>3067</v>
      </c>
      <c r="R201" s="11" t="s">
        <v>3201</v>
      </c>
      <c r="S201" s="11"/>
      <c r="T201" s="11"/>
      <c r="U201" s="10"/>
      <c r="V201" s="11"/>
      <c r="W201" s="10"/>
      <c r="X201" s="11"/>
      <c r="Y201" s="10" t="s">
        <v>2888</v>
      </c>
      <c r="Z201" s="10" t="s">
        <v>1509</v>
      </c>
      <c r="AA201" s="11" t="s">
        <v>3678</v>
      </c>
      <c r="AB201" s="11" t="s">
        <v>3679</v>
      </c>
      <c r="AC201" s="10" t="s">
        <v>3655</v>
      </c>
    </row>
    <row r="202" customFormat="false" ht="30" hidden="false" customHeight="true" outlineLevel="0" collapsed="false">
      <c r="A202" s="12" t="s">
        <v>3680</v>
      </c>
      <c r="B202" s="12" t="s">
        <v>3681</v>
      </c>
      <c r="C202" s="12" t="s">
        <v>3506</v>
      </c>
      <c r="D202" s="12" t="s">
        <v>2984</v>
      </c>
      <c r="E202" s="12" t="s">
        <v>1907</v>
      </c>
      <c r="F202" s="12" t="s">
        <v>1908</v>
      </c>
      <c r="G202" s="13" t="s">
        <v>3029</v>
      </c>
      <c r="H202" s="12" t="s">
        <v>2986</v>
      </c>
      <c r="I202" s="12" t="s">
        <v>2987</v>
      </c>
      <c r="J202" s="13" t="s">
        <v>3171</v>
      </c>
      <c r="K202" s="13" t="s">
        <v>452</v>
      </c>
      <c r="L202" s="12" t="s">
        <v>184</v>
      </c>
      <c r="M202" s="12" t="n">
        <v>86</v>
      </c>
      <c r="N202" s="12" t="n">
        <v>525</v>
      </c>
      <c r="O202" s="13" t="s">
        <v>2792</v>
      </c>
      <c r="P202" s="12" t="s">
        <v>2989</v>
      </c>
      <c r="Q202" s="13" t="s">
        <v>3682</v>
      </c>
      <c r="R202" s="13" t="s">
        <v>3444</v>
      </c>
      <c r="S202" s="13"/>
      <c r="T202" s="13"/>
      <c r="U202" s="12"/>
      <c r="V202" s="13"/>
      <c r="W202" s="12"/>
      <c r="X202" s="13"/>
      <c r="Y202" s="12" t="s">
        <v>2888</v>
      </c>
      <c r="Z202" s="12" t="s">
        <v>1509</v>
      </c>
      <c r="AA202" s="13" t="s">
        <v>3683</v>
      </c>
      <c r="AB202" s="13" t="s">
        <v>3684</v>
      </c>
      <c r="AC202" s="12" t="s">
        <v>2995</v>
      </c>
    </row>
    <row r="203" customFormat="false" ht="30" hidden="false" customHeight="true" outlineLevel="0" collapsed="false">
      <c r="A203" s="10" t="s">
        <v>3685</v>
      </c>
      <c r="B203" s="10" t="s">
        <v>3686</v>
      </c>
      <c r="C203" s="10" t="s">
        <v>3506</v>
      </c>
      <c r="D203" s="10" t="s">
        <v>2984</v>
      </c>
      <c r="E203" s="10" t="s">
        <v>1941</v>
      </c>
      <c r="F203" s="10" t="s">
        <v>1942</v>
      </c>
      <c r="G203" s="11" t="s">
        <v>3058</v>
      </c>
      <c r="H203" s="10" t="s">
        <v>3049</v>
      </c>
      <c r="I203" s="10" t="s">
        <v>3093</v>
      </c>
      <c r="J203" s="11" t="s">
        <v>3140</v>
      </c>
      <c r="K203" s="11" t="s">
        <v>452</v>
      </c>
      <c r="L203" s="10" t="s">
        <v>184</v>
      </c>
      <c r="M203" s="10" t="n">
        <v>85</v>
      </c>
      <c r="N203" s="10" t="n">
        <v>440</v>
      </c>
      <c r="O203" s="11" t="s">
        <v>2792</v>
      </c>
      <c r="P203" s="10" t="s">
        <v>2989</v>
      </c>
      <c r="Q203" s="11" t="s">
        <v>3687</v>
      </c>
      <c r="R203" s="11" t="s">
        <v>3688</v>
      </c>
      <c r="S203" s="11"/>
      <c r="T203" s="11"/>
      <c r="U203" s="10" t="s">
        <v>3689</v>
      </c>
      <c r="V203" s="11"/>
      <c r="W203" s="10"/>
      <c r="X203" s="11"/>
      <c r="Y203" s="10" t="s">
        <v>2888</v>
      </c>
      <c r="Z203" s="10" t="s">
        <v>1509</v>
      </c>
      <c r="AA203" s="11" t="s">
        <v>3690</v>
      </c>
      <c r="AB203" s="11" t="s">
        <v>3691</v>
      </c>
      <c r="AC203" s="10" t="s">
        <v>2995</v>
      </c>
    </row>
    <row r="204" customFormat="false" ht="30" hidden="false" customHeight="true" outlineLevel="0" collapsed="false">
      <c r="A204" s="12" t="s">
        <v>3692</v>
      </c>
      <c r="B204" s="12" t="s">
        <v>3693</v>
      </c>
      <c r="C204" s="12" t="s">
        <v>3506</v>
      </c>
      <c r="D204" s="12" t="s">
        <v>2984</v>
      </c>
      <c r="E204" s="12" t="s">
        <v>1953</v>
      </c>
      <c r="F204" s="12" t="s">
        <v>1954</v>
      </c>
      <c r="G204" s="13" t="s">
        <v>3065</v>
      </c>
      <c r="H204" s="12" t="s">
        <v>3018</v>
      </c>
      <c r="I204" s="12" t="s">
        <v>2987</v>
      </c>
      <c r="J204" s="13" t="s">
        <v>1201</v>
      </c>
      <c r="K204" s="13" t="s">
        <v>433</v>
      </c>
      <c r="L204" s="12" t="s">
        <v>191</v>
      </c>
      <c r="M204" s="12" t="n">
        <v>51</v>
      </c>
      <c r="N204" s="12" t="n">
        <v>555</v>
      </c>
      <c r="O204" s="13" t="s">
        <v>3024</v>
      </c>
      <c r="P204" s="12" t="s">
        <v>2989</v>
      </c>
      <c r="Q204" s="13"/>
      <c r="R204" s="13" t="s">
        <v>2991</v>
      </c>
      <c r="S204" s="13"/>
      <c r="T204" s="13"/>
      <c r="U204" s="12"/>
      <c r="V204" s="13"/>
      <c r="W204" s="12"/>
      <c r="X204" s="13"/>
      <c r="Y204" s="12" t="s">
        <v>2888</v>
      </c>
      <c r="Z204" s="12" t="s">
        <v>1509</v>
      </c>
      <c r="AA204" s="13" t="s">
        <v>3694</v>
      </c>
      <c r="AB204" s="13"/>
      <c r="AC204" s="12" t="s">
        <v>2995</v>
      </c>
    </row>
    <row r="205" customFormat="false" ht="30" hidden="false" customHeight="true" outlineLevel="0" collapsed="false">
      <c r="A205" s="10" t="s">
        <v>3695</v>
      </c>
      <c r="B205" s="10" t="s">
        <v>3696</v>
      </c>
      <c r="C205" s="10" t="s">
        <v>3697</v>
      </c>
      <c r="D205" s="10" t="s">
        <v>2903</v>
      </c>
      <c r="E205" s="10" t="s">
        <v>2405</v>
      </c>
      <c r="F205" s="10" t="s">
        <v>2406</v>
      </c>
      <c r="G205" s="11" t="s">
        <v>2998</v>
      </c>
      <c r="H205" s="10" t="s">
        <v>3049</v>
      </c>
      <c r="I205" s="10" t="s">
        <v>3093</v>
      </c>
      <c r="J205" s="11" t="s">
        <v>1267</v>
      </c>
      <c r="K205" s="11" t="s">
        <v>445</v>
      </c>
      <c r="L205" s="10" t="s">
        <v>191</v>
      </c>
      <c r="M205" s="10" t="n">
        <v>44</v>
      </c>
      <c r="N205" s="10" t="n">
        <v>260</v>
      </c>
      <c r="O205" s="11" t="s">
        <v>3000</v>
      </c>
      <c r="P205" s="10" t="s">
        <v>2989</v>
      </c>
      <c r="Q205" s="11" t="s">
        <v>3698</v>
      </c>
      <c r="R205" s="11" t="s">
        <v>3055</v>
      </c>
      <c r="S205" s="11" t="s">
        <v>3002</v>
      </c>
      <c r="T205" s="11"/>
      <c r="U205" s="10"/>
      <c r="V205" s="11"/>
      <c r="W205" s="10" t="s">
        <v>3104</v>
      </c>
      <c r="X205" s="11"/>
      <c r="Y205" s="10" t="s">
        <v>2888</v>
      </c>
      <c r="Z205" s="10" t="s">
        <v>1509</v>
      </c>
      <c r="AA205" s="11" t="s">
        <v>3699</v>
      </c>
      <c r="AB205" s="11"/>
      <c r="AC205" s="10" t="s">
        <v>3700</v>
      </c>
    </row>
    <row r="206" customFormat="false" ht="30" hidden="false" customHeight="true" outlineLevel="0" collapsed="false">
      <c r="A206" s="12" t="s">
        <v>3701</v>
      </c>
      <c r="B206" s="12" t="s">
        <v>3702</v>
      </c>
      <c r="C206" s="12" t="s">
        <v>3697</v>
      </c>
      <c r="D206" s="12" t="s">
        <v>2984</v>
      </c>
      <c r="E206" s="12" t="s">
        <v>1867</v>
      </c>
      <c r="F206" s="12" t="s">
        <v>1868</v>
      </c>
      <c r="G206" s="13" t="s">
        <v>3048</v>
      </c>
      <c r="H206" s="12" t="s">
        <v>3018</v>
      </c>
      <c r="I206" s="12" t="s">
        <v>3023</v>
      </c>
      <c r="J206" s="13" t="s">
        <v>3703</v>
      </c>
      <c r="K206" s="13" t="s">
        <v>452</v>
      </c>
      <c r="L206" s="12" t="s">
        <v>170</v>
      </c>
      <c r="M206" s="12" t="n">
        <v>81</v>
      </c>
      <c r="N206" s="12" t="n">
        <v>315</v>
      </c>
      <c r="O206" s="13" t="s">
        <v>2785</v>
      </c>
      <c r="P206" s="12" t="s">
        <v>3011</v>
      </c>
      <c r="Q206" s="13"/>
      <c r="R206" s="13" t="s">
        <v>2991</v>
      </c>
      <c r="S206" s="13"/>
      <c r="T206" s="13"/>
      <c r="U206" s="12"/>
      <c r="V206" s="13"/>
      <c r="W206" s="12" t="s">
        <v>3044</v>
      </c>
      <c r="X206" s="13"/>
      <c r="Y206" s="12" t="s">
        <v>2884</v>
      </c>
      <c r="Z206" s="12" t="s">
        <v>2886</v>
      </c>
      <c r="AA206" s="13" t="s">
        <v>3704</v>
      </c>
      <c r="AB206" s="13"/>
      <c r="AC206" s="12" t="s">
        <v>2995</v>
      </c>
    </row>
    <row r="207" customFormat="false" ht="30" hidden="false" customHeight="true" outlineLevel="0" collapsed="false">
      <c r="A207" s="10" t="s">
        <v>3705</v>
      </c>
      <c r="B207" s="10" t="s">
        <v>3706</v>
      </c>
      <c r="C207" s="10" t="s">
        <v>3697</v>
      </c>
      <c r="D207" s="10" t="s">
        <v>2984</v>
      </c>
      <c r="E207" s="10" t="s">
        <v>1831</v>
      </c>
      <c r="F207" s="10" t="s">
        <v>1832</v>
      </c>
      <c r="G207" s="11" t="s">
        <v>3022</v>
      </c>
      <c r="H207" s="10" t="s">
        <v>3049</v>
      </c>
      <c r="I207" s="10" t="s">
        <v>3093</v>
      </c>
      <c r="J207" s="11" t="s">
        <v>1276</v>
      </c>
      <c r="K207" s="11" t="s">
        <v>452</v>
      </c>
      <c r="L207" s="10" t="s">
        <v>191</v>
      </c>
      <c r="M207" s="10" t="n">
        <v>51</v>
      </c>
      <c r="N207" s="10" t="n">
        <v>585</v>
      </c>
      <c r="O207" s="11" t="s">
        <v>3024</v>
      </c>
      <c r="P207" s="10" t="s">
        <v>2989</v>
      </c>
      <c r="Q207" s="11"/>
      <c r="R207" s="11" t="s">
        <v>2991</v>
      </c>
      <c r="S207" s="11"/>
      <c r="T207" s="11"/>
      <c r="U207" s="10"/>
      <c r="V207" s="11"/>
      <c r="W207" s="10"/>
      <c r="X207" s="11"/>
      <c r="Y207" s="10" t="s">
        <v>2888</v>
      </c>
      <c r="Z207" s="10" t="s">
        <v>1509</v>
      </c>
      <c r="AA207" s="11" t="s">
        <v>3707</v>
      </c>
      <c r="AB207" s="11"/>
      <c r="AC207" s="10" t="s">
        <v>2995</v>
      </c>
    </row>
    <row r="208" customFormat="false" ht="30" hidden="false" customHeight="true" outlineLevel="0" collapsed="false">
      <c r="A208" s="12" t="s">
        <v>3708</v>
      </c>
      <c r="B208" s="12" t="s">
        <v>3709</v>
      </c>
      <c r="C208" s="12" t="s">
        <v>3697</v>
      </c>
      <c r="D208" s="12" t="s">
        <v>2984</v>
      </c>
      <c r="E208" s="12" t="s">
        <v>1833</v>
      </c>
      <c r="F208" s="12" t="s">
        <v>1834</v>
      </c>
      <c r="G208" s="13" t="s">
        <v>3092</v>
      </c>
      <c r="H208" s="12" t="s">
        <v>3018</v>
      </c>
      <c r="I208" s="12" t="s">
        <v>3093</v>
      </c>
      <c r="J208" s="13" t="s">
        <v>3094</v>
      </c>
      <c r="K208" s="13" t="s">
        <v>452</v>
      </c>
      <c r="L208" s="12" t="s">
        <v>170</v>
      </c>
      <c r="M208" s="12" t="n">
        <v>82</v>
      </c>
      <c r="N208" s="12" t="n">
        <v>305</v>
      </c>
      <c r="O208" s="13" t="s">
        <v>2785</v>
      </c>
      <c r="P208" s="12" t="s">
        <v>3011</v>
      </c>
      <c r="Q208" s="13"/>
      <c r="R208" s="13" t="s">
        <v>2991</v>
      </c>
      <c r="S208" s="13"/>
      <c r="T208" s="13"/>
      <c r="U208" s="12"/>
      <c r="V208" s="13"/>
      <c r="W208" s="12"/>
      <c r="X208" s="13"/>
      <c r="Y208" s="12" t="s">
        <v>2884</v>
      </c>
      <c r="Z208" s="12" t="s">
        <v>2886</v>
      </c>
      <c r="AA208" s="13" t="s">
        <v>3710</v>
      </c>
      <c r="AB208" s="13"/>
      <c r="AC208" s="12" t="s">
        <v>2995</v>
      </c>
    </row>
    <row r="209" customFormat="false" ht="30" hidden="false" customHeight="true" outlineLevel="0" collapsed="false">
      <c r="A209" s="10" t="s">
        <v>3711</v>
      </c>
      <c r="B209" s="10" t="s">
        <v>3712</v>
      </c>
      <c r="C209" s="10" t="s">
        <v>3697</v>
      </c>
      <c r="D209" s="10" t="s">
        <v>2984</v>
      </c>
      <c r="E209" s="10" t="s">
        <v>1909</v>
      </c>
      <c r="F209" s="10" t="s">
        <v>1910</v>
      </c>
      <c r="G209" s="11" t="s">
        <v>2985</v>
      </c>
      <c r="H209" s="10" t="s">
        <v>2986</v>
      </c>
      <c r="I209" s="10" t="s">
        <v>2987</v>
      </c>
      <c r="J209" s="11" t="s">
        <v>3713</v>
      </c>
      <c r="K209" s="11" t="s">
        <v>433</v>
      </c>
      <c r="L209" s="10" t="s">
        <v>170</v>
      </c>
      <c r="M209" s="10" t="n">
        <v>88</v>
      </c>
      <c r="N209" s="10" t="n">
        <v>415</v>
      </c>
      <c r="O209" s="11" t="s">
        <v>2785</v>
      </c>
      <c r="P209" s="10" t="s">
        <v>3097</v>
      </c>
      <c r="Q209" s="11" t="s">
        <v>3067</v>
      </c>
      <c r="R209" s="11" t="s">
        <v>2991</v>
      </c>
      <c r="S209" s="11"/>
      <c r="T209" s="11"/>
      <c r="U209" s="10"/>
      <c r="V209" s="11" t="s">
        <v>3714</v>
      </c>
      <c r="W209" s="10"/>
      <c r="X209" s="11" t="s">
        <v>3715</v>
      </c>
      <c r="Y209" s="10" t="s">
        <v>2894</v>
      </c>
      <c r="Z209" s="10" t="s">
        <v>1554</v>
      </c>
      <c r="AA209" s="11" t="s">
        <v>3716</v>
      </c>
      <c r="AB209" s="11"/>
      <c r="AC209" s="10" t="s">
        <v>2995</v>
      </c>
    </row>
    <row r="210" customFormat="false" ht="30" hidden="false" customHeight="true" outlineLevel="0" collapsed="false">
      <c r="A210" s="12" t="s">
        <v>3717</v>
      </c>
      <c r="B210" s="12" t="s">
        <v>3718</v>
      </c>
      <c r="C210" s="12" t="s">
        <v>3697</v>
      </c>
      <c r="D210" s="12" t="s">
        <v>2984</v>
      </c>
      <c r="E210" s="12" t="s">
        <v>2070</v>
      </c>
      <c r="F210" s="12" t="s">
        <v>2071</v>
      </c>
      <c r="G210" s="13" t="s">
        <v>3058</v>
      </c>
      <c r="H210" s="12" t="s">
        <v>3072</v>
      </c>
      <c r="I210" s="12" t="s">
        <v>3073</v>
      </c>
      <c r="J210" s="13" t="s">
        <v>3135</v>
      </c>
      <c r="K210" s="13" t="s">
        <v>455</v>
      </c>
      <c r="L210" s="12" t="s">
        <v>170</v>
      </c>
      <c r="M210" s="12" t="n">
        <v>89</v>
      </c>
      <c r="N210" s="12" t="n">
        <v>450</v>
      </c>
      <c r="O210" s="13" t="s">
        <v>2785</v>
      </c>
      <c r="P210" s="12" t="s">
        <v>2989</v>
      </c>
      <c r="Q210" s="13" t="s">
        <v>2990</v>
      </c>
      <c r="R210" s="13" t="s">
        <v>2991</v>
      </c>
      <c r="S210" s="13"/>
      <c r="T210" s="13"/>
      <c r="U210" s="12"/>
      <c r="V210" s="13"/>
      <c r="W210" s="12"/>
      <c r="X210" s="13" t="s">
        <v>3719</v>
      </c>
      <c r="Y210" s="12" t="s">
        <v>2888</v>
      </c>
      <c r="Z210" s="12" t="s">
        <v>1509</v>
      </c>
      <c r="AA210" s="13" t="s">
        <v>3669</v>
      </c>
      <c r="AB210" s="13" t="s">
        <v>3720</v>
      </c>
      <c r="AC210" s="12" t="s">
        <v>2995</v>
      </c>
    </row>
    <row r="211" customFormat="false" ht="30" hidden="false" customHeight="true" outlineLevel="0" collapsed="false">
      <c r="A211" s="10" t="s">
        <v>3721</v>
      </c>
      <c r="B211" s="10" t="s">
        <v>3722</v>
      </c>
      <c r="C211" s="10" t="s">
        <v>3697</v>
      </c>
      <c r="D211" s="10" t="s">
        <v>2984</v>
      </c>
      <c r="E211" s="10" t="s">
        <v>1905</v>
      </c>
      <c r="F211" s="10" t="s">
        <v>1906</v>
      </c>
      <c r="G211" s="11" t="s">
        <v>3112</v>
      </c>
      <c r="H211" s="10" t="s">
        <v>2986</v>
      </c>
      <c r="I211" s="10" t="s">
        <v>2987</v>
      </c>
      <c r="J211" s="11" t="s">
        <v>1190</v>
      </c>
      <c r="K211" s="11" t="s">
        <v>433</v>
      </c>
      <c r="L211" s="10" t="s">
        <v>177</v>
      </c>
      <c r="M211" s="10" t="n">
        <v>55</v>
      </c>
      <c r="N211" s="10" t="n">
        <v>560</v>
      </c>
      <c r="O211" s="11" t="s">
        <v>3024</v>
      </c>
      <c r="P211" s="10" t="s">
        <v>2989</v>
      </c>
      <c r="Q211" s="11"/>
      <c r="R211" s="11" t="s">
        <v>2991</v>
      </c>
      <c r="S211" s="11"/>
      <c r="T211" s="11"/>
      <c r="U211" s="10"/>
      <c r="V211" s="11"/>
      <c r="W211" s="10"/>
      <c r="X211" s="11"/>
      <c r="Y211" s="10" t="s">
        <v>2888</v>
      </c>
      <c r="Z211" s="10" t="s">
        <v>1509</v>
      </c>
      <c r="AA211" s="11" t="s">
        <v>3723</v>
      </c>
      <c r="AB211" s="11" t="s">
        <v>3724</v>
      </c>
      <c r="AC211" s="10" t="s">
        <v>2995</v>
      </c>
    </row>
    <row r="212" customFormat="false" ht="30" hidden="false" customHeight="true" outlineLevel="0" collapsed="false">
      <c r="A212" s="12" t="s">
        <v>3725</v>
      </c>
      <c r="B212" s="12" t="s">
        <v>3726</v>
      </c>
      <c r="C212" s="12" t="s">
        <v>3697</v>
      </c>
      <c r="D212" s="12" t="s">
        <v>2984</v>
      </c>
      <c r="E212" s="12" t="s">
        <v>2092</v>
      </c>
      <c r="F212" s="12" t="s">
        <v>2093</v>
      </c>
      <c r="G212" s="13" t="s">
        <v>3071</v>
      </c>
      <c r="H212" s="12" t="s">
        <v>3072</v>
      </c>
      <c r="I212" s="12" t="s">
        <v>3073</v>
      </c>
      <c r="J212" s="13" t="s">
        <v>1303</v>
      </c>
      <c r="K212" s="13" t="s">
        <v>452</v>
      </c>
      <c r="L212" s="12" t="s">
        <v>170</v>
      </c>
      <c r="M212" s="12" t="n">
        <v>84</v>
      </c>
      <c r="N212" s="12" t="n">
        <v>340</v>
      </c>
      <c r="O212" s="13" t="s">
        <v>2785</v>
      </c>
      <c r="P212" s="12" t="s">
        <v>3011</v>
      </c>
      <c r="Q212" s="13"/>
      <c r="R212" s="13" t="s">
        <v>2991</v>
      </c>
      <c r="S212" s="13"/>
      <c r="T212" s="13"/>
      <c r="U212" s="12"/>
      <c r="V212" s="13"/>
      <c r="W212" s="12"/>
      <c r="X212" s="13"/>
      <c r="Y212" s="12" t="s">
        <v>2884</v>
      </c>
      <c r="Z212" s="12" t="s">
        <v>2886</v>
      </c>
      <c r="AA212" s="13" t="s">
        <v>3727</v>
      </c>
      <c r="AB212" s="13"/>
      <c r="AC212" s="12" t="s">
        <v>2995</v>
      </c>
    </row>
    <row r="213" customFormat="false" ht="30" hidden="false" customHeight="true" outlineLevel="0" collapsed="false">
      <c r="A213" s="10" t="s">
        <v>3728</v>
      </c>
      <c r="B213" s="10" t="s">
        <v>3729</v>
      </c>
      <c r="C213" s="10" t="s">
        <v>3697</v>
      </c>
      <c r="D213" s="10" t="s">
        <v>2984</v>
      </c>
      <c r="E213" s="10" t="s">
        <v>1857</v>
      </c>
      <c r="F213" s="10" t="s">
        <v>1858</v>
      </c>
      <c r="G213" s="11" t="s">
        <v>3062</v>
      </c>
      <c r="H213" s="10" t="s">
        <v>2986</v>
      </c>
      <c r="I213" s="10" t="s">
        <v>2987</v>
      </c>
      <c r="J213" s="11" t="s">
        <v>1216</v>
      </c>
      <c r="K213" s="11" t="s">
        <v>452</v>
      </c>
      <c r="L213" s="10" t="s">
        <v>170</v>
      </c>
      <c r="M213" s="10" t="n">
        <v>82</v>
      </c>
      <c r="N213" s="10" t="n">
        <v>350</v>
      </c>
      <c r="O213" s="11" t="s">
        <v>2785</v>
      </c>
      <c r="P213" s="10" t="s">
        <v>3011</v>
      </c>
      <c r="Q213" s="11"/>
      <c r="R213" s="11" t="s">
        <v>2991</v>
      </c>
      <c r="S213" s="11"/>
      <c r="T213" s="11"/>
      <c r="U213" s="10"/>
      <c r="V213" s="11"/>
      <c r="W213" s="10" t="s">
        <v>3044</v>
      </c>
      <c r="X213" s="11"/>
      <c r="Y213" s="10" t="s">
        <v>2884</v>
      </c>
      <c r="Z213" s="10" t="s">
        <v>2886</v>
      </c>
      <c r="AA213" s="11" t="s">
        <v>3730</v>
      </c>
      <c r="AB213" s="11"/>
      <c r="AC213" s="10" t="s">
        <v>2995</v>
      </c>
    </row>
    <row r="214" customFormat="false" ht="30" hidden="false" customHeight="true" outlineLevel="0" collapsed="false">
      <c r="A214" s="12" t="s">
        <v>3731</v>
      </c>
      <c r="B214" s="12" t="s">
        <v>3732</v>
      </c>
      <c r="C214" s="12" t="s">
        <v>3697</v>
      </c>
      <c r="D214" s="12" t="s">
        <v>2984</v>
      </c>
      <c r="E214" s="12" t="s">
        <v>2072</v>
      </c>
      <c r="F214" s="12" t="s">
        <v>2073</v>
      </c>
      <c r="G214" s="13" t="s">
        <v>3007</v>
      </c>
      <c r="H214" s="12" t="s">
        <v>3072</v>
      </c>
      <c r="I214" s="12" t="s">
        <v>3073</v>
      </c>
      <c r="J214" s="13" t="s">
        <v>1296</v>
      </c>
      <c r="K214" s="13" t="s">
        <v>452</v>
      </c>
      <c r="L214" s="12" t="s">
        <v>170</v>
      </c>
      <c r="M214" s="12" t="n">
        <v>85</v>
      </c>
      <c r="N214" s="12" t="n">
        <v>365</v>
      </c>
      <c r="O214" s="13" t="s">
        <v>2785</v>
      </c>
      <c r="P214" s="12" t="s">
        <v>3011</v>
      </c>
      <c r="Q214" s="13"/>
      <c r="R214" s="13" t="s">
        <v>2991</v>
      </c>
      <c r="S214" s="13"/>
      <c r="T214" s="13"/>
      <c r="U214" s="12"/>
      <c r="V214" s="13"/>
      <c r="W214" s="12"/>
      <c r="X214" s="13"/>
      <c r="Y214" s="12" t="s">
        <v>2884</v>
      </c>
      <c r="Z214" s="12" t="s">
        <v>2886</v>
      </c>
      <c r="AA214" s="13" t="s">
        <v>3733</v>
      </c>
      <c r="AB214" s="13"/>
      <c r="AC214" s="12" t="s">
        <v>2995</v>
      </c>
    </row>
    <row r="215" customFormat="false" ht="30" hidden="false" customHeight="true" outlineLevel="0" collapsed="false">
      <c r="A215" s="10" t="s">
        <v>3734</v>
      </c>
      <c r="B215" s="10" t="s">
        <v>3735</v>
      </c>
      <c r="C215" s="10" t="s">
        <v>3697</v>
      </c>
      <c r="D215" s="10" t="s">
        <v>2903</v>
      </c>
      <c r="E215" s="10" t="s">
        <v>2410</v>
      </c>
      <c r="F215" s="10" t="s">
        <v>2411</v>
      </c>
      <c r="G215" s="11" t="s">
        <v>3039</v>
      </c>
      <c r="H215" s="10" t="s">
        <v>3008</v>
      </c>
      <c r="I215" s="10" t="s">
        <v>2987</v>
      </c>
      <c r="J215" s="11" t="s">
        <v>3736</v>
      </c>
      <c r="K215" s="11" t="s">
        <v>438</v>
      </c>
      <c r="L215" s="10" t="s">
        <v>184</v>
      </c>
      <c r="M215" s="10" t="n">
        <v>87</v>
      </c>
      <c r="N215" s="10" t="n">
        <v>515</v>
      </c>
      <c r="O215" s="11" t="s">
        <v>2792</v>
      </c>
      <c r="P215" s="10" t="s">
        <v>2989</v>
      </c>
      <c r="Q215" s="11" t="s">
        <v>3358</v>
      </c>
      <c r="R215" s="11" t="s">
        <v>3165</v>
      </c>
      <c r="S215" s="11"/>
      <c r="T215" s="11"/>
      <c r="U215" s="10"/>
      <c r="V215" s="11"/>
      <c r="W215" s="10"/>
      <c r="X215" s="11" t="s">
        <v>3737</v>
      </c>
      <c r="Y215" s="10" t="s">
        <v>2888</v>
      </c>
      <c r="Z215" s="10" t="s">
        <v>1509</v>
      </c>
      <c r="AA215" s="11" t="s">
        <v>3738</v>
      </c>
      <c r="AB215" s="11" t="s">
        <v>3739</v>
      </c>
      <c r="AC215" s="10" t="s">
        <v>3014</v>
      </c>
    </row>
    <row r="216" customFormat="false" ht="30" hidden="false" customHeight="true" outlineLevel="0" collapsed="false">
      <c r="A216" s="12" t="s">
        <v>3740</v>
      </c>
      <c r="B216" s="12" t="s">
        <v>3741</v>
      </c>
      <c r="C216" s="12" t="s">
        <v>3697</v>
      </c>
      <c r="D216" s="12" t="s">
        <v>2984</v>
      </c>
      <c r="E216" s="12" t="s">
        <v>1881</v>
      </c>
      <c r="F216" s="12" t="s">
        <v>1882</v>
      </c>
      <c r="G216" s="13" t="s">
        <v>3029</v>
      </c>
      <c r="H216" s="12" t="s">
        <v>2986</v>
      </c>
      <c r="I216" s="12" t="s">
        <v>2987</v>
      </c>
      <c r="J216" s="13" t="s">
        <v>3742</v>
      </c>
      <c r="K216" s="13" t="s">
        <v>452</v>
      </c>
      <c r="L216" s="12" t="s">
        <v>170</v>
      </c>
      <c r="M216" s="12" t="n">
        <v>86</v>
      </c>
      <c r="N216" s="12" t="n">
        <v>435</v>
      </c>
      <c r="O216" s="13" t="s">
        <v>2785</v>
      </c>
      <c r="P216" s="12" t="s">
        <v>3011</v>
      </c>
      <c r="Q216" s="13"/>
      <c r="R216" s="13" t="s">
        <v>2991</v>
      </c>
      <c r="S216" s="13"/>
      <c r="T216" s="13"/>
      <c r="U216" s="12"/>
      <c r="V216" s="13"/>
      <c r="W216" s="12" t="s">
        <v>3440</v>
      </c>
      <c r="X216" s="13"/>
      <c r="Y216" s="12" t="s">
        <v>2884</v>
      </c>
      <c r="Z216" s="12" t="s">
        <v>2886</v>
      </c>
      <c r="AA216" s="13" t="s">
        <v>3743</v>
      </c>
      <c r="AB216" s="13" t="s">
        <v>3744</v>
      </c>
      <c r="AC216" s="12" t="s">
        <v>2995</v>
      </c>
    </row>
    <row r="217" customFormat="false" ht="30" hidden="false" customHeight="true" outlineLevel="0" collapsed="false">
      <c r="A217" s="10" t="s">
        <v>3745</v>
      </c>
      <c r="B217" s="10" t="s">
        <v>3746</v>
      </c>
      <c r="C217" s="10" t="s">
        <v>3697</v>
      </c>
      <c r="D217" s="10" t="s">
        <v>2984</v>
      </c>
      <c r="E217" s="10" t="s">
        <v>1969</v>
      </c>
      <c r="F217" s="10" t="s">
        <v>1970</v>
      </c>
      <c r="G217" s="11" t="s">
        <v>3088</v>
      </c>
      <c r="H217" s="10" t="s">
        <v>3018</v>
      </c>
      <c r="I217" s="10" t="s">
        <v>2987</v>
      </c>
      <c r="J217" s="11" t="s">
        <v>892</v>
      </c>
      <c r="K217" s="11" t="s">
        <v>452</v>
      </c>
      <c r="L217" s="10" t="s">
        <v>170</v>
      </c>
      <c r="M217" s="10" t="n">
        <v>80</v>
      </c>
      <c r="N217" s="10" t="n">
        <v>320</v>
      </c>
      <c r="O217" s="11" t="s">
        <v>2785</v>
      </c>
      <c r="P217" s="10" t="s">
        <v>3011</v>
      </c>
      <c r="Q217" s="11"/>
      <c r="R217" s="11" t="s">
        <v>2991</v>
      </c>
      <c r="S217" s="11"/>
      <c r="T217" s="11"/>
      <c r="U217" s="10"/>
      <c r="V217" s="11"/>
      <c r="W217" s="10"/>
      <c r="X217" s="11"/>
      <c r="Y217" s="10" t="s">
        <v>2884</v>
      </c>
      <c r="Z217" s="10" t="s">
        <v>2886</v>
      </c>
      <c r="AA217" s="11" t="s">
        <v>3747</v>
      </c>
      <c r="AB217" s="11"/>
      <c r="AC217" s="10" t="s">
        <v>3655</v>
      </c>
    </row>
    <row r="218" customFormat="false" ht="30" hidden="false" customHeight="true" outlineLevel="0" collapsed="false">
      <c r="A218" s="12" t="s">
        <v>3748</v>
      </c>
      <c r="B218" s="12" t="s">
        <v>3749</v>
      </c>
      <c r="C218" s="12" t="s">
        <v>3697</v>
      </c>
      <c r="D218" s="12" t="s">
        <v>2984</v>
      </c>
      <c r="E218" s="12" t="s">
        <v>1939</v>
      </c>
      <c r="F218" s="12" t="s">
        <v>1940</v>
      </c>
      <c r="G218" s="13" t="s">
        <v>2985</v>
      </c>
      <c r="H218" s="12" t="s">
        <v>2986</v>
      </c>
      <c r="I218" s="12" t="s">
        <v>2987</v>
      </c>
      <c r="J218" s="13" t="s">
        <v>1173</v>
      </c>
      <c r="K218" s="13" t="s">
        <v>452</v>
      </c>
      <c r="L218" s="12" t="s">
        <v>184</v>
      </c>
      <c r="M218" s="12" t="n">
        <v>89</v>
      </c>
      <c r="N218" s="12" t="n">
        <v>535</v>
      </c>
      <c r="O218" s="13" t="s">
        <v>2792</v>
      </c>
      <c r="P218" s="12" t="s">
        <v>2989</v>
      </c>
      <c r="Q218" s="13" t="s">
        <v>3380</v>
      </c>
      <c r="R218" s="13" t="s">
        <v>3201</v>
      </c>
      <c r="S218" s="13"/>
      <c r="T218" s="13"/>
      <c r="U218" s="12"/>
      <c r="V218" s="13" t="s">
        <v>3750</v>
      </c>
      <c r="W218" s="12"/>
      <c r="X218" s="13" t="s">
        <v>3751</v>
      </c>
      <c r="Y218" s="12" t="s">
        <v>2888</v>
      </c>
      <c r="Z218" s="12" t="s">
        <v>1509</v>
      </c>
      <c r="AA218" s="13" t="s">
        <v>3752</v>
      </c>
      <c r="AB218" s="13" t="s">
        <v>3753</v>
      </c>
      <c r="AC218" s="12" t="s">
        <v>2995</v>
      </c>
    </row>
    <row r="219" customFormat="false" ht="30" hidden="false" customHeight="true" outlineLevel="0" collapsed="false">
      <c r="A219" s="10" t="s">
        <v>3754</v>
      </c>
      <c r="B219" s="10" t="s">
        <v>3755</v>
      </c>
      <c r="C219" s="10" t="s">
        <v>3697</v>
      </c>
      <c r="D219" s="10" t="s">
        <v>2984</v>
      </c>
      <c r="E219" s="10" t="s">
        <v>1965</v>
      </c>
      <c r="F219" s="10" t="s">
        <v>1966</v>
      </c>
      <c r="G219" s="11" t="s">
        <v>3065</v>
      </c>
      <c r="H219" s="10" t="s">
        <v>2999</v>
      </c>
      <c r="I219" s="10" t="s">
        <v>3009</v>
      </c>
      <c r="J219" s="11" t="s">
        <v>1003</v>
      </c>
      <c r="K219" s="11" t="s">
        <v>441</v>
      </c>
      <c r="L219" s="10" t="s">
        <v>191</v>
      </c>
      <c r="M219" s="10" t="n">
        <v>50</v>
      </c>
      <c r="N219" s="10" t="n">
        <v>545</v>
      </c>
      <c r="O219" s="11" t="s">
        <v>3024</v>
      </c>
      <c r="P219" s="10" t="s">
        <v>2989</v>
      </c>
      <c r="Q219" s="11"/>
      <c r="R219" s="11" t="s">
        <v>2991</v>
      </c>
      <c r="S219" s="11"/>
      <c r="T219" s="11"/>
      <c r="U219" s="10"/>
      <c r="V219" s="11"/>
      <c r="W219" s="10"/>
      <c r="X219" s="11"/>
      <c r="Y219" s="10" t="s">
        <v>2888</v>
      </c>
      <c r="Z219" s="10" t="s">
        <v>1509</v>
      </c>
      <c r="AA219" s="11" t="s">
        <v>3756</v>
      </c>
      <c r="AB219" s="11"/>
      <c r="AC219" s="10" t="s">
        <v>3655</v>
      </c>
    </row>
    <row r="220" customFormat="false" ht="30" hidden="false" customHeight="true" outlineLevel="0" collapsed="false">
      <c r="A220" s="12" t="s">
        <v>3757</v>
      </c>
      <c r="B220" s="12" t="s">
        <v>3255</v>
      </c>
      <c r="C220" s="12" t="s">
        <v>3697</v>
      </c>
      <c r="D220" s="12" t="s">
        <v>2984</v>
      </c>
      <c r="E220" s="12" t="s">
        <v>1885</v>
      </c>
      <c r="F220" s="12" t="s">
        <v>1886</v>
      </c>
      <c r="G220" s="13" t="s">
        <v>3080</v>
      </c>
      <c r="H220" s="12" t="s">
        <v>2986</v>
      </c>
      <c r="I220" s="12" t="s">
        <v>3023</v>
      </c>
      <c r="J220" s="13" t="s">
        <v>1256</v>
      </c>
      <c r="K220" s="13" t="s">
        <v>433</v>
      </c>
      <c r="L220" s="12" t="s">
        <v>177</v>
      </c>
      <c r="M220" s="12" t="n">
        <v>78</v>
      </c>
      <c r="N220" s="12" t="n">
        <v>370</v>
      </c>
      <c r="O220" s="13" t="s">
        <v>3031</v>
      </c>
      <c r="P220" s="12" t="s">
        <v>3177</v>
      </c>
      <c r="Q220" s="13"/>
      <c r="R220" s="13" t="s">
        <v>2991</v>
      </c>
      <c r="S220" s="13"/>
      <c r="T220" s="13"/>
      <c r="U220" s="12"/>
      <c r="V220" s="13"/>
      <c r="W220" s="12"/>
      <c r="X220" s="13"/>
      <c r="Y220" s="12" t="s">
        <v>2897</v>
      </c>
      <c r="Z220" s="12" t="s">
        <v>2898</v>
      </c>
      <c r="AA220" s="13" t="s">
        <v>3758</v>
      </c>
      <c r="AB220" s="13"/>
      <c r="AC220" s="12" t="s">
        <v>2995</v>
      </c>
    </row>
    <row r="221" customFormat="false" ht="30" hidden="false" customHeight="true" outlineLevel="0" collapsed="false">
      <c r="A221" s="10" t="s">
        <v>3759</v>
      </c>
      <c r="B221" s="10" t="s">
        <v>3760</v>
      </c>
      <c r="C221" s="10" t="s">
        <v>3697</v>
      </c>
      <c r="D221" s="10" t="s">
        <v>2903</v>
      </c>
      <c r="E221" s="10" t="s">
        <v>2443</v>
      </c>
      <c r="F221" s="10" t="s">
        <v>2444</v>
      </c>
      <c r="G221" s="11" t="s">
        <v>3007</v>
      </c>
      <c r="H221" s="10" t="s">
        <v>2999</v>
      </c>
      <c r="I221" s="10" t="s">
        <v>3009</v>
      </c>
      <c r="J221" s="11" t="s">
        <v>3465</v>
      </c>
      <c r="K221" s="11" t="s">
        <v>445</v>
      </c>
      <c r="L221" s="10" t="s">
        <v>170</v>
      </c>
      <c r="M221" s="10" t="n">
        <v>85</v>
      </c>
      <c r="N221" s="10" t="n">
        <v>405</v>
      </c>
      <c r="O221" s="11" t="s">
        <v>3031</v>
      </c>
      <c r="P221" s="10" t="s">
        <v>3011</v>
      </c>
      <c r="Q221" s="11"/>
      <c r="R221" s="11" t="s">
        <v>2991</v>
      </c>
      <c r="S221" s="11"/>
      <c r="T221" s="11"/>
      <c r="U221" s="10" t="s">
        <v>3761</v>
      </c>
      <c r="V221" s="11"/>
      <c r="W221" s="10"/>
      <c r="X221" s="11"/>
      <c r="Y221" s="10" t="s">
        <v>2884</v>
      </c>
      <c r="Z221" s="10" t="s">
        <v>2886</v>
      </c>
      <c r="AA221" s="11" t="s">
        <v>3762</v>
      </c>
      <c r="AB221" s="11"/>
      <c r="AC221" s="10" t="s">
        <v>3014</v>
      </c>
    </row>
    <row r="222" customFormat="false" ht="30" hidden="false" customHeight="true" outlineLevel="0" collapsed="false">
      <c r="A222" s="12" t="s">
        <v>3763</v>
      </c>
      <c r="B222" s="12" t="s">
        <v>3764</v>
      </c>
      <c r="C222" s="12" t="s">
        <v>3697</v>
      </c>
      <c r="D222" s="12" t="s">
        <v>2984</v>
      </c>
      <c r="E222" s="12" t="s">
        <v>1895</v>
      </c>
      <c r="F222" s="12" t="s">
        <v>1896</v>
      </c>
      <c r="G222" s="13" t="s">
        <v>3022</v>
      </c>
      <c r="H222" s="12" t="s">
        <v>3049</v>
      </c>
      <c r="I222" s="12" t="s">
        <v>3023</v>
      </c>
      <c r="J222" s="13" t="s">
        <v>1259</v>
      </c>
      <c r="K222" s="13" t="s">
        <v>452</v>
      </c>
      <c r="L222" s="12" t="s">
        <v>177</v>
      </c>
      <c r="M222" s="12" t="n">
        <v>54</v>
      </c>
      <c r="N222" s="12" t="n">
        <v>570</v>
      </c>
      <c r="O222" s="13" t="s">
        <v>3024</v>
      </c>
      <c r="P222" s="12" t="s">
        <v>2989</v>
      </c>
      <c r="Q222" s="13"/>
      <c r="R222" s="13" t="s">
        <v>2991</v>
      </c>
      <c r="S222" s="13"/>
      <c r="T222" s="13"/>
      <c r="U222" s="12"/>
      <c r="V222" s="13"/>
      <c r="W222" s="12"/>
      <c r="X222" s="13"/>
      <c r="Y222" s="12" t="s">
        <v>2888</v>
      </c>
      <c r="Z222" s="12" t="s">
        <v>1509</v>
      </c>
      <c r="AA222" s="13" t="s">
        <v>3765</v>
      </c>
      <c r="AB222" s="13"/>
      <c r="AC222" s="12" t="s">
        <v>2995</v>
      </c>
    </row>
    <row r="223" customFormat="false" ht="30" hidden="false" customHeight="true" outlineLevel="0" collapsed="false">
      <c r="A223" s="10" t="s">
        <v>3766</v>
      </c>
      <c r="B223" s="10" t="s">
        <v>3767</v>
      </c>
      <c r="C223" s="10" t="s">
        <v>3697</v>
      </c>
      <c r="D223" s="10" t="s">
        <v>2984</v>
      </c>
      <c r="E223" s="10" t="s">
        <v>1963</v>
      </c>
      <c r="F223" s="10" t="s">
        <v>1964</v>
      </c>
      <c r="G223" s="11" t="s">
        <v>3092</v>
      </c>
      <c r="H223" s="10" t="s">
        <v>3018</v>
      </c>
      <c r="I223" s="10" t="s">
        <v>2987</v>
      </c>
      <c r="J223" s="11" t="s">
        <v>1207</v>
      </c>
      <c r="K223" s="11" t="s">
        <v>452</v>
      </c>
      <c r="L223" s="10" t="s">
        <v>177</v>
      </c>
      <c r="M223" s="10" t="n">
        <v>79</v>
      </c>
      <c r="N223" s="10" t="n">
        <v>385</v>
      </c>
      <c r="O223" s="11" t="s">
        <v>3031</v>
      </c>
      <c r="P223" s="10" t="s">
        <v>2989</v>
      </c>
      <c r="Q223" s="11" t="s">
        <v>2990</v>
      </c>
      <c r="R223" s="11" t="s">
        <v>2991</v>
      </c>
      <c r="S223" s="11"/>
      <c r="T223" s="11"/>
      <c r="U223" s="10"/>
      <c r="V223" s="11"/>
      <c r="W223" s="10"/>
      <c r="X223" s="11"/>
      <c r="Y223" s="10" t="s">
        <v>2888</v>
      </c>
      <c r="Z223" s="10" t="s">
        <v>1509</v>
      </c>
      <c r="AA223" s="11" t="s">
        <v>3768</v>
      </c>
      <c r="AB223" s="11"/>
      <c r="AC223" s="10" t="s">
        <v>2995</v>
      </c>
    </row>
    <row r="224" customFormat="false" ht="30" hidden="false" customHeight="true" outlineLevel="0" collapsed="false">
      <c r="A224" s="12" t="s">
        <v>3769</v>
      </c>
      <c r="B224" s="12" t="s">
        <v>3770</v>
      </c>
      <c r="C224" s="12" t="s">
        <v>3697</v>
      </c>
      <c r="D224" s="12" t="s">
        <v>2903</v>
      </c>
      <c r="E224" s="12" t="s">
        <v>2396</v>
      </c>
      <c r="F224" s="12" t="s">
        <v>2397</v>
      </c>
      <c r="G224" s="13" t="s">
        <v>3029</v>
      </c>
      <c r="H224" s="12" t="s">
        <v>2999</v>
      </c>
      <c r="I224" s="12" t="s">
        <v>3023</v>
      </c>
      <c r="J224" s="13" t="s">
        <v>3771</v>
      </c>
      <c r="K224" s="13" t="s">
        <v>445</v>
      </c>
      <c r="L224" s="12" t="s">
        <v>177</v>
      </c>
      <c r="M224" s="12" t="n">
        <v>83</v>
      </c>
      <c r="N224" s="12" t="n">
        <v>425</v>
      </c>
      <c r="O224" s="13" t="s">
        <v>3031</v>
      </c>
      <c r="P224" s="12" t="s">
        <v>3011</v>
      </c>
      <c r="Q224" s="13" t="s">
        <v>2990</v>
      </c>
      <c r="R224" s="13" t="s">
        <v>2991</v>
      </c>
      <c r="S224" s="13"/>
      <c r="T224" s="13"/>
      <c r="U224" s="12"/>
      <c r="V224" s="13"/>
      <c r="W224" s="12"/>
      <c r="X224" s="13"/>
      <c r="Y224" s="12" t="s">
        <v>2884</v>
      </c>
      <c r="Z224" s="12" t="s">
        <v>2886</v>
      </c>
      <c r="AA224" s="13" t="s">
        <v>3772</v>
      </c>
      <c r="AB224" s="13" t="s">
        <v>3773</v>
      </c>
      <c r="AC224" s="12" t="s">
        <v>3014</v>
      </c>
    </row>
    <row r="225" customFormat="false" ht="30" hidden="false" customHeight="true" outlineLevel="0" collapsed="false">
      <c r="A225" s="10" t="s">
        <v>3774</v>
      </c>
      <c r="B225" s="10" t="s">
        <v>3775</v>
      </c>
      <c r="C225" s="10" t="s">
        <v>3697</v>
      </c>
      <c r="D225" s="10" t="s">
        <v>2903</v>
      </c>
      <c r="E225" s="10" t="s">
        <v>2402</v>
      </c>
      <c r="F225" s="10" t="s">
        <v>2403</v>
      </c>
      <c r="G225" s="11" t="s">
        <v>3058</v>
      </c>
      <c r="H225" s="10" t="s">
        <v>2999</v>
      </c>
      <c r="I225" s="10" t="s">
        <v>2987</v>
      </c>
      <c r="J225" s="11" t="s">
        <v>3278</v>
      </c>
      <c r="K225" s="11" t="s">
        <v>455</v>
      </c>
      <c r="L225" s="10" t="s">
        <v>170</v>
      </c>
      <c r="M225" s="10" t="n">
        <v>86</v>
      </c>
      <c r="N225" s="10" t="n">
        <v>355</v>
      </c>
      <c r="O225" s="11" t="s">
        <v>2785</v>
      </c>
      <c r="P225" s="10" t="s">
        <v>3011</v>
      </c>
      <c r="Q225" s="11"/>
      <c r="R225" s="11" t="s">
        <v>2991</v>
      </c>
      <c r="S225" s="11"/>
      <c r="T225" s="11"/>
      <c r="U225" s="10"/>
      <c r="V225" s="11"/>
      <c r="W225" s="10" t="s">
        <v>3351</v>
      </c>
      <c r="X225" s="11"/>
      <c r="Y225" s="10" t="s">
        <v>2884</v>
      </c>
      <c r="Z225" s="10" t="s">
        <v>2886</v>
      </c>
      <c r="AA225" s="11" t="s">
        <v>3776</v>
      </c>
      <c r="AB225" s="11"/>
      <c r="AC225" s="10" t="s">
        <v>3014</v>
      </c>
    </row>
    <row r="226" customFormat="false" ht="30" hidden="false" customHeight="true" outlineLevel="0" collapsed="false">
      <c r="A226" s="12" t="s">
        <v>3777</v>
      </c>
      <c r="B226" s="12" t="s">
        <v>3778</v>
      </c>
      <c r="C226" s="12" t="s">
        <v>3697</v>
      </c>
      <c r="D226" s="12" t="s">
        <v>2984</v>
      </c>
      <c r="E226" s="12" t="s">
        <v>1871</v>
      </c>
      <c r="F226" s="12" t="s">
        <v>1872</v>
      </c>
      <c r="G226" s="13" t="s">
        <v>3112</v>
      </c>
      <c r="H226" s="12" t="s">
        <v>2986</v>
      </c>
      <c r="I226" s="12" t="s">
        <v>3093</v>
      </c>
      <c r="J226" s="13" t="s">
        <v>1283</v>
      </c>
      <c r="K226" s="13" t="s">
        <v>433</v>
      </c>
      <c r="L226" s="12" t="s">
        <v>191</v>
      </c>
      <c r="M226" s="12" t="n">
        <v>49</v>
      </c>
      <c r="N226" s="12" t="n">
        <v>555</v>
      </c>
      <c r="O226" s="13" t="s">
        <v>3024</v>
      </c>
      <c r="P226" s="12" t="s">
        <v>2989</v>
      </c>
      <c r="Q226" s="13"/>
      <c r="R226" s="13" t="s">
        <v>2991</v>
      </c>
      <c r="S226" s="13"/>
      <c r="T226" s="13"/>
      <c r="U226" s="12"/>
      <c r="V226" s="13"/>
      <c r="W226" s="12"/>
      <c r="X226" s="13"/>
      <c r="Y226" s="12" t="s">
        <v>2888</v>
      </c>
      <c r="Z226" s="12" t="s">
        <v>1509</v>
      </c>
      <c r="AA226" s="13" t="s">
        <v>3779</v>
      </c>
      <c r="AB226" s="13"/>
      <c r="AC226" s="12" t="s">
        <v>2995</v>
      </c>
    </row>
    <row r="227" customFormat="false" ht="30" hidden="false" customHeight="true" outlineLevel="0" collapsed="false">
      <c r="A227" s="10" t="s">
        <v>3780</v>
      </c>
      <c r="B227" s="10" t="s">
        <v>3781</v>
      </c>
      <c r="C227" s="10" t="s">
        <v>3697</v>
      </c>
      <c r="D227" s="10" t="s">
        <v>2903</v>
      </c>
      <c r="E227" s="10" t="s">
        <v>2408</v>
      </c>
      <c r="F227" s="10" t="s">
        <v>2409</v>
      </c>
      <c r="G227" s="11" t="s">
        <v>3062</v>
      </c>
      <c r="H227" s="10" t="s">
        <v>3049</v>
      </c>
      <c r="I227" s="10" t="s">
        <v>3093</v>
      </c>
      <c r="J227" s="11" t="s">
        <v>3782</v>
      </c>
      <c r="K227" s="11" t="s">
        <v>445</v>
      </c>
      <c r="L227" s="10" t="s">
        <v>177</v>
      </c>
      <c r="M227" s="10" t="n">
        <v>80</v>
      </c>
      <c r="N227" s="10" t="n">
        <v>470</v>
      </c>
      <c r="O227" s="11" t="s">
        <v>3031</v>
      </c>
      <c r="P227" s="10" t="s">
        <v>2989</v>
      </c>
      <c r="Q227" s="11" t="s">
        <v>3354</v>
      </c>
      <c r="R227" s="11" t="s">
        <v>2991</v>
      </c>
      <c r="S227" s="11"/>
      <c r="T227" s="11"/>
      <c r="U227" s="10"/>
      <c r="V227" s="11" t="s">
        <v>3783</v>
      </c>
      <c r="W227" s="10"/>
      <c r="X227" s="11"/>
      <c r="Y227" s="10" t="s">
        <v>2888</v>
      </c>
      <c r="Z227" s="10" t="s">
        <v>1509</v>
      </c>
      <c r="AA227" s="11" t="s">
        <v>3784</v>
      </c>
      <c r="AB227" s="11" t="s">
        <v>3785</v>
      </c>
      <c r="AC227" s="10" t="s">
        <v>3700</v>
      </c>
    </row>
    <row r="228" customFormat="false" ht="30" hidden="false" customHeight="true" outlineLevel="0" collapsed="false">
      <c r="A228" s="12" t="s">
        <v>3786</v>
      </c>
      <c r="B228" s="12" t="s">
        <v>3787</v>
      </c>
      <c r="C228" s="12" t="s">
        <v>3697</v>
      </c>
      <c r="D228" s="12" t="s">
        <v>2903</v>
      </c>
      <c r="E228" s="12" t="s">
        <v>2435</v>
      </c>
      <c r="F228" s="12" t="s">
        <v>2436</v>
      </c>
      <c r="G228" s="13" t="s">
        <v>3039</v>
      </c>
      <c r="H228" s="12" t="s">
        <v>3072</v>
      </c>
      <c r="I228" s="12" t="s">
        <v>3073</v>
      </c>
      <c r="J228" s="13" t="s">
        <v>3788</v>
      </c>
      <c r="K228" s="13" t="s">
        <v>455</v>
      </c>
      <c r="L228" s="12" t="s">
        <v>184</v>
      </c>
      <c r="M228" s="12" t="n">
        <v>88</v>
      </c>
      <c r="N228" s="12" t="n">
        <v>520</v>
      </c>
      <c r="O228" s="13" t="s">
        <v>2792</v>
      </c>
      <c r="P228" s="12" t="s">
        <v>2989</v>
      </c>
      <c r="Q228" s="13" t="s">
        <v>3380</v>
      </c>
      <c r="R228" s="13" t="s">
        <v>3165</v>
      </c>
      <c r="S228" s="13"/>
      <c r="T228" s="13"/>
      <c r="U228" s="12"/>
      <c r="V228" s="13"/>
      <c r="W228" s="12"/>
      <c r="X228" s="13"/>
      <c r="Y228" s="12" t="s">
        <v>2888</v>
      </c>
      <c r="Z228" s="12" t="s">
        <v>1509</v>
      </c>
      <c r="AA228" s="13" t="s">
        <v>3789</v>
      </c>
      <c r="AB228" s="13" t="s">
        <v>3790</v>
      </c>
      <c r="AC228" s="12" t="s">
        <v>3361</v>
      </c>
    </row>
    <row r="229" customFormat="false" ht="30" hidden="false" customHeight="true" outlineLevel="0" collapsed="false">
      <c r="A229" s="10" t="s">
        <v>3791</v>
      </c>
      <c r="B229" s="10" t="s">
        <v>3792</v>
      </c>
      <c r="C229" s="10" t="s">
        <v>3697</v>
      </c>
      <c r="D229" s="10" t="s">
        <v>2984</v>
      </c>
      <c r="E229" s="10" t="s">
        <v>2068</v>
      </c>
      <c r="F229" s="10" t="s">
        <v>2069</v>
      </c>
      <c r="G229" s="11" t="s">
        <v>3053</v>
      </c>
      <c r="H229" s="10" t="s">
        <v>3072</v>
      </c>
      <c r="I229" s="10" t="s">
        <v>3073</v>
      </c>
      <c r="J229" s="11" t="s">
        <v>1303</v>
      </c>
      <c r="K229" s="11" t="s">
        <v>452</v>
      </c>
      <c r="L229" s="10" t="s">
        <v>191</v>
      </c>
      <c r="M229" s="10" t="n">
        <v>46</v>
      </c>
      <c r="N229" s="10" t="n">
        <v>275</v>
      </c>
      <c r="O229" s="11" t="s">
        <v>3000</v>
      </c>
      <c r="P229" s="10" t="s">
        <v>2989</v>
      </c>
      <c r="Q229" s="11" t="s">
        <v>3054</v>
      </c>
      <c r="R229" s="11" t="s">
        <v>3055</v>
      </c>
      <c r="S229" s="11"/>
      <c r="T229" s="11"/>
      <c r="U229" s="10"/>
      <c r="V229" s="11"/>
      <c r="W229" s="10"/>
      <c r="X229" s="11"/>
      <c r="Y229" s="10" t="s">
        <v>2888</v>
      </c>
      <c r="Z229" s="10" t="s">
        <v>1509</v>
      </c>
      <c r="AA229" s="11" t="s">
        <v>3793</v>
      </c>
      <c r="AB229" s="11" t="s">
        <v>3794</v>
      </c>
      <c r="AC229" s="10" t="s">
        <v>2995</v>
      </c>
    </row>
    <row r="230" customFormat="false" ht="30" hidden="false" customHeight="true" outlineLevel="0" collapsed="false">
      <c r="A230" s="12" t="s">
        <v>3795</v>
      </c>
      <c r="B230" s="12" t="s">
        <v>3796</v>
      </c>
      <c r="C230" s="12" t="s">
        <v>3697</v>
      </c>
      <c r="D230" s="12" t="s">
        <v>2984</v>
      </c>
      <c r="E230" s="12" t="s">
        <v>1913</v>
      </c>
      <c r="F230" s="12" t="s">
        <v>1914</v>
      </c>
      <c r="G230" s="13" t="s">
        <v>3048</v>
      </c>
      <c r="H230" s="12" t="s">
        <v>3049</v>
      </c>
      <c r="I230" s="12" t="s">
        <v>2987</v>
      </c>
      <c r="J230" s="13" t="s">
        <v>3797</v>
      </c>
      <c r="K230" s="13" t="s">
        <v>426</v>
      </c>
      <c r="L230" s="12" t="s">
        <v>170</v>
      </c>
      <c r="M230" s="12" t="n">
        <v>82</v>
      </c>
      <c r="N230" s="12" t="n">
        <v>320</v>
      </c>
      <c r="O230" s="13" t="s">
        <v>2785</v>
      </c>
      <c r="P230" s="12" t="s">
        <v>3011</v>
      </c>
      <c r="Q230" s="13"/>
      <c r="R230" s="13" t="s">
        <v>2991</v>
      </c>
      <c r="S230" s="13"/>
      <c r="T230" s="13"/>
      <c r="U230" s="12"/>
      <c r="V230" s="13"/>
      <c r="W230" s="12"/>
      <c r="X230" s="13"/>
      <c r="Y230" s="12" t="s">
        <v>2884</v>
      </c>
      <c r="Z230" s="12" t="s">
        <v>2886</v>
      </c>
      <c r="AA230" s="13" t="s">
        <v>3798</v>
      </c>
      <c r="AB230" s="13"/>
      <c r="AC230" s="12" t="s">
        <v>2995</v>
      </c>
    </row>
    <row r="231" customFormat="false" ht="30" hidden="false" customHeight="true" outlineLevel="0" collapsed="false">
      <c r="A231" s="10" t="s">
        <v>3799</v>
      </c>
      <c r="B231" s="10" t="s">
        <v>3800</v>
      </c>
      <c r="C231" s="10" t="s">
        <v>3697</v>
      </c>
      <c r="D231" s="10" t="s">
        <v>2903</v>
      </c>
      <c r="E231" s="10" t="s">
        <v>2386</v>
      </c>
      <c r="F231" s="10" t="s">
        <v>2387</v>
      </c>
      <c r="G231" s="11" t="s">
        <v>3007</v>
      </c>
      <c r="H231" s="10" t="s">
        <v>2999</v>
      </c>
      <c r="I231" s="10" t="s">
        <v>2987</v>
      </c>
      <c r="J231" s="11" t="s">
        <v>3503</v>
      </c>
      <c r="K231" s="11" t="s">
        <v>441</v>
      </c>
      <c r="L231" s="10" t="s">
        <v>170</v>
      </c>
      <c r="M231" s="10" t="n">
        <v>86</v>
      </c>
      <c r="N231" s="10" t="n">
        <v>365</v>
      </c>
      <c r="O231" s="11" t="s">
        <v>2785</v>
      </c>
      <c r="P231" s="10" t="s">
        <v>3011</v>
      </c>
      <c r="Q231" s="11"/>
      <c r="R231" s="11" t="s">
        <v>2991</v>
      </c>
      <c r="S231" s="11"/>
      <c r="T231" s="11"/>
      <c r="U231" s="10"/>
      <c r="V231" s="11"/>
      <c r="W231" s="10"/>
      <c r="X231" s="11"/>
      <c r="Y231" s="10" t="s">
        <v>2884</v>
      </c>
      <c r="Z231" s="10" t="s">
        <v>2886</v>
      </c>
      <c r="AA231" s="11" t="s">
        <v>3801</v>
      </c>
      <c r="AB231" s="11"/>
      <c r="AC231" s="10" t="s">
        <v>3106</v>
      </c>
    </row>
    <row r="232" customFormat="false" ht="30" hidden="false" customHeight="true" outlineLevel="0" collapsed="false">
      <c r="A232" s="12" t="s">
        <v>3802</v>
      </c>
      <c r="B232" s="12" t="s">
        <v>3284</v>
      </c>
      <c r="C232" s="12" t="s">
        <v>3697</v>
      </c>
      <c r="D232" s="12" t="s">
        <v>2903</v>
      </c>
      <c r="E232" s="12" t="s">
        <v>2431</v>
      </c>
      <c r="F232" s="12" t="s">
        <v>2432</v>
      </c>
      <c r="G232" s="13" t="s">
        <v>3071</v>
      </c>
      <c r="H232" s="12" t="s">
        <v>3072</v>
      </c>
      <c r="I232" s="12" t="s">
        <v>3073</v>
      </c>
      <c r="J232" s="13" t="s">
        <v>3101</v>
      </c>
      <c r="K232" s="13" t="s">
        <v>414</v>
      </c>
      <c r="L232" s="12" t="s">
        <v>170</v>
      </c>
      <c r="M232" s="12" t="n">
        <v>84</v>
      </c>
      <c r="N232" s="12" t="n">
        <v>390</v>
      </c>
      <c r="O232" s="13" t="s">
        <v>2785</v>
      </c>
      <c r="P232" s="12" t="s">
        <v>3041</v>
      </c>
      <c r="Q232" s="13" t="s">
        <v>3237</v>
      </c>
      <c r="R232" s="13" t="s">
        <v>2991</v>
      </c>
      <c r="S232" s="13"/>
      <c r="T232" s="13" t="s">
        <v>3803</v>
      </c>
      <c r="U232" s="12"/>
      <c r="V232" s="13"/>
      <c r="W232" s="12" t="s">
        <v>3445</v>
      </c>
      <c r="X232" s="13"/>
      <c r="Y232" s="12" t="s">
        <v>2824</v>
      </c>
      <c r="Z232" s="12" t="s">
        <v>2892</v>
      </c>
      <c r="AA232" s="13" t="s">
        <v>3804</v>
      </c>
      <c r="AB232" s="13"/>
      <c r="AC232" s="12" t="s">
        <v>3467</v>
      </c>
    </row>
    <row r="233" customFormat="false" ht="30" hidden="false" customHeight="true" outlineLevel="0" collapsed="false">
      <c r="A233" s="10" t="s">
        <v>3805</v>
      </c>
      <c r="B233" s="10" t="s">
        <v>3806</v>
      </c>
      <c r="C233" s="10" t="s">
        <v>3697</v>
      </c>
      <c r="D233" s="10" t="s">
        <v>2984</v>
      </c>
      <c r="E233" s="10" t="s">
        <v>2044</v>
      </c>
      <c r="F233" s="10" t="s">
        <v>2045</v>
      </c>
      <c r="G233" s="11" t="s">
        <v>3029</v>
      </c>
      <c r="H233" s="10" t="s">
        <v>3072</v>
      </c>
      <c r="I233" s="10" t="s">
        <v>3073</v>
      </c>
      <c r="J233" s="11" t="s">
        <v>3807</v>
      </c>
      <c r="K233" s="11" t="s">
        <v>452</v>
      </c>
      <c r="L233" s="10" t="s">
        <v>170</v>
      </c>
      <c r="M233" s="10" t="n">
        <v>83</v>
      </c>
      <c r="N233" s="10" t="n">
        <v>405</v>
      </c>
      <c r="O233" s="11" t="s">
        <v>3031</v>
      </c>
      <c r="P233" s="10" t="s">
        <v>2989</v>
      </c>
      <c r="Q233" s="11" t="s">
        <v>2990</v>
      </c>
      <c r="R233" s="11" t="s">
        <v>2991</v>
      </c>
      <c r="S233" s="11"/>
      <c r="T233" s="11"/>
      <c r="U233" s="10"/>
      <c r="V233" s="11"/>
      <c r="W233" s="10" t="s">
        <v>3440</v>
      </c>
      <c r="X233" s="11"/>
      <c r="Y233" s="10" t="s">
        <v>2888</v>
      </c>
      <c r="Z233" s="10" t="s">
        <v>1509</v>
      </c>
      <c r="AA233" s="11" t="s">
        <v>3808</v>
      </c>
      <c r="AB233" s="11" t="s">
        <v>3809</v>
      </c>
      <c r="AC233" s="10" t="s">
        <v>2995</v>
      </c>
    </row>
    <row r="234" customFormat="false" ht="30" hidden="false" customHeight="true" outlineLevel="0" collapsed="false">
      <c r="A234" s="12" t="s">
        <v>3810</v>
      </c>
      <c r="B234" s="12" t="s">
        <v>3811</v>
      </c>
      <c r="C234" s="12" t="s">
        <v>3697</v>
      </c>
      <c r="D234" s="12" t="s">
        <v>2903</v>
      </c>
      <c r="E234" s="12" t="s">
        <v>2386</v>
      </c>
      <c r="F234" s="12" t="s">
        <v>2387</v>
      </c>
      <c r="G234" s="13" t="s">
        <v>3088</v>
      </c>
      <c r="H234" s="12" t="s">
        <v>3008</v>
      </c>
      <c r="I234" s="12" t="s">
        <v>3009</v>
      </c>
      <c r="J234" s="13" t="s">
        <v>1057</v>
      </c>
      <c r="K234" s="13" t="s">
        <v>438</v>
      </c>
      <c r="L234" s="12" t="s">
        <v>170</v>
      </c>
      <c r="M234" s="12" t="n">
        <v>83</v>
      </c>
      <c r="N234" s="12" t="n">
        <v>355</v>
      </c>
      <c r="O234" s="13" t="s">
        <v>2785</v>
      </c>
      <c r="P234" s="12" t="s">
        <v>3011</v>
      </c>
      <c r="Q234" s="13"/>
      <c r="R234" s="13" t="s">
        <v>2991</v>
      </c>
      <c r="S234" s="13"/>
      <c r="T234" s="13"/>
      <c r="U234" s="12"/>
      <c r="V234" s="13"/>
      <c r="W234" s="12"/>
      <c r="X234" s="13"/>
      <c r="Y234" s="12" t="s">
        <v>2884</v>
      </c>
      <c r="Z234" s="12" t="s">
        <v>2886</v>
      </c>
      <c r="AA234" s="13" t="s">
        <v>3812</v>
      </c>
      <c r="AB234" s="13"/>
      <c r="AC234" s="12" t="s">
        <v>3014</v>
      </c>
    </row>
    <row r="235" customFormat="false" ht="30" hidden="false" customHeight="true" outlineLevel="0" collapsed="false">
      <c r="A235" s="10" t="s">
        <v>3813</v>
      </c>
      <c r="B235" s="10" t="s">
        <v>3814</v>
      </c>
      <c r="C235" s="10" t="s">
        <v>3697</v>
      </c>
      <c r="D235" s="10" t="s">
        <v>2984</v>
      </c>
      <c r="E235" s="10" t="s">
        <v>1911</v>
      </c>
      <c r="F235" s="10" t="s">
        <v>1912</v>
      </c>
      <c r="G235" s="11" t="s">
        <v>3080</v>
      </c>
      <c r="H235" s="10" t="s">
        <v>3018</v>
      </c>
      <c r="I235" s="10" t="s">
        <v>2987</v>
      </c>
      <c r="J235" s="11" t="s">
        <v>3171</v>
      </c>
      <c r="K235" s="11" t="s">
        <v>452</v>
      </c>
      <c r="L235" s="10" t="s">
        <v>177</v>
      </c>
      <c r="M235" s="10" t="n">
        <v>79</v>
      </c>
      <c r="N235" s="10" t="n">
        <v>375</v>
      </c>
      <c r="O235" s="11" t="s">
        <v>3031</v>
      </c>
      <c r="P235" s="10" t="s">
        <v>2989</v>
      </c>
      <c r="Q235" s="11" t="s">
        <v>3354</v>
      </c>
      <c r="R235" s="11" t="s">
        <v>2991</v>
      </c>
      <c r="S235" s="11"/>
      <c r="T235" s="11"/>
      <c r="U235" s="10"/>
      <c r="V235" s="11"/>
      <c r="W235" s="10"/>
      <c r="X235" s="11"/>
      <c r="Y235" s="10" t="s">
        <v>2888</v>
      </c>
      <c r="Z235" s="10" t="s">
        <v>1509</v>
      </c>
      <c r="AA235" s="11" t="s">
        <v>3815</v>
      </c>
      <c r="AB235" s="11"/>
      <c r="AC235" s="10" t="s">
        <v>2995</v>
      </c>
    </row>
    <row r="236" customFormat="false" ht="30" hidden="false" customHeight="true" outlineLevel="0" collapsed="false">
      <c r="A236" s="12" t="s">
        <v>3816</v>
      </c>
      <c r="B236" s="12" t="s">
        <v>3817</v>
      </c>
      <c r="C236" s="12" t="s">
        <v>3697</v>
      </c>
      <c r="D236" s="12" t="s">
        <v>2984</v>
      </c>
      <c r="E236" s="12" t="s">
        <v>1823</v>
      </c>
      <c r="F236" s="12" t="s">
        <v>1824</v>
      </c>
      <c r="G236" s="13" t="s">
        <v>2985</v>
      </c>
      <c r="H236" s="12" t="s">
        <v>2986</v>
      </c>
      <c r="I236" s="12" t="s">
        <v>3023</v>
      </c>
      <c r="J236" s="13" t="s">
        <v>3818</v>
      </c>
      <c r="K236" s="13" t="s">
        <v>433</v>
      </c>
      <c r="L236" s="12" t="s">
        <v>177</v>
      </c>
      <c r="M236" s="12" t="n">
        <v>86</v>
      </c>
      <c r="N236" s="12" t="n">
        <v>410</v>
      </c>
      <c r="O236" s="13" t="s">
        <v>3031</v>
      </c>
      <c r="P236" s="12" t="s">
        <v>2989</v>
      </c>
      <c r="Q236" s="13" t="s">
        <v>2990</v>
      </c>
      <c r="R236" s="13" t="s">
        <v>2991</v>
      </c>
      <c r="S236" s="13"/>
      <c r="T236" s="13"/>
      <c r="U236" s="12"/>
      <c r="V236" s="13"/>
      <c r="W236" s="12" t="s">
        <v>3044</v>
      </c>
      <c r="X236" s="13"/>
      <c r="Y236" s="12" t="s">
        <v>2888</v>
      </c>
      <c r="Z236" s="12" t="s">
        <v>1509</v>
      </c>
      <c r="AA236" s="13" t="s">
        <v>3819</v>
      </c>
      <c r="AB236" s="13" t="s">
        <v>3820</v>
      </c>
      <c r="AC236" s="12" t="s">
        <v>2995</v>
      </c>
    </row>
    <row r="237" customFormat="false" ht="30" hidden="false" customHeight="true" outlineLevel="0" collapsed="false">
      <c r="A237" s="10" t="s">
        <v>3821</v>
      </c>
      <c r="B237" s="10" t="s">
        <v>3822</v>
      </c>
      <c r="C237" s="10" t="s">
        <v>3697</v>
      </c>
      <c r="D237" s="10" t="s">
        <v>2903</v>
      </c>
      <c r="E237" s="10" t="s">
        <v>2428</v>
      </c>
      <c r="F237" s="10" t="s">
        <v>1942</v>
      </c>
      <c r="G237" s="11" t="s">
        <v>3058</v>
      </c>
      <c r="H237" s="10" t="s">
        <v>3072</v>
      </c>
      <c r="I237" s="10" t="s">
        <v>3073</v>
      </c>
      <c r="J237" s="11" t="s">
        <v>3427</v>
      </c>
      <c r="K237" s="11" t="s">
        <v>455</v>
      </c>
      <c r="L237" s="10" t="s">
        <v>170</v>
      </c>
      <c r="M237" s="10" t="n">
        <v>85</v>
      </c>
      <c r="N237" s="10" t="n">
        <v>380</v>
      </c>
      <c r="O237" s="11" t="s">
        <v>3031</v>
      </c>
      <c r="P237" s="10" t="s">
        <v>3011</v>
      </c>
      <c r="Q237" s="11" t="s">
        <v>2990</v>
      </c>
      <c r="R237" s="11" t="s">
        <v>2991</v>
      </c>
      <c r="S237" s="11"/>
      <c r="T237" s="11"/>
      <c r="U237" s="10"/>
      <c r="V237" s="11" t="s">
        <v>3823</v>
      </c>
      <c r="W237" s="10"/>
      <c r="X237" s="11"/>
      <c r="Y237" s="10" t="s">
        <v>2903</v>
      </c>
      <c r="Z237" s="10" t="s">
        <v>2904</v>
      </c>
      <c r="AA237" s="11" t="s">
        <v>3824</v>
      </c>
      <c r="AB237" s="11"/>
      <c r="AC237" s="10" t="s">
        <v>3014</v>
      </c>
    </row>
    <row r="238" customFormat="false" ht="30" hidden="false" customHeight="true" outlineLevel="0" collapsed="false">
      <c r="A238" s="12" t="s">
        <v>3825</v>
      </c>
      <c r="B238" s="12" t="s">
        <v>3826</v>
      </c>
      <c r="C238" s="12" t="s">
        <v>3697</v>
      </c>
      <c r="D238" s="12" t="s">
        <v>2903</v>
      </c>
      <c r="E238" s="12" t="s">
        <v>2408</v>
      </c>
      <c r="F238" s="12" t="s">
        <v>2409</v>
      </c>
      <c r="G238" s="13" t="s">
        <v>3092</v>
      </c>
      <c r="H238" s="12" t="s">
        <v>3018</v>
      </c>
      <c r="I238" s="12" t="s">
        <v>2987</v>
      </c>
      <c r="J238" s="13" t="s">
        <v>892</v>
      </c>
      <c r="K238" s="13" t="s">
        <v>445</v>
      </c>
      <c r="L238" s="12" t="s">
        <v>170</v>
      </c>
      <c r="M238" s="12" t="n">
        <v>82</v>
      </c>
      <c r="N238" s="12" t="n">
        <v>330</v>
      </c>
      <c r="O238" s="13" t="s">
        <v>2785</v>
      </c>
      <c r="P238" s="12" t="s">
        <v>3011</v>
      </c>
      <c r="Q238" s="13"/>
      <c r="R238" s="13" t="s">
        <v>2991</v>
      </c>
      <c r="S238" s="13"/>
      <c r="T238" s="13"/>
      <c r="U238" s="12"/>
      <c r="V238" s="13"/>
      <c r="W238" s="12"/>
      <c r="X238" s="13"/>
      <c r="Y238" s="12" t="s">
        <v>2884</v>
      </c>
      <c r="Z238" s="12" t="s">
        <v>2886</v>
      </c>
      <c r="AA238" s="13" t="s">
        <v>3559</v>
      </c>
      <c r="AB238" s="13"/>
      <c r="AC238" s="12" t="s">
        <v>3014</v>
      </c>
    </row>
    <row r="239" customFormat="false" ht="30" hidden="false" customHeight="true" outlineLevel="0" collapsed="false">
      <c r="A239" s="10" t="s">
        <v>3827</v>
      </c>
      <c r="B239" s="10" t="s">
        <v>3828</v>
      </c>
      <c r="C239" s="10" t="s">
        <v>3697</v>
      </c>
      <c r="D239" s="10" t="s">
        <v>2903</v>
      </c>
      <c r="E239" s="10" t="s">
        <v>2413</v>
      </c>
      <c r="F239" s="10" t="s">
        <v>2414</v>
      </c>
      <c r="G239" s="11" t="s">
        <v>3039</v>
      </c>
      <c r="H239" s="10" t="s">
        <v>3008</v>
      </c>
      <c r="I239" s="10" t="s">
        <v>3009</v>
      </c>
      <c r="J239" s="11" t="s">
        <v>3829</v>
      </c>
      <c r="K239" s="11" t="s">
        <v>441</v>
      </c>
      <c r="L239" s="10" t="s">
        <v>170</v>
      </c>
      <c r="M239" s="10" t="n">
        <v>87</v>
      </c>
      <c r="N239" s="10" t="n">
        <v>430</v>
      </c>
      <c r="O239" s="11" t="s">
        <v>3031</v>
      </c>
      <c r="P239" s="10" t="s">
        <v>2989</v>
      </c>
      <c r="Q239" s="11" t="s">
        <v>3200</v>
      </c>
      <c r="R239" s="11" t="s">
        <v>2991</v>
      </c>
      <c r="S239" s="11"/>
      <c r="T239" s="11" t="s">
        <v>3830</v>
      </c>
      <c r="U239" s="10"/>
      <c r="V239" s="11"/>
      <c r="W239" s="10"/>
      <c r="X239" s="11" t="s">
        <v>3831</v>
      </c>
      <c r="Y239" s="10" t="s">
        <v>2888</v>
      </c>
      <c r="Z239" s="10" t="s">
        <v>1509</v>
      </c>
      <c r="AA239" s="11" t="s">
        <v>3832</v>
      </c>
      <c r="AB239" s="11" t="s">
        <v>3833</v>
      </c>
      <c r="AC239" s="10" t="s">
        <v>3834</v>
      </c>
    </row>
    <row r="240" customFormat="false" ht="30" hidden="false" customHeight="true" outlineLevel="0" collapsed="false">
      <c r="A240" s="12" t="s">
        <v>3835</v>
      </c>
      <c r="B240" s="12" t="s">
        <v>3836</v>
      </c>
      <c r="C240" s="12" t="s">
        <v>3697</v>
      </c>
      <c r="D240" s="12" t="s">
        <v>2903</v>
      </c>
      <c r="E240" s="12" t="s">
        <v>2428</v>
      </c>
      <c r="F240" s="12" t="s">
        <v>1942</v>
      </c>
      <c r="G240" s="13" t="s">
        <v>3062</v>
      </c>
      <c r="H240" s="12" t="s">
        <v>3072</v>
      </c>
      <c r="I240" s="12" t="s">
        <v>3073</v>
      </c>
      <c r="J240" s="13" t="s">
        <v>850</v>
      </c>
      <c r="K240" s="13" t="s">
        <v>445</v>
      </c>
      <c r="L240" s="12" t="s">
        <v>170</v>
      </c>
      <c r="M240" s="12" t="n">
        <v>81</v>
      </c>
      <c r="N240" s="12" t="n">
        <v>315</v>
      </c>
      <c r="O240" s="13" t="s">
        <v>2785</v>
      </c>
      <c r="P240" s="12" t="s">
        <v>3011</v>
      </c>
      <c r="Q240" s="13"/>
      <c r="R240" s="13" t="s">
        <v>2991</v>
      </c>
      <c r="S240" s="13"/>
      <c r="T240" s="13"/>
      <c r="U240" s="12"/>
      <c r="V240" s="13"/>
      <c r="W240" s="12"/>
      <c r="X240" s="13"/>
      <c r="Y240" s="12" t="s">
        <v>2884</v>
      </c>
      <c r="Z240" s="12" t="s">
        <v>2886</v>
      </c>
      <c r="AA240" s="13" t="s">
        <v>3837</v>
      </c>
      <c r="AB240" s="13"/>
      <c r="AC240" s="12" t="s">
        <v>3014</v>
      </c>
    </row>
    <row r="241" customFormat="false" ht="30" hidden="false" customHeight="true" outlineLevel="0" collapsed="false">
      <c r="A241" s="10" t="s">
        <v>3838</v>
      </c>
      <c r="B241" s="10" t="s">
        <v>3839</v>
      </c>
      <c r="C241" s="10" t="s">
        <v>3697</v>
      </c>
      <c r="D241" s="10" t="s">
        <v>2984</v>
      </c>
      <c r="E241" s="10" t="s">
        <v>1959</v>
      </c>
      <c r="F241" s="10" t="s">
        <v>1960</v>
      </c>
      <c r="G241" s="11" t="s">
        <v>3053</v>
      </c>
      <c r="H241" s="10" t="s">
        <v>3018</v>
      </c>
      <c r="I241" s="10" t="s">
        <v>2987</v>
      </c>
      <c r="J241" s="11" t="s">
        <v>1207</v>
      </c>
      <c r="K241" s="11" t="s">
        <v>452</v>
      </c>
      <c r="L241" s="10" t="s">
        <v>191</v>
      </c>
      <c r="M241" s="10" t="n">
        <v>44</v>
      </c>
      <c r="N241" s="10" t="n">
        <v>265</v>
      </c>
      <c r="O241" s="11" t="s">
        <v>3000</v>
      </c>
      <c r="P241" s="10" t="s">
        <v>2989</v>
      </c>
      <c r="Q241" s="11" t="s">
        <v>3285</v>
      </c>
      <c r="R241" s="11" t="s">
        <v>3055</v>
      </c>
      <c r="S241" s="11"/>
      <c r="T241" s="11" t="s">
        <v>3840</v>
      </c>
      <c r="U241" s="10"/>
      <c r="V241" s="11"/>
      <c r="W241" s="10" t="s">
        <v>3239</v>
      </c>
      <c r="X241" s="11"/>
      <c r="Y241" s="10" t="s">
        <v>2888</v>
      </c>
      <c r="Z241" s="10" t="s">
        <v>1509</v>
      </c>
      <c r="AA241" s="11" t="s">
        <v>3841</v>
      </c>
      <c r="AB241" s="11" t="s">
        <v>3842</v>
      </c>
      <c r="AC241" s="10" t="s">
        <v>2995</v>
      </c>
    </row>
    <row r="242" customFormat="false" ht="30" hidden="false" customHeight="true" outlineLevel="0" collapsed="false">
      <c r="A242" s="12" t="s">
        <v>3843</v>
      </c>
      <c r="B242" s="12" t="s">
        <v>3844</v>
      </c>
      <c r="C242" s="12" t="s">
        <v>3697</v>
      </c>
      <c r="D242" s="12" t="s">
        <v>2903</v>
      </c>
      <c r="E242" s="12" t="s">
        <v>2394</v>
      </c>
      <c r="F242" s="12" t="s">
        <v>2395</v>
      </c>
      <c r="G242" s="13" t="s">
        <v>3029</v>
      </c>
      <c r="H242" s="12" t="s">
        <v>2999</v>
      </c>
      <c r="I242" s="12" t="s">
        <v>2987</v>
      </c>
      <c r="J242" s="13" t="s">
        <v>901</v>
      </c>
      <c r="K242" s="13" t="s">
        <v>423</v>
      </c>
      <c r="L242" s="12" t="s">
        <v>170</v>
      </c>
      <c r="M242" s="12" t="n">
        <v>85</v>
      </c>
      <c r="N242" s="12" t="n">
        <v>365</v>
      </c>
      <c r="O242" s="13" t="s">
        <v>2785</v>
      </c>
      <c r="P242" s="12" t="s">
        <v>3011</v>
      </c>
      <c r="Q242" s="13"/>
      <c r="R242" s="13" t="s">
        <v>2991</v>
      </c>
      <c r="S242" s="13"/>
      <c r="T242" s="13"/>
      <c r="U242" s="12"/>
      <c r="V242" s="13"/>
      <c r="W242" s="12" t="s">
        <v>3440</v>
      </c>
      <c r="X242" s="13"/>
      <c r="Y242" s="12" t="s">
        <v>2903</v>
      </c>
      <c r="Z242" s="12" t="s">
        <v>2904</v>
      </c>
      <c r="AA242" s="13" t="s">
        <v>3845</v>
      </c>
      <c r="AB242" s="13"/>
      <c r="AC242" s="12" t="s">
        <v>3014</v>
      </c>
    </row>
    <row r="243" customFormat="false" ht="30" hidden="false" customHeight="true" outlineLevel="0" collapsed="false">
      <c r="A243" s="10" t="s">
        <v>3846</v>
      </c>
      <c r="B243" s="10" t="s">
        <v>3847</v>
      </c>
      <c r="C243" s="10" t="s">
        <v>3697</v>
      </c>
      <c r="D243" s="10" t="s">
        <v>2984</v>
      </c>
      <c r="E243" s="10" t="s">
        <v>1971</v>
      </c>
      <c r="F243" s="10" t="s">
        <v>1972</v>
      </c>
      <c r="G243" s="11" t="s">
        <v>3048</v>
      </c>
      <c r="H243" s="10" t="s">
        <v>2986</v>
      </c>
      <c r="I243" s="10" t="s">
        <v>2987</v>
      </c>
      <c r="J243" s="11" t="s">
        <v>1231</v>
      </c>
      <c r="K243" s="11" t="s">
        <v>433</v>
      </c>
      <c r="L243" s="10" t="s">
        <v>170</v>
      </c>
      <c r="M243" s="10" t="n">
        <v>80</v>
      </c>
      <c r="N243" s="10" t="n">
        <v>340</v>
      </c>
      <c r="O243" s="11" t="s">
        <v>2785</v>
      </c>
      <c r="P243" s="10" t="s">
        <v>3011</v>
      </c>
      <c r="Q243" s="11"/>
      <c r="R243" s="11" t="s">
        <v>2991</v>
      </c>
      <c r="S243" s="11"/>
      <c r="T243" s="11"/>
      <c r="U243" s="10"/>
      <c r="V243" s="11"/>
      <c r="W243" s="10" t="s">
        <v>3239</v>
      </c>
      <c r="X243" s="11"/>
      <c r="Y243" s="10" t="s">
        <v>2884</v>
      </c>
      <c r="Z243" s="10" t="s">
        <v>2886</v>
      </c>
      <c r="AA243" s="11" t="s">
        <v>3848</v>
      </c>
      <c r="AB243" s="11"/>
      <c r="AC243" s="10" t="s">
        <v>2995</v>
      </c>
    </row>
    <row r="244" customFormat="false" ht="30" hidden="false" customHeight="true" outlineLevel="0" collapsed="false">
      <c r="A244" s="12" t="s">
        <v>3849</v>
      </c>
      <c r="B244" s="12" t="s">
        <v>3850</v>
      </c>
      <c r="C244" s="12" t="s">
        <v>3697</v>
      </c>
      <c r="D244" s="12" t="s">
        <v>2984</v>
      </c>
      <c r="E244" s="12" t="s">
        <v>1855</v>
      </c>
      <c r="F244" s="12" t="s">
        <v>1856</v>
      </c>
      <c r="G244" s="13" t="s">
        <v>3080</v>
      </c>
      <c r="H244" s="12" t="s">
        <v>3018</v>
      </c>
      <c r="I244" s="12" t="s">
        <v>3023</v>
      </c>
      <c r="J244" s="13" t="s">
        <v>3851</v>
      </c>
      <c r="K244" s="13" t="s">
        <v>452</v>
      </c>
      <c r="L244" s="12" t="s">
        <v>170</v>
      </c>
      <c r="M244" s="12" t="n">
        <v>82</v>
      </c>
      <c r="N244" s="12" t="n">
        <v>385</v>
      </c>
      <c r="O244" s="13" t="s">
        <v>3031</v>
      </c>
      <c r="P244" s="12" t="s">
        <v>3011</v>
      </c>
      <c r="Q244" s="13"/>
      <c r="R244" s="13" t="s">
        <v>2991</v>
      </c>
      <c r="S244" s="13"/>
      <c r="T244" s="13"/>
      <c r="U244" s="12"/>
      <c r="V244" s="13"/>
      <c r="W244" s="12"/>
      <c r="X244" s="13"/>
      <c r="Y244" s="12" t="s">
        <v>2884</v>
      </c>
      <c r="Z244" s="12" t="s">
        <v>2886</v>
      </c>
      <c r="AA244" s="13" t="s">
        <v>3852</v>
      </c>
      <c r="AB244" s="13" t="s">
        <v>3853</v>
      </c>
      <c r="AC244" s="12" t="s">
        <v>2995</v>
      </c>
    </row>
    <row r="245" customFormat="false" ht="30" hidden="false" customHeight="true" outlineLevel="0" collapsed="false">
      <c r="A245" s="10" t="s">
        <v>3854</v>
      </c>
      <c r="B245" s="10" t="s">
        <v>3855</v>
      </c>
      <c r="C245" s="10" t="s">
        <v>3697</v>
      </c>
      <c r="D245" s="10" t="s">
        <v>2984</v>
      </c>
      <c r="E245" s="10" t="s">
        <v>1998</v>
      </c>
      <c r="F245" s="10" t="s">
        <v>1999</v>
      </c>
      <c r="G245" s="11" t="s">
        <v>3071</v>
      </c>
      <c r="H245" s="10" t="s">
        <v>3072</v>
      </c>
      <c r="I245" s="10" t="s">
        <v>3073</v>
      </c>
      <c r="J245" s="11" t="s">
        <v>1296</v>
      </c>
      <c r="K245" s="11" t="s">
        <v>452</v>
      </c>
      <c r="L245" s="10" t="s">
        <v>177</v>
      </c>
      <c r="M245" s="10" t="n">
        <v>80</v>
      </c>
      <c r="N245" s="10" t="n">
        <v>395</v>
      </c>
      <c r="O245" s="11" t="s">
        <v>3031</v>
      </c>
      <c r="P245" s="10" t="s">
        <v>3011</v>
      </c>
      <c r="Q245" s="11"/>
      <c r="R245" s="11" t="s">
        <v>2991</v>
      </c>
      <c r="S245" s="11"/>
      <c r="T245" s="11"/>
      <c r="U245" s="10"/>
      <c r="V245" s="11"/>
      <c r="W245" s="10"/>
      <c r="X245" s="11"/>
      <c r="Y245" s="10" t="s">
        <v>2884</v>
      </c>
      <c r="Z245" s="10" t="s">
        <v>2886</v>
      </c>
      <c r="AA245" s="11" t="s">
        <v>3856</v>
      </c>
      <c r="AB245" s="11"/>
      <c r="AC245" s="10" t="s">
        <v>2995</v>
      </c>
    </row>
    <row r="246" customFormat="false" ht="30" hidden="false" customHeight="true" outlineLevel="0" collapsed="false">
      <c r="A246" s="12" t="s">
        <v>3857</v>
      </c>
      <c r="B246" s="12" t="s">
        <v>3333</v>
      </c>
      <c r="C246" s="12" t="s">
        <v>3697</v>
      </c>
      <c r="D246" s="12" t="s">
        <v>2984</v>
      </c>
      <c r="E246" s="12" t="s">
        <v>1961</v>
      </c>
      <c r="F246" s="12" t="s">
        <v>1962</v>
      </c>
      <c r="G246" s="13" t="s">
        <v>3088</v>
      </c>
      <c r="H246" s="12" t="s">
        <v>2999</v>
      </c>
      <c r="I246" s="12" t="s">
        <v>2987</v>
      </c>
      <c r="J246" s="13" t="s">
        <v>432</v>
      </c>
      <c r="K246" s="13" t="s">
        <v>429</v>
      </c>
      <c r="L246" s="12" t="s">
        <v>170</v>
      </c>
      <c r="M246" s="12" t="n">
        <v>81</v>
      </c>
      <c r="N246" s="12" t="n">
        <v>305</v>
      </c>
      <c r="O246" s="13" t="s">
        <v>2785</v>
      </c>
      <c r="P246" s="12" t="s">
        <v>2989</v>
      </c>
      <c r="Q246" s="13" t="s">
        <v>3067</v>
      </c>
      <c r="R246" s="13" t="s">
        <v>2991</v>
      </c>
      <c r="S246" s="13"/>
      <c r="T246" s="13"/>
      <c r="U246" s="12"/>
      <c r="V246" s="13"/>
      <c r="W246" s="12"/>
      <c r="X246" s="13"/>
      <c r="Y246" s="12" t="s">
        <v>2888</v>
      </c>
      <c r="Z246" s="12" t="s">
        <v>1509</v>
      </c>
      <c r="AA246" s="13" t="s">
        <v>3858</v>
      </c>
      <c r="AB246" s="13"/>
      <c r="AC246" s="12" t="s">
        <v>2995</v>
      </c>
    </row>
    <row r="247" customFormat="false" ht="30" hidden="false" customHeight="true" outlineLevel="0" collapsed="false">
      <c r="A247" s="10" t="s">
        <v>3859</v>
      </c>
      <c r="B247" s="10" t="s">
        <v>3860</v>
      </c>
      <c r="C247" s="10" t="s">
        <v>3697</v>
      </c>
      <c r="D247" s="10" t="s">
        <v>2984</v>
      </c>
      <c r="E247" s="10" t="s">
        <v>1951</v>
      </c>
      <c r="F247" s="10" t="s">
        <v>1952</v>
      </c>
      <c r="G247" s="11" t="s">
        <v>3092</v>
      </c>
      <c r="H247" s="10" t="s">
        <v>3018</v>
      </c>
      <c r="I247" s="10" t="s">
        <v>3093</v>
      </c>
      <c r="J247" s="11" t="s">
        <v>3861</v>
      </c>
      <c r="K247" s="11" t="s">
        <v>452</v>
      </c>
      <c r="L247" s="10" t="s">
        <v>170</v>
      </c>
      <c r="M247" s="10" t="n">
        <v>83</v>
      </c>
      <c r="N247" s="10" t="n">
        <v>325</v>
      </c>
      <c r="O247" s="11" t="s">
        <v>2785</v>
      </c>
      <c r="P247" s="10" t="s">
        <v>3011</v>
      </c>
      <c r="Q247" s="11"/>
      <c r="R247" s="11" t="s">
        <v>2991</v>
      </c>
      <c r="S247" s="11"/>
      <c r="T247" s="11"/>
      <c r="U247" s="10"/>
      <c r="V247" s="11"/>
      <c r="W247" s="10"/>
      <c r="X247" s="11"/>
      <c r="Y247" s="10" t="s">
        <v>2884</v>
      </c>
      <c r="Z247" s="10" t="s">
        <v>2886</v>
      </c>
      <c r="AA247" s="11" t="s">
        <v>3862</v>
      </c>
      <c r="AB247" s="11"/>
      <c r="AC247" s="10" t="s">
        <v>2995</v>
      </c>
    </row>
    <row r="248" customFormat="false" ht="30" hidden="false" customHeight="true" outlineLevel="0" collapsed="false">
      <c r="A248" s="12" t="s">
        <v>3863</v>
      </c>
      <c r="B248" s="12" t="s">
        <v>3864</v>
      </c>
      <c r="C248" s="12" t="s">
        <v>3697</v>
      </c>
      <c r="D248" s="12" t="s">
        <v>2984</v>
      </c>
      <c r="E248" s="12" t="s">
        <v>1827</v>
      </c>
      <c r="F248" s="12" t="s">
        <v>1828</v>
      </c>
      <c r="G248" s="13" t="s">
        <v>3007</v>
      </c>
      <c r="H248" s="12" t="s">
        <v>3049</v>
      </c>
      <c r="I248" s="12" t="s">
        <v>3093</v>
      </c>
      <c r="J248" s="13" t="s">
        <v>3865</v>
      </c>
      <c r="K248" s="13" t="s">
        <v>452</v>
      </c>
      <c r="L248" s="12" t="s">
        <v>170</v>
      </c>
      <c r="M248" s="12" t="n">
        <v>84</v>
      </c>
      <c r="N248" s="12" t="n">
        <v>375</v>
      </c>
      <c r="O248" s="13" t="s">
        <v>2785</v>
      </c>
      <c r="P248" s="12" t="s">
        <v>3011</v>
      </c>
      <c r="Q248" s="13"/>
      <c r="R248" s="13" t="s">
        <v>2991</v>
      </c>
      <c r="S248" s="13"/>
      <c r="T248" s="13"/>
      <c r="U248" s="12"/>
      <c r="V248" s="13"/>
      <c r="W248" s="12" t="s">
        <v>3044</v>
      </c>
      <c r="X248" s="13"/>
      <c r="Y248" s="12" t="s">
        <v>2884</v>
      </c>
      <c r="Z248" s="12" t="s">
        <v>2886</v>
      </c>
      <c r="AA248" s="13" t="s">
        <v>3866</v>
      </c>
      <c r="AB248" s="13" t="s">
        <v>3460</v>
      </c>
      <c r="AC248" s="12" t="s">
        <v>2995</v>
      </c>
    </row>
    <row r="249" customFormat="false" ht="30" hidden="false" customHeight="true" outlineLevel="0" collapsed="false">
      <c r="A249" s="10" t="s">
        <v>3867</v>
      </c>
      <c r="B249" s="10" t="s">
        <v>3868</v>
      </c>
      <c r="C249" s="10" t="s">
        <v>3697</v>
      </c>
      <c r="D249" s="10" t="s">
        <v>2903</v>
      </c>
      <c r="E249" s="10" t="s">
        <v>2413</v>
      </c>
      <c r="F249" s="10" t="s">
        <v>2414</v>
      </c>
      <c r="G249" s="11" t="s">
        <v>3062</v>
      </c>
      <c r="H249" s="10" t="s">
        <v>3008</v>
      </c>
      <c r="I249" s="10" t="s">
        <v>2987</v>
      </c>
      <c r="J249" s="11" t="s">
        <v>3869</v>
      </c>
      <c r="K249" s="11" t="s">
        <v>438</v>
      </c>
      <c r="L249" s="10" t="s">
        <v>170</v>
      </c>
      <c r="M249" s="10" t="n">
        <v>82</v>
      </c>
      <c r="N249" s="10" t="n">
        <v>345</v>
      </c>
      <c r="O249" s="11" t="s">
        <v>2785</v>
      </c>
      <c r="P249" s="10" t="s">
        <v>3011</v>
      </c>
      <c r="Q249" s="11"/>
      <c r="R249" s="11" t="s">
        <v>2991</v>
      </c>
      <c r="S249" s="11"/>
      <c r="T249" s="11"/>
      <c r="U249" s="10"/>
      <c r="V249" s="11"/>
      <c r="W249" s="10"/>
      <c r="X249" s="11" t="s">
        <v>3870</v>
      </c>
      <c r="Y249" s="10" t="s">
        <v>2884</v>
      </c>
      <c r="Z249" s="10" t="s">
        <v>2886</v>
      </c>
      <c r="AA249" s="11" t="s">
        <v>3871</v>
      </c>
      <c r="AB249" s="11"/>
      <c r="AC249" s="10" t="s">
        <v>3014</v>
      </c>
    </row>
    <row r="250" customFormat="false" ht="30" hidden="false" customHeight="true" outlineLevel="0" collapsed="false">
      <c r="A250" s="12" t="s">
        <v>3872</v>
      </c>
      <c r="B250" s="12" t="s">
        <v>3873</v>
      </c>
      <c r="C250" s="12" t="s">
        <v>3697</v>
      </c>
      <c r="D250" s="12" t="s">
        <v>2903</v>
      </c>
      <c r="E250" s="12" t="s">
        <v>2396</v>
      </c>
      <c r="F250" s="12" t="s">
        <v>2397</v>
      </c>
      <c r="G250" s="13" t="s">
        <v>3065</v>
      </c>
      <c r="H250" s="12" t="s">
        <v>2999</v>
      </c>
      <c r="I250" s="12" t="s">
        <v>2987</v>
      </c>
      <c r="J250" s="13" t="s">
        <v>3874</v>
      </c>
      <c r="K250" s="13" t="s">
        <v>445</v>
      </c>
      <c r="L250" s="12" t="s">
        <v>191</v>
      </c>
      <c r="M250" s="12" t="n">
        <v>50</v>
      </c>
      <c r="N250" s="12" t="n">
        <v>565</v>
      </c>
      <c r="O250" s="13" t="s">
        <v>3024</v>
      </c>
      <c r="P250" s="12" t="s">
        <v>2989</v>
      </c>
      <c r="Q250" s="13" t="s">
        <v>3054</v>
      </c>
      <c r="R250" s="13" t="s">
        <v>3055</v>
      </c>
      <c r="S250" s="13"/>
      <c r="T250" s="13"/>
      <c r="U250" s="12"/>
      <c r="V250" s="13"/>
      <c r="W250" s="12"/>
      <c r="X250" s="13" t="s">
        <v>3875</v>
      </c>
      <c r="Y250" s="12" t="s">
        <v>2888</v>
      </c>
      <c r="Z250" s="12" t="s">
        <v>1509</v>
      </c>
      <c r="AA250" s="13" t="s">
        <v>3876</v>
      </c>
      <c r="AB250" s="13"/>
      <c r="AC250" s="12" t="s">
        <v>3014</v>
      </c>
    </row>
    <row r="251" customFormat="false" ht="30" hidden="false" customHeight="true" outlineLevel="0" collapsed="false">
      <c r="A251" s="10" t="s">
        <v>3877</v>
      </c>
      <c r="B251" s="10" t="s">
        <v>3878</v>
      </c>
      <c r="C251" s="10" t="s">
        <v>3697</v>
      </c>
      <c r="D251" s="10" t="s">
        <v>2984</v>
      </c>
      <c r="E251" s="10" t="s">
        <v>1859</v>
      </c>
      <c r="F251" s="10" t="s">
        <v>1860</v>
      </c>
      <c r="G251" s="11" t="s">
        <v>2998</v>
      </c>
      <c r="H251" s="10" t="s">
        <v>3018</v>
      </c>
      <c r="I251" s="10" t="s">
        <v>3023</v>
      </c>
      <c r="J251" s="11" t="s">
        <v>1236</v>
      </c>
      <c r="K251" s="11" t="s">
        <v>452</v>
      </c>
      <c r="L251" s="10" t="s">
        <v>191</v>
      </c>
      <c r="M251" s="10" t="n">
        <v>46</v>
      </c>
      <c r="N251" s="10" t="n">
        <v>250</v>
      </c>
      <c r="O251" s="11" t="s">
        <v>3000</v>
      </c>
      <c r="P251" s="10" t="s">
        <v>2989</v>
      </c>
      <c r="Q251" s="11" t="s">
        <v>3124</v>
      </c>
      <c r="R251" s="11" t="s">
        <v>2991</v>
      </c>
      <c r="S251" s="11" t="s">
        <v>3002</v>
      </c>
      <c r="T251" s="11"/>
      <c r="U251" s="10"/>
      <c r="V251" s="11"/>
      <c r="W251" s="10"/>
      <c r="X251" s="11"/>
      <c r="Y251" s="10" t="s">
        <v>2888</v>
      </c>
      <c r="Z251" s="10" t="s">
        <v>1509</v>
      </c>
      <c r="AA251" s="11" t="s">
        <v>3879</v>
      </c>
      <c r="AB251" s="11"/>
      <c r="AC251" s="10" t="s">
        <v>2995</v>
      </c>
    </row>
    <row r="252" customFormat="false" ht="30" hidden="false" customHeight="true" outlineLevel="0" collapsed="false">
      <c r="A252" s="12" t="s">
        <v>3880</v>
      </c>
      <c r="B252" s="12" t="s">
        <v>3881</v>
      </c>
      <c r="C252" s="12" t="s">
        <v>3697</v>
      </c>
      <c r="D252" s="12" t="s">
        <v>2984</v>
      </c>
      <c r="E252" s="12" t="s">
        <v>1825</v>
      </c>
      <c r="F252" s="12" t="s">
        <v>1826</v>
      </c>
      <c r="G252" s="13" t="s">
        <v>2985</v>
      </c>
      <c r="H252" s="12" t="s">
        <v>2986</v>
      </c>
      <c r="I252" s="12" t="s">
        <v>2987</v>
      </c>
      <c r="J252" s="13" t="s">
        <v>3882</v>
      </c>
      <c r="K252" s="13" t="s">
        <v>433</v>
      </c>
      <c r="L252" s="12" t="s">
        <v>177</v>
      </c>
      <c r="M252" s="12" t="n">
        <v>87</v>
      </c>
      <c r="N252" s="12" t="n">
        <v>405</v>
      </c>
      <c r="O252" s="13" t="s">
        <v>3031</v>
      </c>
      <c r="P252" s="12" t="s">
        <v>2989</v>
      </c>
      <c r="Q252" s="13" t="s">
        <v>2990</v>
      </c>
      <c r="R252" s="13" t="s">
        <v>2991</v>
      </c>
      <c r="S252" s="13"/>
      <c r="T252" s="13"/>
      <c r="U252" s="12"/>
      <c r="V252" s="13"/>
      <c r="W252" s="12"/>
      <c r="X252" s="13"/>
      <c r="Y252" s="12" t="s">
        <v>2888</v>
      </c>
      <c r="Z252" s="12" t="s">
        <v>1509</v>
      </c>
      <c r="AA252" s="13" t="s">
        <v>3883</v>
      </c>
      <c r="AB252" s="13" t="s">
        <v>3884</v>
      </c>
      <c r="AC252" s="12" t="s">
        <v>2995</v>
      </c>
    </row>
    <row r="253" customFormat="false" ht="30" hidden="false" customHeight="true" outlineLevel="0" collapsed="false">
      <c r="A253" s="10" t="s">
        <v>3885</v>
      </c>
      <c r="B253" s="10" t="s">
        <v>3886</v>
      </c>
      <c r="C253" s="10" t="s">
        <v>3697</v>
      </c>
      <c r="D253" s="10" t="s">
        <v>2984</v>
      </c>
      <c r="E253" s="10" t="s">
        <v>1835</v>
      </c>
      <c r="F253" s="10" t="s">
        <v>1836</v>
      </c>
      <c r="G253" s="11" t="s">
        <v>3022</v>
      </c>
      <c r="H253" s="10" t="s">
        <v>3018</v>
      </c>
      <c r="I253" s="10" t="s">
        <v>3093</v>
      </c>
      <c r="J253" s="11" t="s">
        <v>1280</v>
      </c>
      <c r="K253" s="11" t="s">
        <v>452</v>
      </c>
      <c r="L253" s="10" t="s">
        <v>191</v>
      </c>
      <c r="M253" s="10" t="n">
        <v>52</v>
      </c>
      <c r="N253" s="10" t="n">
        <v>550</v>
      </c>
      <c r="O253" s="11" t="s">
        <v>3024</v>
      </c>
      <c r="P253" s="10" t="s">
        <v>2989</v>
      </c>
      <c r="Q253" s="11" t="s">
        <v>3054</v>
      </c>
      <c r="R253" s="11" t="s">
        <v>3055</v>
      </c>
      <c r="S253" s="11"/>
      <c r="T253" s="11"/>
      <c r="U253" s="10"/>
      <c r="V253" s="11"/>
      <c r="W253" s="10"/>
      <c r="X253" s="11"/>
      <c r="Y253" s="10" t="s">
        <v>2888</v>
      </c>
      <c r="Z253" s="10" t="s">
        <v>1509</v>
      </c>
      <c r="AA253" s="11" t="s">
        <v>3887</v>
      </c>
      <c r="AB253" s="11"/>
      <c r="AC253" s="10" t="s">
        <v>2995</v>
      </c>
    </row>
    <row r="254" customFormat="false" ht="30" hidden="false" customHeight="true" outlineLevel="0" collapsed="false">
      <c r="A254" s="12" t="s">
        <v>3888</v>
      </c>
      <c r="B254" s="12" t="s">
        <v>3889</v>
      </c>
      <c r="C254" s="12" t="s">
        <v>3697</v>
      </c>
      <c r="D254" s="12" t="s">
        <v>2984</v>
      </c>
      <c r="E254" s="12" t="s">
        <v>1883</v>
      </c>
      <c r="F254" s="12" t="s">
        <v>1884</v>
      </c>
      <c r="G254" s="13" t="s">
        <v>3058</v>
      </c>
      <c r="H254" s="12" t="s">
        <v>3018</v>
      </c>
      <c r="I254" s="12" t="s">
        <v>3023</v>
      </c>
      <c r="J254" s="13" t="s">
        <v>3890</v>
      </c>
      <c r="K254" s="13" t="s">
        <v>452</v>
      </c>
      <c r="L254" s="12" t="s">
        <v>170</v>
      </c>
      <c r="M254" s="12" t="n">
        <v>84</v>
      </c>
      <c r="N254" s="12" t="n">
        <v>350</v>
      </c>
      <c r="O254" s="13" t="s">
        <v>2785</v>
      </c>
      <c r="P254" s="12" t="s">
        <v>3011</v>
      </c>
      <c r="Q254" s="13"/>
      <c r="R254" s="13" t="s">
        <v>2991</v>
      </c>
      <c r="S254" s="13"/>
      <c r="T254" s="13"/>
      <c r="U254" s="12"/>
      <c r="V254" s="13"/>
      <c r="W254" s="12"/>
      <c r="X254" s="13"/>
      <c r="Y254" s="12" t="s">
        <v>2884</v>
      </c>
      <c r="Z254" s="12" t="s">
        <v>2886</v>
      </c>
      <c r="AA254" s="13" t="s">
        <v>3891</v>
      </c>
      <c r="AB254" s="13"/>
      <c r="AC254" s="12" t="s">
        <v>2995</v>
      </c>
    </row>
    <row r="255" customFormat="false" ht="30" hidden="false" customHeight="true" outlineLevel="0" collapsed="false">
      <c r="A255" s="10" t="s">
        <v>3892</v>
      </c>
      <c r="B255" s="10" t="s">
        <v>3893</v>
      </c>
      <c r="C255" s="10" t="s">
        <v>3894</v>
      </c>
      <c r="D255" s="10" t="s">
        <v>2984</v>
      </c>
      <c r="E255" s="10" t="s">
        <v>1927</v>
      </c>
      <c r="F255" s="10" t="s">
        <v>1928</v>
      </c>
      <c r="G255" s="11" t="s">
        <v>3048</v>
      </c>
      <c r="H255" s="10" t="s">
        <v>3018</v>
      </c>
      <c r="I255" s="10" t="s">
        <v>3023</v>
      </c>
      <c r="J255" s="11" t="s">
        <v>3703</v>
      </c>
      <c r="K255" s="11" t="s">
        <v>452</v>
      </c>
      <c r="L255" s="10" t="s">
        <v>170</v>
      </c>
      <c r="M255" s="10" t="n">
        <v>84</v>
      </c>
      <c r="N255" s="10" t="n">
        <v>280</v>
      </c>
      <c r="O255" s="11" t="s">
        <v>2785</v>
      </c>
      <c r="P255" s="10" t="s">
        <v>3011</v>
      </c>
      <c r="Q255" s="11"/>
      <c r="R255" s="11" t="s">
        <v>2991</v>
      </c>
      <c r="S255" s="11"/>
      <c r="T255" s="11"/>
      <c r="U255" s="10"/>
      <c r="V255" s="11"/>
      <c r="W255" s="10" t="s">
        <v>3351</v>
      </c>
      <c r="X255" s="11"/>
      <c r="Y255" s="10" t="s">
        <v>2884</v>
      </c>
      <c r="Z255" s="10" t="s">
        <v>2886</v>
      </c>
      <c r="AA255" s="11" t="s">
        <v>3895</v>
      </c>
      <c r="AB255" s="11"/>
      <c r="AC255" s="10" t="s">
        <v>2995</v>
      </c>
    </row>
    <row r="256" customFormat="false" ht="30" hidden="false" customHeight="true" outlineLevel="0" collapsed="false">
      <c r="A256" s="12" t="s">
        <v>3896</v>
      </c>
      <c r="B256" s="12" t="s">
        <v>3897</v>
      </c>
      <c r="C256" s="12" t="s">
        <v>3894</v>
      </c>
      <c r="D256" s="12" t="s">
        <v>2984</v>
      </c>
      <c r="E256" s="12" t="s">
        <v>1929</v>
      </c>
      <c r="F256" s="12" t="s">
        <v>1930</v>
      </c>
      <c r="G256" s="13" t="s">
        <v>3017</v>
      </c>
      <c r="H256" s="12" t="s">
        <v>3049</v>
      </c>
      <c r="I256" s="12" t="s">
        <v>2987</v>
      </c>
      <c r="J256" s="13" t="s">
        <v>1168</v>
      </c>
      <c r="K256" s="13" t="s">
        <v>426</v>
      </c>
      <c r="L256" s="12" t="s">
        <v>191</v>
      </c>
      <c r="M256" s="12" t="n">
        <v>48</v>
      </c>
      <c r="N256" s="12" t="n">
        <v>235</v>
      </c>
      <c r="O256" s="13" t="s">
        <v>3000</v>
      </c>
      <c r="P256" s="12" t="s">
        <v>2989</v>
      </c>
      <c r="Q256" s="13"/>
      <c r="R256" s="13" t="s">
        <v>2991</v>
      </c>
      <c r="S256" s="13"/>
      <c r="T256" s="13"/>
      <c r="U256" s="12"/>
      <c r="V256" s="13"/>
      <c r="W256" s="12" t="s">
        <v>3351</v>
      </c>
      <c r="X256" s="13"/>
      <c r="Y256" s="12" t="s">
        <v>2888</v>
      </c>
      <c r="Z256" s="12" t="s">
        <v>1509</v>
      </c>
      <c r="AA256" s="13" t="s">
        <v>3614</v>
      </c>
      <c r="AB256" s="13"/>
      <c r="AC256" s="12" t="s">
        <v>2995</v>
      </c>
    </row>
    <row r="257" customFormat="false" ht="30" hidden="false" customHeight="true" outlineLevel="0" collapsed="false">
      <c r="A257" s="10" t="s">
        <v>3898</v>
      </c>
      <c r="B257" s="10" t="s">
        <v>3899</v>
      </c>
      <c r="C257" s="10" t="s">
        <v>3894</v>
      </c>
      <c r="D257" s="10" t="s">
        <v>2984</v>
      </c>
      <c r="E257" s="10" t="s">
        <v>1847</v>
      </c>
      <c r="F257" s="10" t="s">
        <v>1848</v>
      </c>
      <c r="G257" s="11" t="s">
        <v>3077</v>
      </c>
      <c r="H257" s="10" t="s">
        <v>3018</v>
      </c>
      <c r="I257" s="10" t="s">
        <v>3023</v>
      </c>
      <c r="J257" s="11" t="s">
        <v>1240</v>
      </c>
      <c r="K257" s="11" t="s">
        <v>452</v>
      </c>
      <c r="L257" s="10" t="s">
        <v>170</v>
      </c>
      <c r="M257" s="10" t="n">
        <v>58</v>
      </c>
      <c r="N257" s="10" t="n">
        <v>265</v>
      </c>
      <c r="O257" s="11" t="s">
        <v>2785</v>
      </c>
      <c r="P257" s="10" t="s">
        <v>3011</v>
      </c>
      <c r="Q257" s="11" t="s">
        <v>3035</v>
      </c>
      <c r="R257" s="11" t="s">
        <v>2991</v>
      </c>
      <c r="S257" s="11" t="s">
        <v>3036</v>
      </c>
      <c r="T257" s="11"/>
      <c r="U257" s="10"/>
      <c r="V257" s="11"/>
      <c r="W257" s="10"/>
      <c r="X257" s="11"/>
      <c r="Y257" s="10" t="s">
        <v>2888</v>
      </c>
      <c r="Z257" s="10" t="s">
        <v>1509</v>
      </c>
      <c r="AA257" s="11" t="s">
        <v>3900</v>
      </c>
      <c r="AB257" s="11"/>
      <c r="AC257" s="10" t="s">
        <v>2995</v>
      </c>
    </row>
    <row r="258" customFormat="false" ht="30" hidden="false" customHeight="true" outlineLevel="0" collapsed="false">
      <c r="A258" s="12" t="s">
        <v>3901</v>
      </c>
      <c r="B258" s="12" t="s">
        <v>3902</v>
      </c>
      <c r="C258" s="12" t="s">
        <v>3894</v>
      </c>
      <c r="D258" s="12" t="s">
        <v>2903</v>
      </c>
      <c r="E258" s="12" t="s">
        <v>2405</v>
      </c>
      <c r="F258" s="12" t="s">
        <v>2406</v>
      </c>
      <c r="G258" s="13" t="s">
        <v>3039</v>
      </c>
      <c r="H258" s="12" t="s">
        <v>3100</v>
      </c>
      <c r="I258" s="12" t="s">
        <v>2987</v>
      </c>
      <c r="J258" s="13" t="s">
        <v>3903</v>
      </c>
      <c r="K258" s="13" t="s">
        <v>414</v>
      </c>
      <c r="L258" s="12" t="s">
        <v>170</v>
      </c>
      <c r="M258" s="12" t="n">
        <v>87</v>
      </c>
      <c r="N258" s="12" t="n">
        <v>430</v>
      </c>
      <c r="O258" s="13" t="s">
        <v>2785</v>
      </c>
      <c r="P258" s="12" t="s">
        <v>3041</v>
      </c>
      <c r="Q258" s="13" t="s">
        <v>3237</v>
      </c>
      <c r="R258" s="13" t="s">
        <v>2991</v>
      </c>
      <c r="S258" s="13"/>
      <c r="T258" s="13" t="s">
        <v>3904</v>
      </c>
      <c r="U258" s="12"/>
      <c r="V258" s="13"/>
      <c r="W258" s="12" t="s">
        <v>3104</v>
      </c>
      <c r="X258" s="13"/>
      <c r="Y258" s="12" t="s">
        <v>2824</v>
      </c>
      <c r="Z258" s="12" t="s">
        <v>2892</v>
      </c>
      <c r="AA258" s="13" t="s">
        <v>3905</v>
      </c>
      <c r="AB258" s="13" t="s">
        <v>3906</v>
      </c>
      <c r="AC258" s="12" t="s">
        <v>3216</v>
      </c>
    </row>
    <row r="259" customFormat="false" ht="30" hidden="false" customHeight="true" outlineLevel="0" collapsed="false">
      <c r="A259" s="10" t="s">
        <v>3907</v>
      </c>
      <c r="B259" s="10" t="s">
        <v>3908</v>
      </c>
      <c r="C259" s="10" t="s">
        <v>3894</v>
      </c>
      <c r="D259" s="10" t="s">
        <v>2984</v>
      </c>
      <c r="E259" s="10" t="s">
        <v>1901</v>
      </c>
      <c r="F259" s="10" t="s">
        <v>1902</v>
      </c>
      <c r="G259" s="11" t="s">
        <v>3034</v>
      </c>
      <c r="H259" s="10" t="s">
        <v>2986</v>
      </c>
      <c r="I259" s="10" t="s">
        <v>3023</v>
      </c>
      <c r="J259" s="11" t="s">
        <v>1244</v>
      </c>
      <c r="K259" s="11" t="s">
        <v>433</v>
      </c>
      <c r="L259" s="10" t="s">
        <v>170</v>
      </c>
      <c r="M259" s="10" t="n">
        <v>60</v>
      </c>
      <c r="N259" s="10" t="n">
        <v>290</v>
      </c>
      <c r="O259" s="11" t="s">
        <v>2785</v>
      </c>
      <c r="P259" s="10" t="s">
        <v>3011</v>
      </c>
      <c r="Q259" s="11" t="s">
        <v>3035</v>
      </c>
      <c r="R259" s="11" t="s">
        <v>2991</v>
      </c>
      <c r="S259" s="11" t="s">
        <v>3036</v>
      </c>
      <c r="T259" s="11"/>
      <c r="U259" s="10"/>
      <c r="V259" s="11"/>
      <c r="W259" s="10"/>
      <c r="X259" s="11"/>
      <c r="Y259" s="10" t="s">
        <v>2888</v>
      </c>
      <c r="Z259" s="10" t="s">
        <v>1509</v>
      </c>
      <c r="AA259" s="11" t="s">
        <v>3909</v>
      </c>
      <c r="AB259" s="11"/>
      <c r="AC259" s="10" t="s">
        <v>2995</v>
      </c>
    </row>
    <row r="260" customFormat="false" ht="30" hidden="false" customHeight="true" outlineLevel="0" collapsed="false">
      <c r="A260" s="12" t="s">
        <v>3910</v>
      </c>
      <c r="B260" s="12" t="s">
        <v>3911</v>
      </c>
      <c r="C260" s="12" t="s">
        <v>3894</v>
      </c>
      <c r="D260" s="12" t="s">
        <v>2903</v>
      </c>
      <c r="E260" s="12" t="s">
        <v>2399</v>
      </c>
      <c r="F260" s="12" t="s">
        <v>2400</v>
      </c>
      <c r="G260" s="13" t="s">
        <v>3007</v>
      </c>
      <c r="H260" s="12" t="s">
        <v>2999</v>
      </c>
      <c r="I260" s="12" t="s">
        <v>2987</v>
      </c>
      <c r="J260" s="13" t="s">
        <v>3912</v>
      </c>
      <c r="K260" s="13" t="s">
        <v>426</v>
      </c>
      <c r="L260" s="12" t="s">
        <v>170</v>
      </c>
      <c r="M260" s="12" t="n">
        <v>85</v>
      </c>
      <c r="N260" s="12" t="n">
        <v>335</v>
      </c>
      <c r="O260" s="13" t="s">
        <v>2785</v>
      </c>
      <c r="P260" s="12" t="s">
        <v>3011</v>
      </c>
      <c r="Q260" s="13"/>
      <c r="R260" s="13" t="s">
        <v>2991</v>
      </c>
      <c r="S260" s="13"/>
      <c r="T260" s="13"/>
      <c r="U260" s="12"/>
      <c r="V260" s="13"/>
      <c r="W260" s="12"/>
      <c r="X260" s="13"/>
      <c r="Y260" s="12" t="s">
        <v>2884</v>
      </c>
      <c r="Z260" s="12" t="s">
        <v>2886</v>
      </c>
      <c r="AA260" s="13" t="s">
        <v>3913</v>
      </c>
      <c r="AB260" s="13"/>
      <c r="AC260" s="12" t="s">
        <v>3014</v>
      </c>
    </row>
    <row r="261" customFormat="false" ht="30" hidden="false" customHeight="true" outlineLevel="0" collapsed="false">
      <c r="A261" s="10" t="s">
        <v>3914</v>
      </c>
      <c r="B261" s="10" t="s">
        <v>3915</v>
      </c>
      <c r="C261" s="10" t="s">
        <v>3894</v>
      </c>
      <c r="D261" s="10" t="s">
        <v>2903</v>
      </c>
      <c r="E261" s="10" t="s">
        <v>2402</v>
      </c>
      <c r="F261" s="10" t="s">
        <v>2403</v>
      </c>
      <c r="G261" s="11" t="s">
        <v>3065</v>
      </c>
      <c r="H261" s="10" t="s">
        <v>3008</v>
      </c>
      <c r="I261" s="10" t="s">
        <v>3009</v>
      </c>
      <c r="J261" s="11" t="s">
        <v>3916</v>
      </c>
      <c r="K261" s="11" t="s">
        <v>438</v>
      </c>
      <c r="L261" s="10" t="s">
        <v>191</v>
      </c>
      <c r="M261" s="10" t="n">
        <v>47</v>
      </c>
      <c r="N261" s="10" t="n">
        <v>580</v>
      </c>
      <c r="O261" s="11" t="s">
        <v>3024</v>
      </c>
      <c r="P261" s="10" t="s">
        <v>2989</v>
      </c>
      <c r="Q261" s="11" t="s">
        <v>3917</v>
      </c>
      <c r="R261" s="11" t="s">
        <v>3055</v>
      </c>
      <c r="S261" s="11"/>
      <c r="T261" s="11"/>
      <c r="U261" s="10"/>
      <c r="V261" s="11"/>
      <c r="W261" s="10"/>
      <c r="X261" s="11"/>
      <c r="Y261" s="10" t="s">
        <v>2888</v>
      </c>
      <c r="Z261" s="10" t="s">
        <v>1509</v>
      </c>
      <c r="AA261" s="11" t="s">
        <v>3918</v>
      </c>
      <c r="AB261" s="11"/>
      <c r="AC261" s="10" t="s">
        <v>3014</v>
      </c>
    </row>
    <row r="262" customFormat="false" ht="30" hidden="false" customHeight="true" outlineLevel="0" collapsed="false">
      <c r="A262" s="12" t="s">
        <v>3919</v>
      </c>
      <c r="B262" s="12" t="s">
        <v>3920</v>
      </c>
      <c r="C262" s="12" t="s">
        <v>3894</v>
      </c>
      <c r="D262" s="12" t="s">
        <v>2984</v>
      </c>
      <c r="E262" s="12" t="s">
        <v>1806</v>
      </c>
      <c r="F262" s="12" t="s">
        <v>1807</v>
      </c>
      <c r="G262" s="13" t="s">
        <v>3092</v>
      </c>
      <c r="H262" s="12" t="s">
        <v>3018</v>
      </c>
      <c r="I262" s="12" t="s">
        <v>3093</v>
      </c>
      <c r="J262" s="13" t="s">
        <v>1280</v>
      </c>
      <c r="K262" s="13" t="s">
        <v>452</v>
      </c>
      <c r="L262" s="12" t="s">
        <v>170</v>
      </c>
      <c r="M262" s="12" t="n">
        <v>82</v>
      </c>
      <c r="N262" s="12" t="n">
        <v>310</v>
      </c>
      <c r="O262" s="13" t="s">
        <v>2785</v>
      </c>
      <c r="P262" s="12" t="s">
        <v>3011</v>
      </c>
      <c r="Q262" s="13"/>
      <c r="R262" s="13" t="s">
        <v>2991</v>
      </c>
      <c r="S262" s="13"/>
      <c r="T262" s="13"/>
      <c r="U262" s="12"/>
      <c r="V262" s="13"/>
      <c r="W262" s="12"/>
      <c r="X262" s="13"/>
      <c r="Y262" s="12" t="s">
        <v>2884</v>
      </c>
      <c r="Z262" s="12" t="s">
        <v>2886</v>
      </c>
      <c r="AA262" s="13" t="s">
        <v>3921</v>
      </c>
      <c r="AB262" s="13"/>
      <c r="AC262" s="12" t="s">
        <v>2995</v>
      </c>
    </row>
    <row r="263" customFormat="false" ht="30" hidden="false" customHeight="true" outlineLevel="0" collapsed="false">
      <c r="A263" s="10" t="s">
        <v>3922</v>
      </c>
      <c r="B263" s="10" t="s">
        <v>3923</v>
      </c>
      <c r="C263" s="10" t="s">
        <v>3894</v>
      </c>
      <c r="D263" s="10" t="s">
        <v>2984</v>
      </c>
      <c r="E263" s="10" t="s">
        <v>1841</v>
      </c>
      <c r="F263" s="10" t="s">
        <v>1842</v>
      </c>
      <c r="G263" s="11" t="s">
        <v>3062</v>
      </c>
      <c r="H263" s="10" t="s">
        <v>2986</v>
      </c>
      <c r="I263" s="10" t="s">
        <v>2987</v>
      </c>
      <c r="J263" s="11" t="s">
        <v>1216</v>
      </c>
      <c r="K263" s="11" t="s">
        <v>452</v>
      </c>
      <c r="L263" s="10" t="s">
        <v>170</v>
      </c>
      <c r="M263" s="10" t="n">
        <v>62</v>
      </c>
      <c r="N263" s="10" t="n">
        <v>275</v>
      </c>
      <c r="O263" s="11" t="s">
        <v>2785</v>
      </c>
      <c r="P263" s="10" t="s">
        <v>3011</v>
      </c>
      <c r="Q263" s="11" t="s">
        <v>3035</v>
      </c>
      <c r="R263" s="11" t="s">
        <v>2991</v>
      </c>
      <c r="S263" s="11" t="s">
        <v>3036</v>
      </c>
      <c r="T263" s="11"/>
      <c r="U263" s="10"/>
      <c r="V263" s="11"/>
      <c r="W263" s="10" t="s">
        <v>3044</v>
      </c>
      <c r="X263" s="11"/>
      <c r="Y263" s="10" t="s">
        <v>2888</v>
      </c>
      <c r="Z263" s="10" t="s">
        <v>1509</v>
      </c>
      <c r="AA263" s="11" t="s">
        <v>3924</v>
      </c>
      <c r="AB263" s="11"/>
      <c r="AC263" s="10" t="s">
        <v>2995</v>
      </c>
    </row>
    <row r="264" customFormat="false" ht="30" hidden="false" customHeight="true" outlineLevel="0" collapsed="false">
      <c r="A264" s="12" t="s">
        <v>3925</v>
      </c>
      <c r="B264" s="12" t="s">
        <v>3926</v>
      </c>
      <c r="C264" s="12" t="s">
        <v>3894</v>
      </c>
      <c r="D264" s="12" t="s">
        <v>2984</v>
      </c>
      <c r="E264" s="12" t="s">
        <v>1989</v>
      </c>
      <c r="F264" s="12" t="s">
        <v>1990</v>
      </c>
      <c r="G264" s="13" t="s">
        <v>3077</v>
      </c>
      <c r="H264" s="12" t="s">
        <v>3072</v>
      </c>
      <c r="I264" s="12" t="s">
        <v>3073</v>
      </c>
      <c r="J264" s="13" t="s">
        <v>1303</v>
      </c>
      <c r="K264" s="13" t="s">
        <v>452</v>
      </c>
      <c r="L264" s="12" t="s">
        <v>170</v>
      </c>
      <c r="M264" s="12" t="n">
        <v>57</v>
      </c>
      <c r="N264" s="12" t="n">
        <v>305</v>
      </c>
      <c r="O264" s="13" t="s">
        <v>2785</v>
      </c>
      <c r="P264" s="12" t="s">
        <v>3011</v>
      </c>
      <c r="Q264" s="13" t="s">
        <v>3035</v>
      </c>
      <c r="R264" s="13" t="s">
        <v>2991</v>
      </c>
      <c r="S264" s="13" t="s">
        <v>3036</v>
      </c>
      <c r="T264" s="13"/>
      <c r="U264" s="12"/>
      <c r="V264" s="13"/>
      <c r="W264" s="12"/>
      <c r="X264" s="13"/>
      <c r="Y264" s="12" t="s">
        <v>2888</v>
      </c>
      <c r="Z264" s="12" t="s">
        <v>1509</v>
      </c>
      <c r="AA264" s="13" t="s">
        <v>3927</v>
      </c>
      <c r="AB264" s="13"/>
      <c r="AC264" s="12" t="s">
        <v>2995</v>
      </c>
    </row>
    <row r="265" customFormat="false" ht="30" hidden="false" customHeight="true" outlineLevel="0" collapsed="false">
      <c r="A265" s="10" t="s">
        <v>3928</v>
      </c>
      <c r="B265" s="10" t="s">
        <v>3929</v>
      </c>
      <c r="C265" s="10" t="s">
        <v>3894</v>
      </c>
      <c r="D265" s="10" t="s">
        <v>2984</v>
      </c>
      <c r="E265" s="10" t="s">
        <v>1975</v>
      </c>
      <c r="F265" s="10" t="s">
        <v>1976</v>
      </c>
      <c r="G265" s="11" t="s">
        <v>3084</v>
      </c>
      <c r="H265" s="10" t="s">
        <v>2999</v>
      </c>
      <c r="I265" s="10" t="s">
        <v>2987</v>
      </c>
      <c r="J265" s="11" t="s">
        <v>1068</v>
      </c>
      <c r="K265" s="11" t="s">
        <v>452</v>
      </c>
      <c r="L265" s="10" t="s">
        <v>191</v>
      </c>
      <c r="M265" s="10" t="n">
        <v>46</v>
      </c>
      <c r="N265" s="10" t="n">
        <v>255</v>
      </c>
      <c r="O265" s="11" t="s">
        <v>3000</v>
      </c>
      <c r="P265" s="10" t="s">
        <v>2989</v>
      </c>
      <c r="Q265" s="11" t="s">
        <v>3067</v>
      </c>
      <c r="R265" s="11" t="s">
        <v>2991</v>
      </c>
      <c r="S265" s="11"/>
      <c r="T265" s="11"/>
      <c r="U265" s="10"/>
      <c r="V265" s="11"/>
      <c r="W265" s="10"/>
      <c r="X265" s="11"/>
      <c r="Y265" s="10" t="s">
        <v>2888</v>
      </c>
      <c r="Z265" s="10" t="s">
        <v>1509</v>
      </c>
      <c r="AA265" s="11" t="s">
        <v>3930</v>
      </c>
      <c r="AB265" s="11"/>
      <c r="AC265" s="10" t="s">
        <v>2995</v>
      </c>
    </row>
    <row r="266" customFormat="false" ht="30" hidden="false" customHeight="true" outlineLevel="0" collapsed="false">
      <c r="A266" s="12" t="s">
        <v>3931</v>
      </c>
      <c r="B266" s="12" t="s">
        <v>3932</v>
      </c>
      <c r="C266" s="12" t="s">
        <v>3894</v>
      </c>
      <c r="D266" s="12" t="s">
        <v>2984</v>
      </c>
      <c r="E266" s="12" t="s">
        <v>1815</v>
      </c>
      <c r="F266" s="12" t="s">
        <v>1816</v>
      </c>
      <c r="G266" s="13" t="s">
        <v>3029</v>
      </c>
      <c r="H266" s="12" t="s">
        <v>2986</v>
      </c>
      <c r="I266" s="12" t="s">
        <v>2987</v>
      </c>
      <c r="J266" s="13" t="s">
        <v>1201</v>
      </c>
      <c r="K266" s="13" t="s">
        <v>433</v>
      </c>
      <c r="L266" s="12" t="s">
        <v>170</v>
      </c>
      <c r="M266" s="12" t="n">
        <v>83</v>
      </c>
      <c r="N266" s="12" t="n">
        <v>365</v>
      </c>
      <c r="O266" s="13" t="s">
        <v>3031</v>
      </c>
      <c r="P266" s="12" t="s">
        <v>3011</v>
      </c>
      <c r="Q266" s="13"/>
      <c r="R266" s="13" t="s">
        <v>2991</v>
      </c>
      <c r="S266" s="13"/>
      <c r="T266" s="13"/>
      <c r="U266" s="12"/>
      <c r="V266" s="13"/>
      <c r="W266" s="12"/>
      <c r="X266" s="13"/>
      <c r="Y266" s="12" t="s">
        <v>2894</v>
      </c>
      <c r="Z266" s="12" t="s">
        <v>1554</v>
      </c>
      <c r="AA266" s="13" t="s">
        <v>3933</v>
      </c>
      <c r="AB266" s="13"/>
      <c r="AC266" s="12" t="s">
        <v>2995</v>
      </c>
    </row>
    <row r="267" customFormat="false" ht="30" hidden="false" customHeight="true" outlineLevel="0" collapsed="false">
      <c r="A267" s="10" t="s">
        <v>3934</v>
      </c>
      <c r="B267" s="10" t="s">
        <v>3935</v>
      </c>
      <c r="C267" s="10" t="s">
        <v>3894</v>
      </c>
      <c r="D267" s="10" t="s">
        <v>2984</v>
      </c>
      <c r="E267" s="10" t="s">
        <v>1925</v>
      </c>
      <c r="F267" s="10" t="s">
        <v>1926</v>
      </c>
      <c r="G267" s="11" t="s">
        <v>3053</v>
      </c>
      <c r="H267" s="10" t="s">
        <v>2986</v>
      </c>
      <c r="I267" s="10" t="s">
        <v>2987</v>
      </c>
      <c r="J267" s="11" t="s">
        <v>1173</v>
      </c>
      <c r="K267" s="11" t="s">
        <v>452</v>
      </c>
      <c r="L267" s="10" t="s">
        <v>191</v>
      </c>
      <c r="M267" s="10" t="n">
        <v>44</v>
      </c>
      <c r="N267" s="10" t="n">
        <v>260</v>
      </c>
      <c r="O267" s="11" t="s">
        <v>3000</v>
      </c>
      <c r="P267" s="10" t="s">
        <v>2989</v>
      </c>
      <c r="Q267" s="11" t="s">
        <v>3054</v>
      </c>
      <c r="R267" s="11" t="s">
        <v>3055</v>
      </c>
      <c r="S267" s="11"/>
      <c r="T267" s="11"/>
      <c r="U267" s="10"/>
      <c r="V267" s="11"/>
      <c r="W267" s="10"/>
      <c r="X267" s="11"/>
      <c r="Y267" s="10" t="s">
        <v>2888</v>
      </c>
      <c r="Z267" s="10" t="s">
        <v>1509</v>
      </c>
      <c r="AA267" s="11" t="s">
        <v>3936</v>
      </c>
      <c r="AB267" s="11"/>
      <c r="AC267" s="10" t="s">
        <v>2995</v>
      </c>
    </row>
    <row r="268" customFormat="false" ht="30" hidden="false" customHeight="true" outlineLevel="0" collapsed="false">
      <c r="A268" s="12" t="s">
        <v>3937</v>
      </c>
      <c r="B268" s="12" t="s">
        <v>3938</v>
      </c>
      <c r="C268" s="12" t="s">
        <v>3894</v>
      </c>
      <c r="D268" s="12" t="s">
        <v>2984</v>
      </c>
      <c r="E268" s="12" t="s">
        <v>1955</v>
      </c>
      <c r="F268" s="12" t="s">
        <v>1956</v>
      </c>
      <c r="G268" s="13" t="s">
        <v>2998</v>
      </c>
      <c r="H268" s="12" t="s">
        <v>3049</v>
      </c>
      <c r="I268" s="12" t="s">
        <v>3093</v>
      </c>
      <c r="J268" s="13" t="s">
        <v>1267</v>
      </c>
      <c r="K268" s="13" t="s">
        <v>452</v>
      </c>
      <c r="L268" s="12" t="s">
        <v>191</v>
      </c>
      <c r="M268" s="12" t="n">
        <v>45</v>
      </c>
      <c r="N268" s="12" t="n">
        <v>230</v>
      </c>
      <c r="O268" s="13" t="s">
        <v>3000</v>
      </c>
      <c r="P268" s="12" t="s">
        <v>2989</v>
      </c>
      <c r="Q268" s="13" t="s">
        <v>3939</v>
      </c>
      <c r="R268" s="13" t="s">
        <v>2991</v>
      </c>
      <c r="S268" s="13" t="s">
        <v>3002</v>
      </c>
      <c r="T268" s="13"/>
      <c r="U268" s="12"/>
      <c r="V268" s="13"/>
      <c r="W268" s="12"/>
      <c r="X268" s="13"/>
      <c r="Y268" s="12" t="s">
        <v>2888</v>
      </c>
      <c r="Z268" s="12" t="s">
        <v>1509</v>
      </c>
      <c r="AA268" s="13" t="s">
        <v>3940</v>
      </c>
      <c r="AB268" s="13"/>
      <c r="AC268" s="12" t="s">
        <v>2995</v>
      </c>
    </row>
    <row r="269" customFormat="false" ht="30" hidden="false" customHeight="true" outlineLevel="0" collapsed="false">
      <c r="A269" s="10" t="s">
        <v>3941</v>
      </c>
      <c r="B269" s="10" t="s">
        <v>3942</v>
      </c>
      <c r="C269" s="10" t="s">
        <v>3894</v>
      </c>
      <c r="D269" s="10" t="s">
        <v>2903</v>
      </c>
      <c r="E269" s="10" t="s">
        <v>2396</v>
      </c>
      <c r="F269" s="10" t="s">
        <v>2397</v>
      </c>
      <c r="G269" s="11" t="s">
        <v>3088</v>
      </c>
      <c r="H269" s="10" t="s">
        <v>3008</v>
      </c>
      <c r="I269" s="10" t="s">
        <v>3009</v>
      </c>
      <c r="J269" s="11" t="s">
        <v>3943</v>
      </c>
      <c r="K269" s="11" t="s">
        <v>438</v>
      </c>
      <c r="L269" s="10" t="s">
        <v>170</v>
      </c>
      <c r="M269" s="10" t="n">
        <v>84</v>
      </c>
      <c r="N269" s="10" t="n">
        <v>380</v>
      </c>
      <c r="O269" s="11" t="s">
        <v>3031</v>
      </c>
      <c r="P269" s="10" t="s">
        <v>3011</v>
      </c>
      <c r="Q269" s="11"/>
      <c r="R269" s="11" t="s">
        <v>2991</v>
      </c>
      <c r="S269" s="11"/>
      <c r="T269" s="11"/>
      <c r="U269" s="10"/>
      <c r="V269" s="11" t="s">
        <v>3944</v>
      </c>
      <c r="W269" s="10"/>
      <c r="X269" s="11"/>
      <c r="Y269" s="10" t="s">
        <v>2900</v>
      </c>
      <c r="Z269" s="10" t="s">
        <v>1509</v>
      </c>
      <c r="AA269" s="11" t="s">
        <v>3945</v>
      </c>
      <c r="AB269" s="11" t="s">
        <v>3946</v>
      </c>
      <c r="AC269" s="10" t="s">
        <v>3014</v>
      </c>
    </row>
    <row r="270" customFormat="false" ht="30" hidden="false" customHeight="true" outlineLevel="0" collapsed="false">
      <c r="A270" s="12" t="s">
        <v>3947</v>
      </c>
      <c r="B270" s="12" t="s">
        <v>3948</v>
      </c>
      <c r="C270" s="12" t="s">
        <v>3894</v>
      </c>
      <c r="D270" s="12" t="s">
        <v>2903</v>
      </c>
      <c r="E270" s="12" t="s">
        <v>2399</v>
      </c>
      <c r="F270" s="12" t="s">
        <v>2400</v>
      </c>
      <c r="G270" s="13" t="s">
        <v>3080</v>
      </c>
      <c r="H270" s="12" t="s">
        <v>2999</v>
      </c>
      <c r="I270" s="12" t="s">
        <v>2987</v>
      </c>
      <c r="J270" s="13" t="s">
        <v>3949</v>
      </c>
      <c r="K270" s="13" t="s">
        <v>423</v>
      </c>
      <c r="L270" s="12" t="s">
        <v>177</v>
      </c>
      <c r="M270" s="12" t="n">
        <v>80</v>
      </c>
      <c r="N270" s="12" t="n">
        <v>405</v>
      </c>
      <c r="O270" s="13" t="s">
        <v>3031</v>
      </c>
      <c r="P270" s="12" t="s">
        <v>3011</v>
      </c>
      <c r="Q270" s="13"/>
      <c r="R270" s="13" t="s">
        <v>2991</v>
      </c>
      <c r="S270" s="13"/>
      <c r="T270" s="13"/>
      <c r="U270" s="12"/>
      <c r="V270" s="13"/>
      <c r="W270" s="12" t="s">
        <v>3351</v>
      </c>
      <c r="X270" s="13"/>
      <c r="Y270" s="12" t="s">
        <v>2884</v>
      </c>
      <c r="Z270" s="12" t="s">
        <v>2886</v>
      </c>
      <c r="AA270" s="13" t="s">
        <v>3950</v>
      </c>
      <c r="AB270" s="13"/>
      <c r="AC270" s="12" t="s">
        <v>2995</v>
      </c>
    </row>
    <row r="271" customFormat="false" ht="30" hidden="false" customHeight="true" outlineLevel="0" collapsed="false">
      <c r="A271" s="10" t="s">
        <v>3951</v>
      </c>
      <c r="B271" s="10" t="s">
        <v>3952</v>
      </c>
      <c r="C271" s="10" t="s">
        <v>3894</v>
      </c>
      <c r="D271" s="10" t="s">
        <v>2903</v>
      </c>
      <c r="E271" s="10" t="s">
        <v>2435</v>
      </c>
      <c r="F271" s="10" t="s">
        <v>2436</v>
      </c>
      <c r="G271" s="11" t="s">
        <v>2998</v>
      </c>
      <c r="H271" s="10" t="s">
        <v>3072</v>
      </c>
      <c r="I271" s="10" t="s">
        <v>3073</v>
      </c>
      <c r="J271" s="11" t="s">
        <v>1052</v>
      </c>
      <c r="K271" s="11" t="s">
        <v>423</v>
      </c>
      <c r="L271" s="10" t="s">
        <v>191</v>
      </c>
      <c r="M271" s="10" t="n">
        <v>43</v>
      </c>
      <c r="N271" s="10" t="n">
        <v>245</v>
      </c>
      <c r="O271" s="11" t="s">
        <v>3000</v>
      </c>
      <c r="P271" s="10" t="s">
        <v>2989</v>
      </c>
      <c r="Q271" s="11" t="s">
        <v>3124</v>
      </c>
      <c r="R271" s="11" t="s">
        <v>2991</v>
      </c>
      <c r="S271" s="11" t="s">
        <v>3002</v>
      </c>
      <c r="T271" s="11"/>
      <c r="U271" s="10"/>
      <c r="V271" s="11"/>
      <c r="W271" s="10"/>
      <c r="X271" s="11"/>
      <c r="Y271" s="10" t="s">
        <v>2888</v>
      </c>
      <c r="Z271" s="10" t="s">
        <v>1509</v>
      </c>
      <c r="AA271" s="11" t="s">
        <v>3953</v>
      </c>
      <c r="AB271" s="11"/>
      <c r="AC271" s="10" t="s">
        <v>3014</v>
      </c>
    </row>
    <row r="272" customFormat="false" ht="30" hidden="false" customHeight="true" outlineLevel="0" collapsed="false">
      <c r="A272" s="12" t="s">
        <v>3954</v>
      </c>
      <c r="B272" s="12" t="s">
        <v>3955</v>
      </c>
      <c r="C272" s="12" t="s">
        <v>3894</v>
      </c>
      <c r="D272" s="12" t="s">
        <v>2984</v>
      </c>
      <c r="E272" s="12" t="s">
        <v>1979</v>
      </c>
      <c r="F272" s="12" t="s">
        <v>1980</v>
      </c>
      <c r="G272" s="13" t="s">
        <v>3058</v>
      </c>
      <c r="H272" s="12" t="s">
        <v>2999</v>
      </c>
      <c r="I272" s="12" t="s">
        <v>2987</v>
      </c>
      <c r="J272" s="13" t="s">
        <v>3163</v>
      </c>
      <c r="K272" s="13" t="s">
        <v>452</v>
      </c>
      <c r="L272" s="12" t="s">
        <v>177</v>
      </c>
      <c r="M272" s="12" t="n">
        <v>81</v>
      </c>
      <c r="N272" s="12" t="n">
        <v>390</v>
      </c>
      <c r="O272" s="13" t="s">
        <v>3031</v>
      </c>
      <c r="P272" s="12" t="s">
        <v>2989</v>
      </c>
      <c r="Q272" s="13" t="s">
        <v>3067</v>
      </c>
      <c r="R272" s="13" t="s">
        <v>2991</v>
      </c>
      <c r="S272" s="13"/>
      <c r="T272" s="13"/>
      <c r="U272" s="12"/>
      <c r="V272" s="13"/>
      <c r="W272" s="12"/>
      <c r="X272" s="13"/>
      <c r="Y272" s="12" t="s">
        <v>2903</v>
      </c>
      <c r="Z272" s="12" t="s">
        <v>2904</v>
      </c>
      <c r="AA272" s="13" t="s">
        <v>3956</v>
      </c>
      <c r="AB272" s="13"/>
      <c r="AC272" s="12" t="s">
        <v>2995</v>
      </c>
    </row>
    <row r="273" customFormat="false" ht="30" hidden="false" customHeight="true" outlineLevel="0" collapsed="false">
      <c r="A273" s="10" t="s">
        <v>3957</v>
      </c>
      <c r="B273" s="10" t="s">
        <v>3958</v>
      </c>
      <c r="C273" s="10" t="s">
        <v>3894</v>
      </c>
      <c r="D273" s="10" t="s">
        <v>2984</v>
      </c>
      <c r="E273" s="10" t="s">
        <v>2050</v>
      </c>
      <c r="F273" s="10" t="s">
        <v>2051</v>
      </c>
      <c r="G273" s="11" t="s">
        <v>3034</v>
      </c>
      <c r="H273" s="10" t="s">
        <v>3072</v>
      </c>
      <c r="I273" s="10" t="s">
        <v>3073</v>
      </c>
      <c r="J273" s="11" t="s">
        <v>1299</v>
      </c>
      <c r="K273" s="11" t="s">
        <v>452</v>
      </c>
      <c r="L273" s="10" t="s">
        <v>170</v>
      </c>
      <c r="M273" s="10" t="n">
        <v>59</v>
      </c>
      <c r="N273" s="10" t="n">
        <v>285</v>
      </c>
      <c r="O273" s="11" t="s">
        <v>2785</v>
      </c>
      <c r="P273" s="10" t="s">
        <v>3011</v>
      </c>
      <c r="Q273" s="11" t="s">
        <v>3035</v>
      </c>
      <c r="R273" s="11" t="s">
        <v>2991</v>
      </c>
      <c r="S273" s="11" t="s">
        <v>3036</v>
      </c>
      <c r="T273" s="11"/>
      <c r="U273" s="10"/>
      <c r="V273" s="11"/>
      <c r="W273" s="10"/>
      <c r="X273" s="11"/>
      <c r="Y273" s="10" t="s">
        <v>2888</v>
      </c>
      <c r="Z273" s="10" t="s">
        <v>1509</v>
      </c>
      <c r="AA273" s="11" t="s">
        <v>3959</v>
      </c>
      <c r="AB273" s="11"/>
      <c r="AC273" s="10" t="s">
        <v>2995</v>
      </c>
    </row>
    <row r="274" customFormat="false" ht="30" hidden="false" customHeight="true" outlineLevel="0" collapsed="false">
      <c r="A274" s="12" t="s">
        <v>3960</v>
      </c>
      <c r="B274" s="12" t="s">
        <v>3961</v>
      </c>
      <c r="C274" s="12" t="s">
        <v>3894</v>
      </c>
      <c r="D274" s="12" t="s">
        <v>2903</v>
      </c>
      <c r="E274" s="12" t="s">
        <v>2396</v>
      </c>
      <c r="F274" s="12" t="s">
        <v>2397</v>
      </c>
      <c r="G274" s="13" t="s">
        <v>3017</v>
      </c>
      <c r="H274" s="12" t="s">
        <v>3018</v>
      </c>
      <c r="I274" s="12" t="s">
        <v>2987</v>
      </c>
      <c r="J274" s="13" t="s">
        <v>1231</v>
      </c>
      <c r="K274" s="13" t="s">
        <v>452</v>
      </c>
      <c r="L274" s="12" t="s">
        <v>191</v>
      </c>
      <c r="M274" s="12" t="n">
        <v>49</v>
      </c>
      <c r="N274" s="12" t="n">
        <v>250</v>
      </c>
      <c r="O274" s="13" t="s">
        <v>3000</v>
      </c>
      <c r="P274" s="12" t="s">
        <v>2989</v>
      </c>
      <c r="Q274" s="13" t="s">
        <v>3025</v>
      </c>
      <c r="R274" s="13" t="s">
        <v>2991</v>
      </c>
      <c r="S274" s="13"/>
      <c r="T274" s="13" t="s">
        <v>3962</v>
      </c>
      <c r="U274" s="12"/>
      <c r="V274" s="13"/>
      <c r="W274" s="12"/>
      <c r="X274" s="13"/>
      <c r="Y274" s="12" t="s">
        <v>2888</v>
      </c>
      <c r="Z274" s="12" t="s">
        <v>1509</v>
      </c>
      <c r="AA274" s="13" t="s">
        <v>3963</v>
      </c>
      <c r="AB274" s="13"/>
      <c r="AC274" s="12" t="s">
        <v>3014</v>
      </c>
    </row>
    <row r="275" customFormat="false" ht="30" hidden="false" customHeight="true" outlineLevel="0" collapsed="false">
      <c r="A275" s="10" t="s">
        <v>3964</v>
      </c>
      <c r="B275" s="10" t="s">
        <v>3965</v>
      </c>
      <c r="C275" s="10" t="s">
        <v>3894</v>
      </c>
      <c r="D275" s="10" t="s">
        <v>2903</v>
      </c>
      <c r="E275" s="10" t="s">
        <v>2390</v>
      </c>
      <c r="F275" s="10" t="s">
        <v>2391</v>
      </c>
      <c r="G275" s="11" t="s">
        <v>3071</v>
      </c>
      <c r="H275" s="10" t="s">
        <v>2999</v>
      </c>
      <c r="I275" s="10" t="s">
        <v>2987</v>
      </c>
      <c r="J275" s="11" t="s">
        <v>1017</v>
      </c>
      <c r="K275" s="11" t="s">
        <v>423</v>
      </c>
      <c r="L275" s="10" t="s">
        <v>170</v>
      </c>
      <c r="M275" s="10" t="n">
        <v>84</v>
      </c>
      <c r="N275" s="10" t="n">
        <v>330</v>
      </c>
      <c r="O275" s="11" t="s">
        <v>2785</v>
      </c>
      <c r="P275" s="10" t="s">
        <v>3011</v>
      </c>
      <c r="Q275" s="11"/>
      <c r="R275" s="11" t="s">
        <v>2991</v>
      </c>
      <c r="S275" s="11"/>
      <c r="T275" s="11"/>
      <c r="U275" s="10"/>
      <c r="V275" s="11"/>
      <c r="W275" s="10"/>
      <c r="X275" s="11"/>
      <c r="Y275" s="10" t="s">
        <v>2884</v>
      </c>
      <c r="Z275" s="10" t="s">
        <v>2886</v>
      </c>
      <c r="AA275" s="11" t="s">
        <v>3966</v>
      </c>
      <c r="AB275" s="11"/>
      <c r="AC275" s="10" t="s">
        <v>2995</v>
      </c>
    </row>
    <row r="276" customFormat="false" ht="30" hidden="false" customHeight="true" outlineLevel="0" collapsed="false">
      <c r="A276" s="12" t="s">
        <v>3967</v>
      </c>
      <c r="B276" s="12" t="s">
        <v>3968</v>
      </c>
      <c r="C276" s="12" t="s">
        <v>3894</v>
      </c>
      <c r="D276" s="12" t="s">
        <v>2984</v>
      </c>
      <c r="E276" s="12" t="s">
        <v>1813</v>
      </c>
      <c r="F276" s="12" t="s">
        <v>1814</v>
      </c>
      <c r="G276" s="13" t="s">
        <v>2985</v>
      </c>
      <c r="H276" s="12" t="s">
        <v>2986</v>
      </c>
      <c r="I276" s="12" t="s">
        <v>3023</v>
      </c>
      <c r="J276" s="13" t="s">
        <v>1256</v>
      </c>
      <c r="K276" s="13" t="s">
        <v>433</v>
      </c>
      <c r="L276" s="12" t="s">
        <v>184</v>
      </c>
      <c r="M276" s="12" t="n">
        <v>88</v>
      </c>
      <c r="N276" s="12" t="n">
        <v>450</v>
      </c>
      <c r="O276" s="13" t="s">
        <v>2792</v>
      </c>
      <c r="P276" s="12" t="s">
        <v>3177</v>
      </c>
      <c r="Q276" s="13" t="s">
        <v>2990</v>
      </c>
      <c r="R276" s="13" t="s">
        <v>3201</v>
      </c>
      <c r="S276" s="13"/>
      <c r="T276" s="13"/>
      <c r="U276" s="12"/>
      <c r="V276" s="13"/>
      <c r="W276" s="12" t="s">
        <v>3044</v>
      </c>
      <c r="X276" s="13"/>
      <c r="Y276" s="12" t="s">
        <v>2897</v>
      </c>
      <c r="Z276" s="12" t="s">
        <v>2898</v>
      </c>
      <c r="AA276" s="13" t="s">
        <v>3969</v>
      </c>
      <c r="AB276" s="13"/>
      <c r="AC276" s="12" t="s">
        <v>2995</v>
      </c>
    </row>
    <row r="277" customFormat="false" ht="30" hidden="false" customHeight="true" outlineLevel="0" collapsed="false">
      <c r="A277" s="10" t="s">
        <v>3970</v>
      </c>
      <c r="B277" s="10" t="s">
        <v>3971</v>
      </c>
      <c r="C277" s="10" t="s">
        <v>3894</v>
      </c>
      <c r="D277" s="10" t="s">
        <v>2984</v>
      </c>
      <c r="E277" s="10" t="s">
        <v>1933</v>
      </c>
      <c r="F277" s="10" t="s">
        <v>1934</v>
      </c>
      <c r="G277" s="11" t="s">
        <v>3092</v>
      </c>
      <c r="H277" s="10" t="s">
        <v>3018</v>
      </c>
      <c r="I277" s="10" t="s">
        <v>3023</v>
      </c>
      <c r="J277" s="11" t="s">
        <v>1253</v>
      </c>
      <c r="K277" s="11" t="s">
        <v>414</v>
      </c>
      <c r="L277" s="10" t="s">
        <v>170</v>
      </c>
      <c r="M277" s="10" t="n">
        <v>82</v>
      </c>
      <c r="N277" s="10" t="n">
        <v>350</v>
      </c>
      <c r="O277" s="11" t="s">
        <v>2785</v>
      </c>
      <c r="P277" s="10" t="s">
        <v>3041</v>
      </c>
      <c r="Q277" s="11" t="s">
        <v>3237</v>
      </c>
      <c r="R277" s="11" t="s">
        <v>2991</v>
      </c>
      <c r="S277" s="11"/>
      <c r="T277" s="11"/>
      <c r="U277" s="10"/>
      <c r="V277" s="11"/>
      <c r="W277" s="10" t="s">
        <v>3104</v>
      </c>
      <c r="X277" s="11"/>
      <c r="Y277" s="10" t="s">
        <v>2824</v>
      </c>
      <c r="Z277" s="10" t="s">
        <v>2892</v>
      </c>
      <c r="AA277" s="11" t="s">
        <v>3972</v>
      </c>
      <c r="AB277" s="11"/>
      <c r="AC277" s="10" t="s">
        <v>2995</v>
      </c>
    </row>
    <row r="278" customFormat="false" ht="30" hidden="false" customHeight="true" outlineLevel="0" collapsed="false">
      <c r="A278" s="12" t="s">
        <v>3973</v>
      </c>
      <c r="B278" s="12" t="s">
        <v>3974</v>
      </c>
      <c r="C278" s="12" t="s">
        <v>3894</v>
      </c>
      <c r="D278" s="12" t="s">
        <v>2903</v>
      </c>
      <c r="E278" s="12" t="s">
        <v>2431</v>
      </c>
      <c r="F278" s="12" t="s">
        <v>2432</v>
      </c>
      <c r="G278" s="13" t="s">
        <v>3029</v>
      </c>
      <c r="H278" s="12" t="s">
        <v>3072</v>
      </c>
      <c r="I278" s="12" t="s">
        <v>3073</v>
      </c>
      <c r="J278" s="13" t="s">
        <v>3975</v>
      </c>
      <c r="K278" s="13" t="s">
        <v>423</v>
      </c>
      <c r="L278" s="12" t="s">
        <v>177</v>
      </c>
      <c r="M278" s="12" t="n">
        <v>80</v>
      </c>
      <c r="N278" s="12" t="n">
        <v>375</v>
      </c>
      <c r="O278" s="13" t="s">
        <v>3031</v>
      </c>
      <c r="P278" s="12" t="s">
        <v>3011</v>
      </c>
      <c r="Q278" s="13"/>
      <c r="R278" s="13" t="s">
        <v>2991</v>
      </c>
      <c r="S278" s="13"/>
      <c r="T278" s="13"/>
      <c r="U278" s="12"/>
      <c r="V278" s="13"/>
      <c r="W278" s="12"/>
      <c r="X278" s="13"/>
      <c r="Y278" s="12" t="s">
        <v>2903</v>
      </c>
      <c r="Z278" s="12" t="s">
        <v>2904</v>
      </c>
      <c r="AA278" s="13" t="s">
        <v>3976</v>
      </c>
      <c r="AB278" s="13"/>
      <c r="AC278" s="12" t="s">
        <v>2995</v>
      </c>
    </row>
    <row r="279" customFormat="false" ht="30" hidden="false" customHeight="true" outlineLevel="0" collapsed="false">
      <c r="A279" s="10" t="s">
        <v>3977</v>
      </c>
      <c r="B279" s="10" t="s">
        <v>3978</v>
      </c>
      <c r="C279" s="10" t="s">
        <v>3894</v>
      </c>
      <c r="D279" s="10" t="s">
        <v>2984</v>
      </c>
      <c r="E279" s="10" t="s">
        <v>1973</v>
      </c>
      <c r="F279" s="10" t="s">
        <v>1974</v>
      </c>
      <c r="G279" s="11" t="s">
        <v>3112</v>
      </c>
      <c r="H279" s="10" t="s">
        <v>2986</v>
      </c>
      <c r="I279" s="10" t="s">
        <v>2987</v>
      </c>
      <c r="J279" s="11" t="s">
        <v>3979</v>
      </c>
      <c r="K279" s="11" t="s">
        <v>452</v>
      </c>
      <c r="L279" s="10" t="s">
        <v>191</v>
      </c>
      <c r="M279" s="10" t="n">
        <v>51</v>
      </c>
      <c r="N279" s="10" t="n">
        <v>560</v>
      </c>
      <c r="O279" s="11" t="s">
        <v>3024</v>
      </c>
      <c r="P279" s="10" t="s">
        <v>2989</v>
      </c>
      <c r="Q279" s="11" t="s">
        <v>3067</v>
      </c>
      <c r="R279" s="11" t="s">
        <v>2991</v>
      </c>
      <c r="S279" s="11"/>
      <c r="T279" s="11"/>
      <c r="U279" s="10"/>
      <c r="V279" s="11"/>
      <c r="W279" s="10" t="s">
        <v>3239</v>
      </c>
      <c r="X279" s="11"/>
      <c r="Y279" s="10" t="s">
        <v>2888</v>
      </c>
      <c r="Z279" s="10" t="s">
        <v>1509</v>
      </c>
      <c r="AA279" s="11" t="s">
        <v>3980</v>
      </c>
      <c r="AB279" s="11" t="s">
        <v>3981</v>
      </c>
      <c r="AC279" s="10" t="s">
        <v>2995</v>
      </c>
    </row>
    <row r="280" customFormat="false" ht="30" hidden="false" customHeight="true" outlineLevel="0" collapsed="false">
      <c r="A280" s="12" t="s">
        <v>3982</v>
      </c>
      <c r="B280" s="12" t="s">
        <v>3983</v>
      </c>
      <c r="C280" s="12" t="s">
        <v>3894</v>
      </c>
      <c r="D280" s="12" t="s">
        <v>2984</v>
      </c>
      <c r="E280" s="12" t="s">
        <v>1985</v>
      </c>
      <c r="F280" s="12" t="s">
        <v>1986</v>
      </c>
      <c r="G280" s="13" t="s">
        <v>3039</v>
      </c>
      <c r="H280" s="12" t="s">
        <v>2999</v>
      </c>
      <c r="I280" s="12" t="s">
        <v>2987</v>
      </c>
      <c r="J280" s="13" t="s">
        <v>3163</v>
      </c>
      <c r="K280" s="13" t="s">
        <v>452</v>
      </c>
      <c r="L280" s="12" t="s">
        <v>184</v>
      </c>
      <c r="M280" s="12" t="n">
        <v>88</v>
      </c>
      <c r="N280" s="12" t="n">
        <v>495</v>
      </c>
      <c r="O280" s="13" t="s">
        <v>2792</v>
      </c>
      <c r="P280" s="12" t="s">
        <v>2989</v>
      </c>
      <c r="Q280" s="13" t="s">
        <v>3338</v>
      </c>
      <c r="R280" s="13" t="s">
        <v>3201</v>
      </c>
      <c r="S280" s="13"/>
      <c r="T280" s="13"/>
      <c r="U280" s="12"/>
      <c r="V280" s="13" t="s">
        <v>3984</v>
      </c>
      <c r="W280" s="12"/>
      <c r="X280" s="13"/>
      <c r="Y280" s="12" t="s">
        <v>2903</v>
      </c>
      <c r="Z280" s="12" t="s">
        <v>2904</v>
      </c>
      <c r="AA280" s="13" t="s">
        <v>3985</v>
      </c>
      <c r="AB280" s="13" t="s">
        <v>3986</v>
      </c>
      <c r="AC280" s="12" t="s">
        <v>3987</v>
      </c>
    </row>
    <row r="281" customFormat="false" ht="30" hidden="false" customHeight="true" outlineLevel="0" collapsed="false">
      <c r="A281" s="10" t="s">
        <v>3988</v>
      </c>
      <c r="B281" s="10" t="s">
        <v>3989</v>
      </c>
      <c r="C281" s="10" t="s">
        <v>3894</v>
      </c>
      <c r="D281" s="10" t="s">
        <v>2903</v>
      </c>
      <c r="E281" s="10" t="s">
        <v>2389</v>
      </c>
      <c r="F281" s="10" t="s">
        <v>2127</v>
      </c>
      <c r="G281" s="11" t="s">
        <v>3007</v>
      </c>
      <c r="H281" s="10" t="s">
        <v>2999</v>
      </c>
      <c r="I281" s="10" t="s">
        <v>3009</v>
      </c>
      <c r="J281" s="11" t="s">
        <v>3990</v>
      </c>
      <c r="K281" s="11" t="s">
        <v>441</v>
      </c>
      <c r="L281" s="10" t="s">
        <v>170</v>
      </c>
      <c r="M281" s="10" t="n">
        <v>86</v>
      </c>
      <c r="N281" s="10" t="n">
        <v>400</v>
      </c>
      <c r="O281" s="11" t="s">
        <v>2785</v>
      </c>
      <c r="P281" s="10" t="s">
        <v>2989</v>
      </c>
      <c r="Q281" s="11" t="s">
        <v>3067</v>
      </c>
      <c r="R281" s="11" t="s">
        <v>2991</v>
      </c>
      <c r="S281" s="11"/>
      <c r="T281" s="11"/>
      <c r="U281" s="10"/>
      <c r="V281" s="11" t="s">
        <v>3991</v>
      </c>
      <c r="W281" s="10"/>
      <c r="X281" s="11"/>
      <c r="Y281" s="10" t="s">
        <v>2900</v>
      </c>
      <c r="Z281" s="10" t="s">
        <v>1509</v>
      </c>
      <c r="AA281" s="11" t="s">
        <v>3992</v>
      </c>
      <c r="AB281" s="11"/>
      <c r="AC281" s="10" t="s">
        <v>3106</v>
      </c>
    </row>
    <row r="282" customFormat="false" ht="30" hidden="false" customHeight="true" outlineLevel="0" collapsed="false">
      <c r="A282" s="12" t="s">
        <v>3993</v>
      </c>
      <c r="B282" s="12" t="s">
        <v>3994</v>
      </c>
      <c r="C282" s="12" t="s">
        <v>3894</v>
      </c>
      <c r="D282" s="12" t="s">
        <v>2984</v>
      </c>
      <c r="E282" s="12" t="s">
        <v>1935</v>
      </c>
      <c r="F282" s="12" t="s">
        <v>1936</v>
      </c>
      <c r="G282" s="13" t="s">
        <v>3077</v>
      </c>
      <c r="H282" s="12" t="s">
        <v>3049</v>
      </c>
      <c r="I282" s="12" t="s">
        <v>2987</v>
      </c>
      <c r="J282" s="13" t="s">
        <v>1168</v>
      </c>
      <c r="K282" s="13" t="s">
        <v>426</v>
      </c>
      <c r="L282" s="12" t="s">
        <v>170</v>
      </c>
      <c r="M282" s="12" t="n">
        <v>58</v>
      </c>
      <c r="N282" s="12" t="n">
        <v>270</v>
      </c>
      <c r="O282" s="13" t="s">
        <v>2785</v>
      </c>
      <c r="P282" s="12" t="s">
        <v>3011</v>
      </c>
      <c r="Q282" s="13" t="s">
        <v>3035</v>
      </c>
      <c r="R282" s="13" t="s">
        <v>2991</v>
      </c>
      <c r="S282" s="13" t="s">
        <v>3036</v>
      </c>
      <c r="T282" s="13"/>
      <c r="U282" s="12"/>
      <c r="V282" s="13"/>
      <c r="W282" s="12"/>
      <c r="X282" s="13"/>
      <c r="Y282" s="12" t="s">
        <v>2888</v>
      </c>
      <c r="Z282" s="12" t="s">
        <v>1509</v>
      </c>
      <c r="AA282" s="13" t="s">
        <v>3995</v>
      </c>
      <c r="AB282" s="13"/>
      <c r="AC282" s="12" t="s">
        <v>2995</v>
      </c>
    </row>
    <row r="283" customFormat="false" ht="30" hidden="false" customHeight="true" outlineLevel="0" collapsed="false">
      <c r="A283" s="10" t="s">
        <v>3996</v>
      </c>
      <c r="B283" s="10" t="s">
        <v>3997</v>
      </c>
      <c r="C283" s="10" t="s">
        <v>3894</v>
      </c>
      <c r="D283" s="10" t="s">
        <v>2984</v>
      </c>
      <c r="E283" s="10" t="s">
        <v>1809</v>
      </c>
      <c r="F283" s="10" t="s">
        <v>1810</v>
      </c>
      <c r="G283" s="11" t="s">
        <v>3048</v>
      </c>
      <c r="H283" s="10" t="s">
        <v>2986</v>
      </c>
      <c r="I283" s="10" t="s">
        <v>2987</v>
      </c>
      <c r="J283" s="11" t="s">
        <v>1193</v>
      </c>
      <c r="K283" s="11" t="s">
        <v>433</v>
      </c>
      <c r="L283" s="10" t="s">
        <v>170</v>
      </c>
      <c r="M283" s="10" t="n">
        <v>83</v>
      </c>
      <c r="N283" s="10" t="n">
        <v>325</v>
      </c>
      <c r="O283" s="11" t="s">
        <v>2785</v>
      </c>
      <c r="P283" s="10" t="s">
        <v>3011</v>
      </c>
      <c r="Q283" s="11"/>
      <c r="R283" s="11" t="s">
        <v>2991</v>
      </c>
      <c r="S283" s="11"/>
      <c r="T283" s="11"/>
      <c r="U283" s="10"/>
      <c r="V283" s="11"/>
      <c r="W283" s="10"/>
      <c r="X283" s="11"/>
      <c r="Y283" s="10" t="s">
        <v>2884</v>
      </c>
      <c r="Z283" s="10" t="s">
        <v>2886</v>
      </c>
      <c r="AA283" s="11" t="s">
        <v>3998</v>
      </c>
      <c r="AB283" s="11"/>
      <c r="AC283" s="10" t="s">
        <v>2995</v>
      </c>
    </row>
    <row r="284" customFormat="false" ht="30" hidden="false" customHeight="true" outlineLevel="0" collapsed="false">
      <c r="A284" s="12" t="s">
        <v>3999</v>
      </c>
      <c r="B284" s="12" t="s">
        <v>4000</v>
      </c>
      <c r="C284" s="12" t="s">
        <v>3894</v>
      </c>
      <c r="D284" s="12" t="s">
        <v>2984</v>
      </c>
      <c r="E284" s="12" t="s">
        <v>1931</v>
      </c>
      <c r="F284" s="12" t="s">
        <v>1932</v>
      </c>
      <c r="G284" s="13" t="s">
        <v>3022</v>
      </c>
      <c r="H284" s="12" t="s">
        <v>3049</v>
      </c>
      <c r="I284" s="12" t="s">
        <v>3093</v>
      </c>
      <c r="J284" s="13" t="s">
        <v>3140</v>
      </c>
      <c r="K284" s="13" t="s">
        <v>452</v>
      </c>
      <c r="L284" s="12" t="s">
        <v>191</v>
      </c>
      <c r="M284" s="12" t="n">
        <v>49</v>
      </c>
      <c r="N284" s="12" t="n">
        <v>570</v>
      </c>
      <c r="O284" s="13" t="s">
        <v>3024</v>
      </c>
      <c r="P284" s="12" t="s">
        <v>2989</v>
      </c>
      <c r="Q284" s="13" t="s">
        <v>4001</v>
      </c>
      <c r="R284" s="13" t="s">
        <v>3055</v>
      </c>
      <c r="S284" s="13"/>
      <c r="T284" s="13"/>
      <c r="U284" s="12"/>
      <c r="V284" s="13"/>
      <c r="W284" s="12"/>
      <c r="X284" s="13"/>
      <c r="Y284" s="12" t="s">
        <v>2888</v>
      </c>
      <c r="Z284" s="12" t="s">
        <v>1509</v>
      </c>
      <c r="AA284" s="13" t="s">
        <v>4002</v>
      </c>
      <c r="AB284" s="13"/>
      <c r="AC284" s="12" t="s">
        <v>2995</v>
      </c>
    </row>
    <row r="285" customFormat="false" ht="30" hidden="false" customHeight="true" outlineLevel="0" collapsed="false">
      <c r="A285" s="10" t="s">
        <v>4003</v>
      </c>
      <c r="B285" s="10" t="s">
        <v>4004</v>
      </c>
      <c r="C285" s="10" t="s">
        <v>3894</v>
      </c>
      <c r="D285" s="10" t="s">
        <v>2984</v>
      </c>
      <c r="E285" s="10" t="s">
        <v>1977</v>
      </c>
      <c r="F285" s="10" t="s">
        <v>1978</v>
      </c>
      <c r="G285" s="11" t="s">
        <v>3062</v>
      </c>
      <c r="H285" s="10" t="s">
        <v>3018</v>
      </c>
      <c r="I285" s="10" t="s">
        <v>2987</v>
      </c>
      <c r="J285" s="11" t="s">
        <v>1207</v>
      </c>
      <c r="K285" s="11" t="s">
        <v>414</v>
      </c>
      <c r="L285" s="10" t="s">
        <v>170</v>
      </c>
      <c r="M285" s="10" t="n">
        <v>81</v>
      </c>
      <c r="N285" s="10" t="n">
        <v>340</v>
      </c>
      <c r="O285" s="11" t="s">
        <v>2785</v>
      </c>
      <c r="P285" s="10" t="s">
        <v>3041</v>
      </c>
      <c r="Q285" s="11" t="s">
        <v>3237</v>
      </c>
      <c r="R285" s="11" t="s">
        <v>2991</v>
      </c>
      <c r="S285" s="11"/>
      <c r="T285" s="11"/>
      <c r="U285" s="10"/>
      <c r="V285" s="11"/>
      <c r="W285" s="10" t="s">
        <v>3239</v>
      </c>
      <c r="X285" s="11"/>
      <c r="Y285" s="10" t="s">
        <v>2824</v>
      </c>
      <c r="Z285" s="10" t="s">
        <v>2892</v>
      </c>
      <c r="AA285" s="11" t="s">
        <v>4005</v>
      </c>
      <c r="AB285" s="11"/>
      <c r="AC285" s="10" t="s">
        <v>2995</v>
      </c>
    </row>
    <row r="286" customFormat="false" ht="30" hidden="false" customHeight="true" outlineLevel="0" collapsed="false">
      <c r="A286" s="12" t="s">
        <v>4006</v>
      </c>
      <c r="B286" s="12" t="s">
        <v>4007</v>
      </c>
      <c r="C286" s="12" t="s">
        <v>3894</v>
      </c>
      <c r="D286" s="12" t="s">
        <v>2984</v>
      </c>
      <c r="E286" s="12" t="s">
        <v>1957</v>
      </c>
      <c r="F286" s="12" t="s">
        <v>1958</v>
      </c>
      <c r="G286" s="13" t="s">
        <v>3034</v>
      </c>
      <c r="H286" s="12" t="s">
        <v>2986</v>
      </c>
      <c r="I286" s="12" t="s">
        <v>2987</v>
      </c>
      <c r="J286" s="13" t="s">
        <v>1190</v>
      </c>
      <c r="K286" s="13" t="s">
        <v>433</v>
      </c>
      <c r="L286" s="12" t="s">
        <v>170</v>
      </c>
      <c r="M286" s="12" t="n">
        <v>61</v>
      </c>
      <c r="N286" s="12" t="n">
        <v>260</v>
      </c>
      <c r="O286" s="13" t="s">
        <v>2785</v>
      </c>
      <c r="P286" s="12" t="s">
        <v>3011</v>
      </c>
      <c r="Q286" s="13" t="s">
        <v>3035</v>
      </c>
      <c r="R286" s="13" t="s">
        <v>2991</v>
      </c>
      <c r="S286" s="13" t="s">
        <v>3036</v>
      </c>
      <c r="T286" s="13"/>
      <c r="U286" s="12"/>
      <c r="V286" s="13"/>
      <c r="W286" s="12"/>
      <c r="X286" s="13"/>
      <c r="Y286" s="12" t="s">
        <v>2888</v>
      </c>
      <c r="Z286" s="12" t="s">
        <v>1509</v>
      </c>
      <c r="AA286" s="13" t="s">
        <v>4008</v>
      </c>
      <c r="AB286" s="13"/>
      <c r="AC286" s="12" t="s">
        <v>2995</v>
      </c>
    </row>
    <row r="287" customFormat="false" ht="30" hidden="false" customHeight="true" outlineLevel="0" collapsed="false">
      <c r="A287" s="10" t="s">
        <v>4009</v>
      </c>
      <c r="B287" s="10" t="s">
        <v>4010</v>
      </c>
      <c r="C287" s="10" t="s">
        <v>3894</v>
      </c>
      <c r="D287" s="10" t="s">
        <v>2984</v>
      </c>
      <c r="E287" s="10" t="s">
        <v>1899</v>
      </c>
      <c r="F287" s="10" t="s">
        <v>1900</v>
      </c>
      <c r="G287" s="11" t="s">
        <v>3053</v>
      </c>
      <c r="H287" s="10" t="s">
        <v>3018</v>
      </c>
      <c r="I287" s="10" t="s">
        <v>2987</v>
      </c>
      <c r="J287" s="11" t="s">
        <v>1231</v>
      </c>
      <c r="K287" s="11" t="s">
        <v>452</v>
      </c>
      <c r="L287" s="10" t="s">
        <v>191</v>
      </c>
      <c r="M287" s="10" t="n">
        <v>44</v>
      </c>
      <c r="N287" s="10" t="n">
        <v>245</v>
      </c>
      <c r="O287" s="11" t="s">
        <v>3000</v>
      </c>
      <c r="P287" s="10" t="s">
        <v>2989</v>
      </c>
      <c r="Q287" s="11" t="s">
        <v>3285</v>
      </c>
      <c r="R287" s="11" t="s">
        <v>3055</v>
      </c>
      <c r="S287" s="11"/>
      <c r="T287" s="11" t="s">
        <v>3962</v>
      </c>
      <c r="U287" s="10"/>
      <c r="V287" s="11"/>
      <c r="W287" s="10"/>
      <c r="X287" s="11"/>
      <c r="Y287" s="10" t="s">
        <v>2888</v>
      </c>
      <c r="Z287" s="10" t="s">
        <v>1509</v>
      </c>
      <c r="AA287" s="11" t="s">
        <v>4011</v>
      </c>
      <c r="AB287" s="11"/>
      <c r="AC287" s="10" t="s">
        <v>2995</v>
      </c>
    </row>
    <row r="288" customFormat="false" ht="30" hidden="false" customHeight="true" outlineLevel="0" collapsed="false">
      <c r="A288" s="12" t="s">
        <v>4012</v>
      </c>
      <c r="B288" s="12" t="s">
        <v>4013</v>
      </c>
      <c r="C288" s="12" t="s">
        <v>3894</v>
      </c>
      <c r="D288" s="12" t="s">
        <v>2984</v>
      </c>
      <c r="E288" s="12" t="s">
        <v>1817</v>
      </c>
      <c r="F288" s="12" t="s">
        <v>1818</v>
      </c>
      <c r="G288" s="13" t="s">
        <v>3058</v>
      </c>
      <c r="H288" s="12" t="s">
        <v>2986</v>
      </c>
      <c r="I288" s="12" t="s">
        <v>3093</v>
      </c>
      <c r="J288" s="13" t="s">
        <v>1280</v>
      </c>
      <c r="K288" s="13" t="s">
        <v>433</v>
      </c>
      <c r="L288" s="12" t="s">
        <v>184</v>
      </c>
      <c r="M288" s="12" t="n">
        <v>86</v>
      </c>
      <c r="N288" s="12" t="n">
        <v>380</v>
      </c>
      <c r="O288" s="13" t="s">
        <v>2792</v>
      </c>
      <c r="P288" s="12" t="s">
        <v>3177</v>
      </c>
      <c r="Q288" s="13" t="s">
        <v>2990</v>
      </c>
      <c r="R288" s="13" t="s">
        <v>3201</v>
      </c>
      <c r="S288" s="13"/>
      <c r="T288" s="13"/>
      <c r="U288" s="12"/>
      <c r="V288" s="13"/>
      <c r="W288" s="12" t="s">
        <v>3044</v>
      </c>
      <c r="X288" s="13"/>
      <c r="Y288" s="12" t="s">
        <v>2897</v>
      </c>
      <c r="Z288" s="12" t="s">
        <v>2898</v>
      </c>
      <c r="AA288" s="13" t="s">
        <v>4014</v>
      </c>
      <c r="AB288" s="13"/>
      <c r="AC288" s="12" t="s">
        <v>2995</v>
      </c>
    </row>
    <row r="289" customFormat="false" ht="30" hidden="false" customHeight="true" outlineLevel="0" collapsed="false">
      <c r="A289" s="10" t="s">
        <v>4015</v>
      </c>
      <c r="B289" s="10" t="s">
        <v>4016</v>
      </c>
      <c r="C289" s="10" t="s">
        <v>3894</v>
      </c>
      <c r="D289" s="10" t="s">
        <v>2984</v>
      </c>
      <c r="E289" s="10" t="s">
        <v>1811</v>
      </c>
      <c r="F289" s="10" t="s">
        <v>1812</v>
      </c>
      <c r="G289" s="11" t="s">
        <v>3080</v>
      </c>
      <c r="H289" s="10" t="s">
        <v>3018</v>
      </c>
      <c r="I289" s="10" t="s">
        <v>2987</v>
      </c>
      <c r="J289" s="11" t="s">
        <v>1219</v>
      </c>
      <c r="K289" s="11" t="s">
        <v>452</v>
      </c>
      <c r="L289" s="10" t="s">
        <v>177</v>
      </c>
      <c r="M289" s="10" t="n">
        <v>79</v>
      </c>
      <c r="N289" s="10" t="n">
        <v>370</v>
      </c>
      <c r="O289" s="11" t="s">
        <v>3031</v>
      </c>
      <c r="P289" s="10" t="s">
        <v>3011</v>
      </c>
      <c r="Q289" s="11"/>
      <c r="R289" s="11" t="s">
        <v>2991</v>
      </c>
      <c r="S289" s="11"/>
      <c r="T289" s="11"/>
      <c r="U289" s="10"/>
      <c r="V289" s="11"/>
      <c r="W289" s="10"/>
      <c r="X289" s="11"/>
      <c r="Y289" s="10" t="s">
        <v>2884</v>
      </c>
      <c r="Z289" s="10" t="s">
        <v>2886</v>
      </c>
      <c r="AA289" s="11" t="s">
        <v>4017</v>
      </c>
      <c r="AB289" s="11"/>
      <c r="AC289" s="10" t="s">
        <v>2995</v>
      </c>
    </row>
    <row r="290" customFormat="false" ht="30" hidden="false" customHeight="true" outlineLevel="0" collapsed="false">
      <c r="A290" s="12" t="s">
        <v>4018</v>
      </c>
      <c r="B290" s="12" t="s">
        <v>4019</v>
      </c>
      <c r="C290" s="12" t="s">
        <v>3894</v>
      </c>
      <c r="D290" s="12" t="s">
        <v>2903</v>
      </c>
      <c r="E290" s="12" t="s">
        <v>2408</v>
      </c>
      <c r="F290" s="12" t="s">
        <v>2409</v>
      </c>
      <c r="G290" s="13" t="s">
        <v>3088</v>
      </c>
      <c r="H290" s="12" t="s">
        <v>3100</v>
      </c>
      <c r="I290" s="12" t="s">
        <v>3093</v>
      </c>
      <c r="J290" s="13" t="s">
        <v>1267</v>
      </c>
      <c r="K290" s="13" t="s">
        <v>448</v>
      </c>
      <c r="L290" s="12" t="s">
        <v>170</v>
      </c>
      <c r="M290" s="12" t="n">
        <v>85</v>
      </c>
      <c r="N290" s="12" t="n">
        <v>385</v>
      </c>
      <c r="O290" s="13" t="s">
        <v>2785</v>
      </c>
      <c r="P290" s="12" t="s">
        <v>3041</v>
      </c>
      <c r="Q290" s="13" t="s">
        <v>3237</v>
      </c>
      <c r="R290" s="13" t="s">
        <v>2991</v>
      </c>
      <c r="S290" s="13"/>
      <c r="T290" s="13" t="s">
        <v>4020</v>
      </c>
      <c r="U290" s="12"/>
      <c r="V290" s="13"/>
      <c r="W290" s="12" t="s">
        <v>3104</v>
      </c>
      <c r="X290" s="13"/>
      <c r="Y290" s="12" t="s">
        <v>2824</v>
      </c>
      <c r="Z290" s="12" t="s">
        <v>2892</v>
      </c>
      <c r="AA290" s="13" t="s">
        <v>4021</v>
      </c>
      <c r="AB290" s="13" t="s">
        <v>4022</v>
      </c>
      <c r="AC290" s="12" t="s">
        <v>3700</v>
      </c>
    </row>
    <row r="291" customFormat="false" ht="30" hidden="false" customHeight="true" outlineLevel="0" collapsed="false">
      <c r="A291" s="10" t="s">
        <v>4023</v>
      </c>
      <c r="B291" s="10" t="s">
        <v>4024</v>
      </c>
      <c r="C291" s="10" t="s">
        <v>3894</v>
      </c>
      <c r="D291" s="10" t="s">
        <v>2984</v>
      </c>
      <c r="E291" s="10" t="s">
        <v>1875</v>
      </c>
      <c r="F291" s="10" t="s">
        <v>1876</v>
      </c>
      <c r="G291" s="11" t="s">
        <v>2998</v>
      </c>
      <c r="H291" s="10" t="s">
        <v>2986</v>
      </c>
      <c r="I291" s="10" t="s">
        <v>2987</v>
      </c>
      <c r="J291" s="11" t="s">
        <v>1231</v>
      </c>
      <c r="K291" s="11" t="s">
        <v>452</v>
      </c>
      <c r="L291" s="10" t="s">
        <v>191</v>
      </c>
      <c r="M291" s="10" t="n">
        <v>42</v>
      </c>
      <c r="N291" s="10" t="n">
        <v>235</v>
      </c>
      <c r="O291" s="11" t="s">
        <v>3000</v>
      </c>
      <c r="P291" s="10" t="s">
        <v>2989</v>
      </c>
      <c r="Q291" s="11" t="s">
        <v>4025</v>
      </c>
      <c r="R291" s="11" t="s">
        <v>3055</v>
      </c>
      <c r="S291" s="11" t="s">
        <v>3002</v>
      </c>
      <c r="T291" s="11" t="s">
        <v>3962</v>
      </c>
      <c r="U291" s="10"/>
      <c r="V291" s="11"/>
      <c r="W291" s="10"/>
      <c r="X291" s="11"/>
      <c r="Y291" s="10" t="s">
        <v>2888</v>
      </c>
      <c r="Z291" s="10" t="s">
        <v>1509</v>
      </c>
      <c r="AA291" s="11" t="s">
        <v>4011</v>
      </c>
      <c r="AB291" s="11"/>
      <c r="AC291" s="10" t="s">
        <v>2995</v>
      </c>
    </row>
    <row r="292" customFormat="false" ht="30" hidden="false" customHeight="true" outlineLevel="0" collapsed="false">
      <c r="A292" s="12" t="s">
        <v>4026</v>
      </c>
      <c r="B292" s="12" t="s">
        <v>4027</v>
      </c>
      <c r="C292" s="12" t="s">
        <v>3894</v>
      </c>
      <c r="D292" s="12" t="s">
        <v>2984</v>
      </c>
      <c r="E292" s="12" t="s">
        <v>1919</v>
      </c>
      <c r="F292" s="12" t="s">
        <v>1920</v>
      </c>
      <c r="G292" s="13" t="s">
        <v>3071</v>
      </c>
      <c r="H292" s="12" t="s">
        <v>2986</v>
      </c>
      <c r="I292" s="12" t="s">
        <v>3023</v>
      </c>
      <c r="J292" s="13" t="s">
        <v>1256</v>
      </c>
      <c r="K292" s="13" t="s">
        <v>433</v>
      </c>
      <c r="L292" s="12" t="s">
        <v>177</v>
      </c>
      <c r="M292" s="12" t="n">
        <v>80</v>
      </c>
      <c r="N292" s="12" t="n">
        <v>365</v>
      </c>
      <c r="O292" s="13" t="s">
        <v>3031</v>
      </c>
      <c r="P292" s="12" t="s">
        <v>3097</v>
      </c>
      <c r="Q292" s="13"/>
      <c r="R292" s="13" t="s">
        <v>2991</v>
      </c>
      <c r="S292" s="13"/>
      <c r="T292" s="13"/>
      <c r="U292" s="12"/>
      <c r="V292" s="13"/>
      <c r="W292" s="12"/>
      <c r="X292" s="13"/>
      <c r="Y292" s="12" t="s">
        <v>2894</v>
      </c>
      <c r="Z292" s="12" t="s">
        <v>1554</v>
      </c>
      <c r="AA292" s="13" t="s">
        <v>4028</v>
      </c>
      <c r="AB292" s="13"/>
      <c r="AC292" s="12" t="s">
        <v>2995</v>
      </c>
    </row>
    <row r="293" customFormat="false" ht="30" hidden="false" customHeight="true" outlineLevel="0" collapsed="false">
      <c r="A293" s="10" t="s">
        <v>4029</v>
      </c>
      <c r="B293" s="10" t="s">
        <v>4030</v>
      </c>
      <c r="C293" s="10" t="s">
        <v>3894</v>
      </c>
      <c r="D293" s="10" t="s">
        <v>2984</v>
      </c>
      <c r="E293" s="10" t="s">
        <v>1843</v>
      </c>
      <c r="F293" s="10" t="s">
        <v>1844</v>
      </c>
      <c r="G293" s="11" t="s">
        <v>3065</v>
      </c>
      <c r="H293" s="10" t="s">
        <v>2999</v>
      </c>
      <c r="I293" s="10" t="s">
        <v>2987</v>
      </c>
      <c r="J293" s="11" t="s">
        <v>3206</v>
      </c>
      <c r="K293" s="11" t="s">
        <v>441</v>
      </c>
      <c r="L293" s="10" t="s">
        <v>191</v>
      </c>
      <c r="M293" s="10" t="n">
        <v>51</v>
      </c>
      <c r="N293" s="10" t="n">
        <v>555</v>
      </c>
      <c r="O293" s="11" t="s">
        <v>3024</v>
      </c>
      <c r="P293" s="10" t="s">
        <v>2989</v>
      </c>
      <c r="Q293" s="11" t="s">
        <v>3067</v>
      </c>
      <c r="R293" s="11" t="s">
        <v>2991</v>
      </c>
      <c r="S293" s="11"/>
      <c r="T293" s="11"/>
      <c r="U293" s="10"/>
      <c r="V293" s="11"/>
      <c r="W293" s="10"/>
      <c r="X293" s="11"/>
      <c r="Y293" s="10" t="s">
        <v>2900</v>
      </c>
      <c r="Z293" s="10" t="s">
        <v>1509</v>
      </c>
      <c r="AA293" s="11" t="s">
        <v>4031</v>
      </c>
      <c r="AB293" s="11"/>
      <c r="AC293" s="10" t="s">
        <v>3655</v>
      </c>
    </row>
    <row r="294" customFormat="false" ht="30" hidden="false" customHeight="true" outlineLevel="0" collapsed="false">
      <c r="A294" s="12" t="s">
        <v>4032</v>
      </c>
      <c r="B294" s="12" t="s">
        <v>4033</v>
      </c>
      <c r="C294" s="12" t="s">
        <v>3894</v>
      </c>
      <c r="D294" s="12" t="s">
        <v>2903</v>
      </c>
      <c r="E294" s="12" t="s">
        <v>2390</v>
      </c>
      <c r="F294" s="12" t="s">
        <v>2391</v>
      </c>
      <c r="G294" s="13" t="s">
        <v>3048</v>
      </c>
      <c r="H294" s="12" t="s">
        <v>3018</v>
      </c>
      <c r="I294" s="12" t="s">
        <v>3023</v>
      </c>
      <c r="J294" s="13" t="s">
        <v>1244</v>
      </c>
      <c r="K294" s="13" t="s">
        <v>452</v>
      </c>
      <c r="L294" s="12" t="s">
        <v>170</v>
      </c>
      <c r="M294" s="12" t="n">
        <v>82</v>
      </c>
      <c r="N294" s="12" t="n">
        <v>315</v>
      </c>
      <c r="O294" s="13" t="s">
        <v>2785</v>
      </c>
      <c r="P294" s="12" t="s">
        <v>3011</v>
      </c>
      <c r="Q294" s="13"/>
      <c r="R294" s="13" t="s">
        <v>2991</v>
      </c>
      <c r="S294" s="13"/>
      <c r="T294" s="13"/>
      <c r="U294" s="12"/>
      <c r="V294" s="13"/>
      <c r="W294" s="12"/>
      <c r="X294" s="13"/>
      <c r="Y294" s="12" t="s">
        <v>2884</v>
      </c>
      <c r="Z294" s="12" t="s">
        <v>2886</v>
      </c>
      <c r="AA294" s="13" t="s">
        <v>4034</v>
      </c>
      <c r="AB294" s="13"/>
      <c r="AC294" s="12" t="s">
        <v>3014</v>
      </c>
    </row>
    <row r="295" customFormat="false" ht="30" hidden="false" customHeight="true" outlineLevel="0" collapsed="false">
      <c r="A295" s="10" t="s">
        <v>4035</v>
      </c>
      <c r="B295" s="10" t="s">
        <v>4036</v>
      </c>
      <c r="C295" s="10" t="s">
        <v>3894</v>
      </c>
      <c r="D295" s="10" t="s">
        <v>2903</v>
      </c>
      <c r="E295" s="10" t="s">
        <v>2386</v>
      </c>
      <c r="F295" s="10" t="s">
        <v>2387</v>
      </c>
      <c r="G295" s="11" t="s">
        <v>3007</v>
      </c>
      <c r="H295" s="10" t="s">
        <v>3018</v>
      </c>
      <c r="I295" s="10" t="s">
        <v>2987</v>
      </c>
      <c r="J295" s="11" t="s">
        <v>856</v>
      </c>
      <c r="K295" s="11" t="s">
        <v>445</v>
      </c>
      <c r="L295" s="10" t="s">
        <v>170</v>
      </c>
      <c r="M295" s="10" t="n">
        <v>84</v>
      </c>
      <c r="N295" s="10" t="n">
        <v>345</v>
      </c>
      <c r="O295" s="11" t="s">
        <v>2785</v>
      </c>
      <c r="P295" s="10" t="s">
        <v>3041</v>
      </c>
      <c r="Q295" s="11" t="s">
        <v>3237</v>
      </c>
      <c r="R295" s="11" t="s">
        <v>2991</v>
      </c>
      <c r="S295" s="11"/>
      <c r="T295" s="11"/>
      <c r="U295" s="10"/>
      <c r="V295" s="11"/>
      <c r="W295" s="10" t="s">
        <v>3044</v>
      </c>
      <c r="X295" s="11"/>
      <c r="Y295" s="10" t="s">
        <v>2824</v>
      </c>
      <c r="Z295" s="10" t="s">
        <v>2892</v>
      </c>
      <c r="AA295" s="11" t="s">
        <v>4037</v>
      </c>
      <c r="AB295" s="11"/>
      <c r="AC295" s="10" t="s">
        <v>3014</v>
      </c>
    </row>
    <row r="296" customFormat="false" ht="30" hidden="false" customHeight="true" outlineLevel="0" collapsed="false">
      <c r="A296" s="12" t="s">
        <v>4038</v>
      </c>
      <c r="B296" s="12" t="s">
        <v>4039</v>
      </c>
      <c r="C296" s="12" t="s">
        <v>3894</v>
      </c>
      <c r="D296" s="12" t="s">
        <v>2984</v>
      </c>
      <c r="E296" s="12" t="s">
        <v>1839</v>
      </c>
      <c r="F296" s="12" t="s">
        <v>1840</v>
      </c>
      <c r="G296" s="13" t="s">
        <v>3092</v>
      </c>
      <c r="H296" s="12" t="s">
        <v>3018</v>
      </c>
      <c r="I296" s="12" t="s">
        <v>3023</v>
      </c>
      <c r="J296" s="13" t="s">
        <v>1259</v>
      </c>
      <c r="K296" s="13" t="s">
        <v>452</v>
      </c>
      <c r="L296" s="12" t="s">
        <v>170</v>
      </c>
      <c r="M296" s="12" t="n">
        <v>82</v>
      </c>
      <c r="N296" s="12" t="n">
        <v>285</v>
      </c>
      <c r="O296" s="13" t="s">
        <v>2785</v>
      </c>
      <c r="P296" s="12" t="s">
        <v>3011</v>
      </c>
      <c r="Q296" s="13"/>
      <c r="R296" s="13" t="s">
        <v>2991</v>
      </c>
      <c r="S296" s="13"/>
      <c r="T296" s="13"/>
      <c r="U296" s="12"/>
      <c r="V296" s="13"/>
      <c r="W296" s="12"/>
      <c r="X296" s="13"/>
      <c r="Y296" s="12" t="s">
        <v>2884</v>
      </c>
      <c r="Z296" s="12" t="s">
        <v>2886</v>
      </c>
      <c r="AA296" s="13" t="s">
        <v>4040</v>
      </c>
      <c r="AB296" s="13"/>
      <c r="AC296" s="12" t="s">
        <v>2995</v>
      </c>
    </row>
    <row r="297" customFormat="false" ht="30" hidden="false" customHeight="true" outlineLevel="0" collapsed="false">
      <c r="A297" s="10" t="s">
        <v>4041</v>
      </c>
      <c r="B297" s="10" t="s">
        <v>4042</v>
      </c>
      <c r="C297" s="10" t="s">
        <v>3894</v>
      </c>
      <c r="D297" s="10" t="s">
        <v>2903</v>
      </c>
      <c r="E297" s="10" t="s">
        <v>2394</v>
      </c>
      <c r="F297" s="10" t="s">
        <v>2395</v>
      </c>
      <c r="G297" s="11" t="s">
        <v>3029</v>
      </c>
      <c r="H297" s="10" t="s">
        <v>3018</v>
      </c>
      <c r="I297" s="10" t="s">
        <v>2987</v>
      </c>
      <c r="J297" s="11" t="s">
        <v>1231</v>
      </c>
      <c r="K297" s="11" t="s">
        <v>452</v>
      </c>
      <c r="L297" s="10" t="s">
        <v>170</v>
      </c>
      <c r="M297" s="10" t="n">
        <v>86</v>
      </c>
      <c r="N297" s="10" t="n">
        <v>410</v>
      </c>
      <c r="O297" s="11" t="s">
        <v>3031</v>
      </c>
      <c r="P297" s="10" t="s">
        <v>2989</v>
      </c>
      <c r="Q297" s="11" t="s">
        <v>3025</v>
      </c>
      <c r="R297" s="11" t="s">
        <v>2991</v>
      </c>
      <c r="S297" s="11"/>
      <c r="T297" s="11"/>
      <c r="U297" s="10"/>
      <c r="V297" s="11" t="s">
        <v>4043</v>
      </c>
      <c r="W297" s="10" t="s">
        <v>3440</v>
      </c>
      <c r="X297" s="11"/>
      <c r="Y297" s="10" t="s">
        <v>2888</v>
      </c>
      <c r="Z297" s="10" t="s">
        <v>1509</v>
      </c>
      <c r="AA297" s="11" t="s">
        <v>4044</v>
      </c>
      <c r="AB297" s="11" t="s">
        <v>4045</v>
      </c>
      <c r="AC297" s="10" t="s">
        <v>3987</v>
      </c>
    </row>
    <row r="298" customFormat="false" ht="30" hidden="false" customHeight="true" outlineLevel="0" collapsed="false">
      <c r="A298" s="12" t="s">
        <v>4046</v>
      </c>
      <c r="B298" s="12" t="s">
        <v>4047</v>
      </c>
      <c r="C298" s="12" t="s">
        <v>3894</v>
      </c>
      <c r="D298" s="12" t="s">
        <v>2984</v>
      </c>
      <c r="E298" s="12" t="s">
        <v>1983</v>
      </c>
      <c r="F298" s="12" t="s">
        <v>1984</v>
      </c>
      <c r="G298" s="13" t="s">
        <v>3112</v>
      </c>
      <c r="H298" s="12" t="s">
        <v>2986</v>
      </c>
      <c r="I298" s="12" t="s">
        <v>2987</v>
      </c>
      <c r="J298" s="13" t="s">
        <v>1068</v>
      </c>
      <c r="K298" s="13" t="s">
        <v>452</v>
      </c>
      <c r="L298" s="12" t="s">
        <v>191</v>
      </c>
      <c r="M298" s="12" t="n">
        <v>50</v>
      </c>
      <c r="N298" s="12" t="n">
        <v>545</v>
      </c>
      <c r="O298" s="13" t="s">
        <v>3024</v>
      </c>
      <c r="P298" s="12" t="s">
        <v>2989</v>
      </c>
      <c r="Q298" s="13" t="s">
        <v>3067</v>
      </c>
      <c r="R298" s="13" t="s">
        <v>2991</v>
      </c>
      <c r="S298" s="13"/>
      <c r="T298" s="13"/>
      <c r="U298" s="12"/>
      <c r="V298" s="13"/>
      <c r="W298" s="12"/>
      <c r="X298" s="13"/>
      <c r="Y298" s="12" t="s">
        <v>2903</v>
      </c>
      <c r="Z298" s="12" t="s">
        <v>2904</v>
      </c>
      <c r="AA298" s="13" t="s">
        <v>4048</v>
      </c>
      <c r="AB298" s="13"/>
      <c r="AC298" s="12" t="s">
        <v>2995</v>
      </c>
    </row>
    <row r="299" customFormat="false" ht="30" hidden="false" customHeight="true" outlineLevel="0" collapsed="false">
      <c r="A299" s="10" t="s">
        <v>4049</v>
      </c>
      <c r="B299" s="10" t="s">
        <v>4050</v>
      </c>
      <c r="C299" s="10" t="s">
        <v>3894</v>
      </c>
      <c r="D299" s="10" t="s">
        <v>2984</v>
      </c>
      <c r="E299" s="10" t="s">
        <v>1845</v>
      </c>
      <c r="F299" s="10" t="s">
        <v>1846</v>
      </c>
      <c r="G299" s="11" t="s">
        <v>3077</v>
      </c>
      <c r="H299" s="10" t="s">
        <v>3018</v>
      </c>
      <c r="I299" s="10" t="s">
        <v>3023</v>
      </c>
      <c r="J299" s="11" t="s">
        <v>1253</v>
      </c>
      <c r="K299" s="11" t="s">
        <v>452</v>
      </c>
      <c r="L299" s="10" t="s">
        <v>170</v>
      </c>
      <c r="M299" s="10" t="n">
        <v>57</v>
      </c>
      <c r="N299" s="10" t="n">
        <v>275</v>
      </c>
      <c r="O299" s="11" t="s">
        <v>2785</v>
      </c>
      <c r="P299" s="10" t="s">
        <v>3011</v>
      </c>
      <c r="Q299" s="11" t="s">
        <v>3035</v>
      </c>
      <c r="R299" s="11" t="s">
        <v>2991</v>
      </c>
      <c r="S299" s="11" t="s">
        <v>3036</v>
      </c>
      <c r="T299" s="11"/>
      <c r="U299" s="10"/>
      <c r="V299" s="11"/>
      <c r="W299" s="10"/>
      <c r="X299" s="11"/>
      <c r="Y299" s="10" t="s">
        <v>2888</v>
      </c>
      <c r="Z299" s="10" t="s">
        <v>1509</v>
      </c>
      <c r="AA299" s="11" t="s">
        <v>4051</v>
      </c>
      <c r="AB299" s="11"/>
      <c r="AC299" s="10" t="s">
        <v>2995</v>
      </c>
    </row>
    <row r="300" customFormat="false" ht="30" hidden="false" customHeight="true" outlineLevel="0" collapsed="false">
      <c r="A300" s="12" t="s">
        <v>4052</v>
      </c>
      <c r="B300" s="12" t="s">
        <v>4053</v>
      </c>
      <c r="C300" s="12" t="s">
        <v>3894</v>
      </c>
      <c r="D300" s="12" t="s">
        <v>2984</v>
      </c>
      <c r="E300" s="12" t="s">
        <v>1981</v>
      </c>
      <c r="F300" s="12" t="s">
        <v>1982</v>
      </c>
      <c r="G300" s="13" t="s">
        <v>3058</v>
      </c>
      <c r="H300" s="12" t="s">
        <v>2986</v>
      </c>
      <c r="I300" s="12" t="s">
        <v>2987</v>
      </c>
      <c r="J300" s="13" t="s">
        <v>3163</v>
      </c>
      <c r="K300" s="13" t="s">
        <v>452</v>
      </c>
      <c r="L300" s="12" t="s">
        <v>177</v>
      </c>
      <c r="M300" s="12" t="n">
        <v>81</v>
      </c>
      <c r="N300" s="12" t="n">
        <v>390</v>
      </c>
      <c r="O300" s="13" t="s">
        <v>3031</v>
      </c>
      <c r="P300" s="12" t="s">
        <v>2989</v>
      </c>
      <c r="Q300" s="13" t="s">
        <v>3067</v>
      </c>
      <c r="R300" s="13" t="s">
        <v>2991</v>
      </c>
      <c r="S300" s="13"/>
      <c r="T300" s="13"/>
      <c r="U300" s="12"/>
      <c r="V300" s="13"/>
      <c r="W300" s="12"/>
      <c r="X300" s="13"/>
      <c r="Y300" s="12" t="s">
        <v>2903</v>
      </c>
      <c r="Z300" s="12" t="s">
        <v>2904</v>
      </c>
      <c r="AA300" s="13" t="s">
        <v>4054</v>
      </c>
      <c r="AB300" s="13"/>
      <c r="AC300" s="12" t="s">
        <v>2995</v>
      </c>
    </row>
    <row r="301" customFormat="false" ht="30" hidden="false" customHeight="true" outlineLevel="0" collapsed="false">
      <c r="A301" s="10" t="s">
        <v>4055</v>
      </c>
      <c r="B301" s="10" t="s">
        <v>4056</v>
      </c>
      <c r="C301" s="10" t="s">
        <v>3894</v>
      </c>
      <c r="D301" s="10" t="s">
        <v>2903</v>
      </c>
      <c r="E301" s="10" t="s">
        <v>2382</v>
      </c>
      <c r="F301" s="10" t="s">
        <v>2383</v>
      </c>
      <c r="G301" s="11" t="s">
        <v>3017</v>
      </c>
      <c r="H301" s="10" t="s">
        <v>3008</v>
      </c>
      <c r="I301" s="10" t="s">
        <v>3009</v>
      </c>
      <c r="J301" s="11" t="s">
        <v>1062</v>
      </c>
      <c r="K301" s="11" t="s">
        <v>438</v>
      </c>
      <c r="L301" s="10" t="s">
        <v>191</v>
      </c>
      <c r="M301" s="10" t="n">
        <v>47</v>
      </c>
      <c r="N301" s="10" t="n">
        <v>255</v>
      </c>
      <c r="O301" s="11" t="s">
        <v>3000</v>
      </c>
      <c r="P301" s="10" t="s">
        <v>2989</v>
      </c>
      <c r="Q301" s="11" t="s">
        <v>3054</v>
      </c>
      <c r="R301" s="11" t="s">
        <v>3055</v>
      </c>
      <c r="S301" s="11"/>
      <c r="T301" s="11"/>
      <c r="U301" s="10"/>
      <c r="V301" s="11"/>
      <c r="W301" s="10"/>
      <c r="X301" s="11"/>
      <c r="Y301" s="10" t="s">
        <v>2888</v>
      </c>
      <c r="Z301" s="10" t="s">
        <v>1509</v>
      </c>
      <c r="AA301" s="11" t="s">
        <v>4057</v>
      </c>
      <c r="AB301" s="11"/>
      <c r="AC301" s="10" t="s">
        <v>3014</v>
      </c>
    </row>
    <row r="302" customFormat="false" ht="30" hidden="false" customHeight="true" outlineLevel="0" collapsed="false">
      <c r="A302" s="12" t="s">
        <v>4058</v>
      </c>
      <c r="B302" s="12" t="s">
        <v>4059</v>
      </c>
      <c r="C302" s="12" t="s">
        <v>3894</v>
      </c>
      <c r="D302" s="12" t="s">
        <v>2984</v>
      </c>
      <c r="E302" s="12" t="s">
        <v>1905</v>
      </c>
      <c r="F302" s="12" t="s">
        <v>1906</v>
      </c>
      <c r="G302" s="13" t="s">
        <v>3022</v>
      </c>
      <c r="H302" s="12" t="s">
        <v>3049</v>
      </c>
      <c r="I302" s="12" t="s">
        <v>2987</v>
      </c>
      <c r="J302" s="13" t="s">
        <v>3612</v>
      </c>
      <c r="K302" s="13" t="s">
        <v>452</v>
      </c>
      <c r="L302" s="12" t="s">
        <v>191</v>
      </c>
      <c r="M302" s="12" t="n">
        <v>48</v>
      </c>
      <c r="N302" s="12" t="n">
        <v>550</v>
      </c>
      <c r="O302" s="13" t="s">
        <v>3024</v>
      </c>
      <c r="P302" s="12" t="s">
        <v>2989</v>
      </c>
      <c r="Q302" s="13" t="s">
        <v>3054</v>
      </c>
      <c r="R302" s="13" t="s">
        <v>3055</v>
      </c>
      <c r="S302" s="13"/>
      <c r="T302" s="13"/>
      <c r="U302" s="12"/>
      <c r="V302" s="13"/>
      <c r="W302" s="12"/>
      <c r="X302" s="13" t="s">
        <v>4060</v>
      </c>
      <c r="Y302" s="12" t="s">
        <v>2888</v>
      </c>
      <c r="Z302" s="12" t="s">
        <v>1509</v>
      </c>
      <c r="AA302" s="13" t="s">
        <v>4061</v>
      </c>
      <c r="AB302" s="13"/>
      <c r="AC302" s="12" t="s">
        <v>2995</v>
      </c>
    </row>
    <row r="303" customFormat="false" ht="30" hidden="false" customHeight="true" outlineLevel="0" collapsed="false">
      <c r="A303" s="10" t="s">
        <v>4062</v>
      </c>
      <c r="B303" s="10" t="s">
        <v>4063</v>
      </c>
      <c r="C303" s="10" t="s">
        <v>3894</v>
      </c>
      <c r="D303" s="10" t="s">
        <v>2984</v>
      </c>
      <c r="E303" s="10" t="s">
        <v>1877</v>
      </c>
      <c r="F303" s="10" t="s">
        <v>1878</v>
      </c>
      <c r="G303" s="11" t="s">
        <v>3062</v>
      </c>
      <c r="H303" s="10" t="s">
        <v>3018</v>
      </c>
      <c r="I303" s="10" t="s">
        <v>3023</v>
      </c>
      <c r="J303" s="11" t="s">
        <v>1253</v>
      </c>
      <c r="K303" s="11" t="s">
        <v>452</v>
      </c>
      <c r="L303" s="10" t="s">
        <v>170</v>
      </c>
      <c r="M303" s="10" t="n">
        <v>63</v>
      </c>
      <c r="N303" s="10" t="n">
        <v>280</v>
      </c>
      <c r="O303" s="11" t="s">
        <v>2785</v>
      </c>
      <c r="P303" s="10" t="s">
        <v>3011</v>
      </c>
      <c r="Q303" s="11" t="s">
        <v>3035</v>
      </c>
      <c r="R303" s="11" t="s">
        <v>2991</v>
      </c>
      <c r="S303" s="11" t="s">
        <v>3036</v>
      </c>
      <c r="T303" s="11"/>
      <c r="U303" s="10"/>
      <c r="V303" s="11"/>
      <c r="W303" s="10" t="s">
        <v>3440</v>
      </c>
      <c r="X303" s="11"/>
      <c r="Y303" s="10" t="s">
        <v>2888</v>
      </c>
      <c r="Z303" s="10" t="s">
        <v>1509</v>
      </c>
      <c r="AA303" s="11" t="s">
        <v>4064</v>
      </c>
      <c r="AB303" s="11"/>
      <c r="AC303" s="10" t="s">
        <v>2995</v>
      </c>
    </row>
    <row r="304" customFormat="false" ht="30" hidden="false" customHeight="true" outlineLevel="0" collapsed="false">
      <c r="A304" s="12" t="s">
        <v>4065</v>
      </c>
      <c r="B304" s="12" t="s">
        <v>4066</v>
      </c>
      <c r="C304" s="12" t="s">
        <v>3894</v>
      </c>
      <c r="D304" s="12" t="s">
        <v>2984</v>
      </c>
      <c r="E304" s="12" t="s">
        <v>2000</v>
      </c>
      <c r="F304" s="12" t="s">
        <v>2001</v>
      </c>
      <c r="G304" s="13" t="s">
        <v>3071</v>
      </c>
      <c r="H304" s="12" t="s">
        <v>3072</v>
      </c>
      <c r="I304" s="12" t="s">
        <v>3073</v>
      </c>
      <c r="J304" s="13" t="s">
        <v>1291</v>
      </c>
      <c r="K304" s="13" t="s">
        <v>455</v>
      </c>
      <c r="L304" s="12" t="s">
        <v>170</v>
      </c>
      <c r="M304" s="12" t="n">
        <v>84</v>
      </c>
      <c r="N304" s="12" t="n">
        <v>380</v>
      </c>
      <c r="O304" s="13" t="s">
        <v>3031</v>
      </c>
      <c r="P304" s="12" t="s">
        <v>2989</v>
      </c>
      <c r="Q304" s="13" t="s">
        <v>2990</v>
      </c>
      <c r="R304" s="13" t="s">
        <v>2991</v>
      </c>
      <c r="S304" s="13"/>
      <c r="T304" s="13"/>
      <c r="U304" s="12"/>
      <c r="V304" s="13"/>
      <c r="W304" s="12"/>
      <c r="X304" s="13"/>
      <c r="Y304" s="12" t="s">
        <v>2903</v>
      </c>
      <c r="Z304" s="12" t="s">
        <v>2904</v>
      </c>
      <c r="AA304" s="13" t="s">
        <v>4067</v>
      </c>
      <c r="AB304" s="13"/>
      <c r="AC304" s="12" t="s">
        <v>2995</v>
      </c>
    </row>
    <row r="305" customFormat="false" ht="30" hidden="false" customHeight="true" outlineLevel="0" collapsed="false">
      <c r="A305" s="10" t="s">
        <v>4068</v>
      </c>
      <c r="B305" s="10" t="s">
        <v>4069</v>
      </c>
      <c r="C305" s="10" t="s">
        <v>4070</v>
      </c>
      <c r="D305" s="10" t="s">
        <v>2984</v>
      </c>
      <c r="E305" s="10" t="s">
        <v>1907</v>
      </c>
      <c r="F305" s="10" t="s">
        <v>1908</v>
      </c>
      <c r="G305" s="11" t="s">
        <v>3048</v>
      </c>
      <c r="H305" s="10" t="s">
        <v>3018</v>
      </c>
      <c r="I305" s="10" t="s">
        <v>3023</v>
      </c>
      <c r="J305" s="11" t="s">
        <v>1240</v>
      </c>
      <c r="K305" s="11" t="s">
        <v>452</v>
      </c>
      <c r="L305" s="10" t="s">
        <v>170</v>
      </c>
      <c r="M305" s="10" t="n">
        <v>83</v>
      </c>
      <c r="N305" s="10" t="n">
        <v>270</v>
      </c>
      <c r="O305" s="11" t="s">
        <v>2785</v>
      </c>
      <c r="P305" s="10" t="s">
        <v>3011</v>
      </c>
      <c r="Q305" s="11"/>
      <c r="R305" s="11" t="s">
        <v>2991</v>
      </c>
      <c r="S305" s="11"/>
      <c r="T305" s="11"/>
      <c r="U305" s="10"/>
      <c r="V305" s="11"/>
      <c r="W305" s="10"/>
      <c r="X305" s="11"/>
      <c r="Y305" s="10" t="s">
        <v>2884</v>
      </c>
      <c r="Z305" s="10" t="s">
        <v>2886</v>
      </c>
      <c r="AA305" s="11" t="s">
        <v>4071</v>
      </c>
      <c r="AB305" s="11"/>
      <c r="AC305" s="10" t="s">
        <v>2995</v>
      </c>
    </row>
    <row r="306" customFormat="false" ht="30" hidden="false" customHeight="true" outlineLevel="0" collapsed="false">
      <c r="A306" s="12" t="s">
        <v>4072</v>
      </c>
      <c r="B306" s="12" t="s">
        <v>4073</v>
      </c>
      <c r="C306" s="12" t="s">
        <v>4070</v>
      </c>
      <c r="D306" s="12" t="s">
        <v>2984</v>
      </c>
      <c r="E306" s="12" t="s">
        <v>1819</v>
      </c>
      <c r="F306" s="12" t="s">
        <v>1820</v>
      </c>
      <c r="G306" s="13" t="s">
        <v>3017</v>
      </c>
      <c r="H306" s="12" t="s">
        <v>3018</v>
      </c>
      <c r="I306" s="12" t="s">
        <v>2987</v>
      </c>
      <c r="J306" s="13" t="s">
        <v>4074</v>
      </c>
      <c r="K306" s="13" t="s">
        <v>452</v>
      </c>
      <c r="L306" s="12" t="s">
        <v>191</v>
      </c>
      <c r="M306" s="12" t="n">
        <v>49</v>
      </c>
      <c r="N306" s="12" t="n">
        <v>245</v>
      </c>
      <c r="O306" s="13" t="s">
        <v>3000</v>
      </c>
      <c r="P306" s="12" t="s">
        <v>2989</v>
      </c>
      <c r="Q306" s="13" t="s">
        <v>3025</v>
      </c>
      <c r="R306" s="13" t="s">
        <v>2991</v>
      </c>
      <c r="S306" s="13"/>
      <c r="T306" s="13" t="s">
        <v>4075</v>
      </c>
      <c r="U306" s="12"/>
      <c r="V306" s="13"/>
      <c r="W306" s="12"/>
      <c r="X306" s="13"/>
      <c r="Y306" s="12" t="s">
        <v>2888</v>
      </c>
      <c r="Z306" s="12" t="s">
        <v>1509</v>
      </c>
      <c r="AA306" s="13" t="s">
        <v>4076</v>
      </c>
      <c r="AB306" s="13"/>
      <c r="AC306" s="12" t="s">
        <v>3655</v>
      </c>
    </row>
    <row r="307" customFormat="false" ht="30" hidden="false" customHeight="true" outlineLevel="0" collapsed="false">
      <c r="A307" s="10" t="s">
        <v>4077</v>
      </c>
      <c r="B307" s="10" t="s">
        <v>4078</v>
      </c>
      <c r="C307" s="10" t="s">
        <v>4070</v>
      </c>
      <c r="D307" s="10" t="s">
        <v>2903</v>
      </c>
      <c r="E307" s="10" t="s">
        <v>2413</v>
      </c>
      <c r="F307" s="10" t="s">
        <v>2414</v>
      </c>
      <c r="G307" s="11" t="s">
        <v>3029</v>
      </c>
      <c r="H307" s="10" t="s">
        <v>3008</v>
      </c>
      <c r="I307" s="10" t="s">
        <v>2987</v>
      </c>
      <c r="J307" s="11" t="s">
        <v>3081</v>
      </c>
      <c r="K307" s="11" t="s">
        <v>445</v>
      </c>
      <c r="L307" s="10" t="s">
        <v>177</v>
      </c>
      <c r="M307" s="10" t="n">
        <v>80</v>
      </c>
      <c r="N307" s="10" t="n">
        <v>410</v>
      </c>
      <c r="O307" s="11" t="s">
        <v>3031</v>
      </c>
      <c r="P307" s="10" t="s">
        <v>3011</v>
      </c>
      <c r="Q307" s="11" t="s">
        <v>3214</v>
      </c>
      <c r="R307" s="11" t="s">
        <v>3688</v>
      </c>
      <c r="S307" s="11"/>
      <c r="T307" s="11"/>
      <c r="U307" s="10" t="s">
        <v>4079</v>
      </c>
      <c r="V307" s="11"/>
      <c r="W307" s="10"/>
      <c r="X307" s="11"/>
      <c r="Y307" s="10" t="s">
        <v>2888</v>
      </c>
      <c r="Z307" s="10" t="s">
        <v>1509</v>
      </c>
      <c r="AA307" s="11" t="s">
        <v>4080</v>
      </c>
      <c r="AB307" s="11" t="s">
        <v>4081</v>
      </c>
      <c r="AC307" s="10" t="s">
        <v>3014</v>
      </c>
    </row>
    <row r="308" customFormat="false" ht="30" hidden="false" customHeight="true" outlineLevel="0" collapsed="false">
      <c r="A308" s="12" t="s">
        <v>4082</v>
      </c>
      <c r="B308" s="12" t="s">
        <v>4083</v>
      </c>
      <c r="C308" s="12" t="s">
        <v>4070</v>
      </c>
      <c r="D308" s="12" t="s">
        <v>2903</v>
      </c>
      <c r="E308" s="12" t="s">
        <v>2408</v>
      </c>
      <c r="F308" s="12" t="s">
        <v>2409</v>
      </c>
      <c r="G308" s="13" t="s">
        <v>3007</v>
      </c>
      <c r="H308" s="12" t="s">
        <v>3072</v>
      </c>
      <c r="I308" s="12" t="s">
        <v>3009</v>
      </c>
      <c r="J308" s="13" t="s">
        <v>4084</v>
      </c>
      <c r="K308" s="13" t="s">
        <v>452</v>
      </c>
      <c r="L308" s="12" t="s">
        <v>170</v>
      </c>
      <c r="M308" s="12" t="n">
        <v>86</v>
      </c>
      <c r="N308" s="12" t="n">
        <v>380</v>
      </c>
      <c r="O308" s="13" t="s">
        <v>2785</v>
      </c>
      <c r="P308" s="12" t="s">
        <v>3011</v>
      </c>
      <c r="Q308" s="13" t="s">
        <v>4085</v>
      </c>
      <c r="R308" s="13" t="s">
        <v>2991</v>
      </c>
      <c r="S308" s="13"/>
      <c r="T308" s="13"/>
      <c r="U308" s="12" t="s">
        <v>3645</v>
      </c>
      <c r="V308" s="13"/>
      <c r="W308" s="12"/>
      <c r="X308" s="13"/>
      <c r="Y308" s="12" t="s">
        <v>2884</v>
      </c>
      <c r="Z308" s="12" t="s">
        <v>2886</v>
      </c>
      <c r="AA308" s="13" t="s">
        <v>4086</v>
      </c>
      <c r="AB308" s="13"/>
      <c r="AC308" s="12" t="s">
        <v>3014</v>
      </c>
    </row>
    <row r="309" customFormat="false" ht="30" hidden="false" customHeight="true" outlineLevel="0" collapsed="false">
      <c r="A309" s="10" t="s">
        <v>4087</v>
      </c>
      <c r="B309" s="10" t="s">
        <v>4088</v>
      </c>
      <c r="C309" s="10" t="s">
        <v>4070</v>
      </c>
      <c r="D309" s="10" t="s">
        <v>2903</v>
      </c>
      <c r="E309" s="10" t="s">
        <v>2382</v>
      </c>
      <c r="F309" s="10" t="s">
        <v>2383</v>
      </c>
      <c r="G309" s="11" t="s">
        <v>3088</v>
      </c>
      <c r="H309" s="10" t="s">
        <v>3072</v>
      </c>
      <c r="I309" s="10" t="s">
        <v>3009</v>
      </c>
      <c r="J309" s="11" t="s">
        <v>1042</v>
      </c>
      <c r="K309" s="11" t="s">
        <v>445</v>
      </c>
      <c r="L309" s="10" t="s">
        <v>177</v>
      </c>
      <c r="M309" s="10" t="n">
        <v>81</v>
      </c>
      <c r="N309" s="10" t="n">
        <v>355</v>
      </c>
      <c r="O309" s="11" t="s">
        <v>3031</v>
      </c>
      <c r="P309" s="10" t="s">
        <v>3011</v>
      </c>
      <c r="Q309" s="11" t="s">
        <v>4085</v>
      </c>
      <c r="R309" s="11" t="s">
        <v>2991</v>
      </c>
      <c r="S309" s="11"/>
      <c r="T309" s="11"/>
      <c r="U309" s="10" t="s">
        <v>3466</v>
      </c>
      <c r="V309" s="11"/>
      <c r="W309" s="10"/>
      <c r="X309" s="11"/>
      <c r="Y309" s="10" t="s">
        <v>2884</v>
      </c>
      <c r="Z309" s="10" t="s">
        <v>2886</v>
      </c>
      <c r="AA309" s="11" t="s">
        <v>4089</v>
      </c>
      <c r="AB309" s="11"/>
      <c r="AC309" s="10" t="s">
        <v>3014</v>
      </c>
    </row>
    <row r="310" customFormat="false" ht="30" hidden="false" customHeight="true" outlineLevel="0" collapsed="false">
      <c r="A310" s="12" t="s">
        <v>4090</v>
      </c>
      <c r="B310" s="12" t="s">
        <v>4091</v>
      </c>
      <c r="C310" s="12" t="s">
        <v>4070</v>
      </c>
      <c r="D310" s="12" t="s">
        <v>2984</v>
      </c>
      <c r="E310" s="12" t="s">
        <v>1821</v>
      </c>
      <c r="F310" s="12" t="s">
        <v>1822</v>
      </c>
      <c r="G310" s="13" t="s">
        <v>3080</v>
      </c>
      <c r="H310" s="12" t="s">
        <v>2986</v>
      </c>
      <c r="I310" s="12" t="s">
        <v>3023</v>
      </c>
      <c r="J310" s="13" t="s">
        <v>1256</v>
      </c>
      <c r="K310" s="13" t="s">
        <v>433</v>
      </c>
      <c r="L310" s="12" t="s">
        <v>177</v>
      </c>
      <c r="M310" s="12" t="n">
        <v>78</v>
      </c>
      <c r="N310" s="12" t="n">
        <v>340</v>
      </c>
      <c r="O310" s="13" t="s">
        <v>3031</v>
      </c>
      <c r="P310" s="12" t="s">
        <v>3177</v>
      </c>
      <c r="Q310" s="13"/>
      <c r="R310" s="13" t="s">
        <v>2991</v>
      </c>
      <c r="S310" s="13"/>
      <c r="T310" s="13"/>
      <c r="U310" s="12"/>
      <c r="V310" s="13"/>
      <c r="W310" s="12"/>
      <c r="X310" s="13"/>
      <c r="Y310" s="12" t="s">
        <v>2897</v>
      </c>
      <c r="Z310" s="12" t="s">
        <v>2898</v>
      </c>
      <c r="AA310" s="13" t="s">
        <v>4092</v>
      </c>
      <c r="AB310" s="13"/>
      <c r="AC310" s="12" t="s">
        <v>2995</v>
      </c>
    </row>
    <row r="311" customFormat="false" ht="30" hidden="false" customHeight="true" outlineLevel="0" collapsed="false">
      <c r="A311" s="10" t="s">
        <v>4093</v>
      </c>
      <c r="B311" s="10" t="s">
        <v>4094</v>
      </c>
      <c r="C311" s="10" t="s">
        <v>4070</v>
      </c>
      <c r="D311" s="10" t="s">
        <v>2984</v>
      </c>
      <c r="E311" s="10" t="s">
        <v>1963</v>
      </c>
      <c r="F311" s="10" t="s">
        <v>1964</v>
      </c>
      <c r="G311" s="11" t="s">
        <v>3062</v>
      </c>
      <c r="H311" s="10" t="s">
        <v>3018</v>
      </c>
      <c r="I311" s="10" t="s">
        <v>2987</v>
      </c>
      <c r="J311" s="11" t="s">
        <v>4095</v>
      </c>
      <c r="K311" s="11" t="s">
        <v>414</v>
      </c>
      <c r="L311" s="10" t="s">
        <v>170</v>
      </c>
      <c r="M311" s="10" t="n">
        <v>82</v>
      </c>
      <c r="N311" s="10" t="n">
        <v>325</v>
      </c>
      <c r="O311" s="11" t="s">
        <v>2785</v>
      </c>
      <c r="P311" s="10" t="s">
        <v>3041</v>
      </c>
      <c r="Q311" s="11" t="s">
        <v>3237</v>
      </c>
      <c r="R311" s="11" t="s">
        <v>2991</v>
      </c>
      <c r="S311" s="11"/>
      <c r="T311" s="11"/>
      <c r="U311" s="10"/>
      <c r="V311" s="11"/>
      <c r="W311" s="10" t="s">
        <v>3239</v>
      </c>
      <c r="X311" s="11"/>
      <c r="Y311" s="10" t="s">
        <v>2824</v>
      </c>
      <c r="Z311" s="10" t="s">
        <v>2892</v>
      </c>
      <c r="AA311" s="11" t="s">
        <v>4096</v>
      </c>
      <c r="AB311" s="11"/>
      <c r="AC311" s="10" t="s">
        <v>2995</v>
      </c>
    </row>
    <row r="312" customFormat="false" ht="30" hidden="false" customHeight="true" outlineLevel="0" collapsed="false">
      <c r="A312" s="12" t="s">
        <v>4097</v>
      </c>
      <c r="B312" s="12" t="s">
        <v>4098</v>
      </c>
      <c r="C312" s="12" t="s">
        <v>4070</v>
      </c>
      <c r="D312" s="12" t="s">
        <v>2984</v>
      </c>
      <c r="E312" s="12" t="s">
        <v>1937</v>
      </c>
      <c r="F312" s="12" t="s">
        <v>1938</v>
      </c>
      <c r="G312" s="13" t="s">
        <v>3092</v>
      </c>
      <c r="H312" s="12" t="s">
        <v>3018</v>
      </c>
      <c r="I312" s="12" t="s">
        <v>3093</v>
      </c>
      <c r="J312" s="13" t="s">
        <v>1276</v>
      </c>
      <c r="K312" s="13" t="s">
        <v>414</v>
      </c>
      <c r="L312" s="12" t="s">
        <v>170</v>
      </c>
      <c r="M312" s="12" t="n">
        <v>81</v>
      </c>
      <c r="N312" s="12" t="n">
        <v>305</v>
      </c>
      <c r="O312" s="13" t="s">
        <v>2785</v>
      </c>
      <c r="P312" s="12" t="s">
        <v>3041</v>
      </c>
      <c r="Q312" s="13" t="s">
        <v>3237</v>
      </c>
      <c r="R312" s="13" t="s">
        <v>2991</v>
      </c>
      <c r="S312" s="13"/>
      <c r="T312" s="13"/>
      <c r="U312" s="12"/>
      <c r="V312" s="13"/>
      <c r="W312" s="12" t="s">
        <v>3104</v>
      </c>
      <c r="X312" s="13"/>
      <c r="Y312" s="12" t="s">
        <v>2824</v>
      </c>
      <c r="Z312" s="12" t="s">
        <v>2892</v>
      </c>
      <c r="AA312" s="13" t="s">
        <v>4099</v>
      </c>
      <c r="AB312" s="13"/>
      <c r="AC312" s="12" t="s">
        <v>2995</v>
      </c>
    </row>
    <row r="313" customFormat="false" ht="30" hidden="false" customHeight="true" outlineLevel="0" collapsed="false">
      <c r="A313" s="10" t="s">
        <v>4100</v>
      </c>
      <c r="B313" s="10" t="s">
        <v>4101</v>
      </c>
      <c r="C313" s="10" t="s">
        <v>4070</v>
      </c>
      <c r="D313" s="10" t="s">
        <v>2903</v>
      </c>
      <c r="E313" s="10" t="s">
        <v>2402</v>
      </c>
      <c r="F313" s="10" t="s">
        <v>2403</v>
      </c>
      <c r="G313" s="11" t="s">
        <v>3058</v>
      </c>
      <c r="H313" s="10" t="s">
        <v>3049</v>
      </c>
      <c r="I313" s="10" t="s">
        <v>2987</v>
      </c>
      <c r="J313" s="11" t="s">
        <v>3912</v>
      </c>
      <c r="K313" s="11" t="s">
        <v>426</v>
      </c>
      <c r="L313" s="10" t="s">
        <v>177</v>
      </c>
      <c r="M313" s="10" t="n">
        <v>82</v>
      </c>
      <c r="N313" s="10" t="n">
        <v>395</v>
      </c>
      <c r="O313" s="11" t="s">
        <v>3031</v>
      </c>
      <c r="P313" s="10" t="s">
        <v>2989</v>
      </c>
      <c r="Q313" s="11" t="s">
        <v>4102</v>
      </c>
      <c r="R313" s="11" t="s">
        <v>3688</v>
      </c>
      <c r="S313" s="11"/>
      <c r="T313" s="11"/>
      <c r="U313" s="10" t="s">
        <v>4103</v>
      </c>
      <c r="V313" s="11"/>
      <c r="W313" s="10"/>
      <c r="X313" s="11"/>
      <c r="Y313" s="10" t="s">
        <v>2888</v>
      </c>
      <c r="Z313" s="10" t="s">
        <v>1509</v>
      </c>
      <c r="AA313" s="11" t="s">
        <v>4104</v>
      </c>
      <c r="AB313" s="11" t="s">
        <v>3691</v>
      </c>
      <c r="AC313" s="10" t="s">
        <v>3987</v>
      </c>
    </row>
    <row r="314" customFormat="false" ht="30" hidden="false" customHeight="true" outlineLevel="0" collapsed="false">
      <c r="A314" s="12" t="s">
        <v>4105</v>
      </c>
      <c r="B314" s="12" t="s">
        <v>4106</v>
      </c>
      <c r="C314" s="12" t="s">
        <v>4070</v>
      </c>
      <c r="D314" s="12" t="s">
        <v>2903</v>
      </c>
      <c r="E314" s="12" t="s">
        <v>2408</v>
      </c>
      <c r="F314" s="12" t="s">
        <v>2409</v>
      </c>
      <c r="G314" s="13" t="s">
        <v>3071</v>
      </c>
      <c r="H314" s="12" t="s">
        <v>3072</v>
      </c>
      <c r="I314" s="12" t="s">
        <v>3009</v>
      </c>
      <c r="J314" s="13" t="s">
        <v>3101</v>
      </c>
      <c r="K314" s="13" t="s">
        <v>452</v>
      </c>
      <c r="L314" s="12" t="s">
        <v>170</v>
      </c>
      <c r="M314" s="12" t="n">
        <v>84</v>
      </c>
      <c r="N314" s="12" t="n">
        <v>335</v>
      </c>
      <c r="O314" s="13" t="s">
        <v>2785</v>
      </c>
      <c r="P314" s="12" t="s">
        <v>3011</v>
      </c>
      <c r="Q314" s="13" t="s">
        <v>4085</v>
      </c>
      <c r="R314" s="13" t="s">
        <v>2991</v>
      </c>
      <c r="S314" s="13"/>
      <c r="T314" s="13"/>
      <c r="U314" s="12" t="s">
        <v>3645</v>
      </c>
      <c r="V314" s="13"/>
      <c r="W314" s="12"/>
      <c r="X314" s="13" t="s">
        <v>4107</v>
      </c>
      <c r="Y314" s="12" t="s">
        <v>2884</v>
      </c>
      <c r="Z314" s="12" t="s">
        <v>2886</v>
      </c>
      <c r="AA314" s="13" t="s">
        <v>4108</v>
      </c>
      <c r="AB314" s="13"/>
      <c r="AC314" s="12" t="s">
        <v>3014</v>
      </c>
    </row>
    <row r="315" customFormat="false" ht="30" hidden="false" customHeight="true" outlineLevel="0" collapsed="false">
      <c r="A315" s="10" t="s">
        <v>4109</v>
      </c>
      <c r="B315" s="10" t="s">
        <v>4110</v>
      </c>
      <c r="C315" s="10" t="s">
        <v>4070</v>
      </c>
      <c r="D315" s="10" t="s">
        <v>2984</v>
      </c>
      <c r="E315" s="10" t="s">
        <v>1913</v>
      </c>
      <c r="F315" s="10" t="s">
        <v>1914</v>
      </c>
      <c r="G315" s="11" t="s">
        <v>3048</v>
      </c>
      <c r="H315" s="10" t="s">
        <v>3018</v>
      </c>
      <c r="I315" s="10" t="s">
        <v>3023</v>
      </c>
      <c r="J315" s="11" t="s">
        <v>1253</v>
      </c>
      <c r="K315" s="11" t="s">
        <v>452</v>
      </c>
      <c r="L315" s="10" t="s">
        <v>170</v>
      </c>
      <c r="M315" s="10" t="n">
        <v>82</v>
      </c>
      <c r="N315" s="10" t="n">
        <v>285</v>
      </c>
      <c r="O315" s="11" t="s">
        <v>2785</v>
      </c>
      <c r="P315" s="10" t="s">
        <v>3011</v>
      </c>
      <c r="Q315" s="11"/>
      <c r="R315" s="11" t="s">
        <v>2991</v>
      </c>
      <c r="S315" s="11"/>
      <c r="T315" s="11"/>
      <c r="U315" s="10"/>
      <c r="V315" s="11"/>
      <c r="W315" s="10"/>
      <c r="X315" s="11"/>
      <c r="Y315" s="10" t="s">
        <v>2884</v>
      </c>
      <c r="Z315" s="10" t="s">
        <v>2886</v>
      </c>
      <c r="AA315" s="11" t="s">
        <v>4111</v>
      </c>
      <c r="AB315" s="11"/>
      <c r="AC315" s="10" t="s">
        <v>2995</v>
      </c>
    </row>
    <row r="316" customFormat="false" ht="30" hidden="false" customHeight="true" outlineLevel="0" collapsed="false">
      <c r="A316" s="12" t="s">
        <v>4112</v>
      </c>
      <c r="B316" s="12" t="s">
        <v>4113</v>
      </c>
      <c r="C316" s="12" t="s">
        <v>4070</v>
      </c>
      <c r="D316" s="12" t="s">
        <v>2984</v>
      </c>
      <c r="E316" s="12" t="s">
        <v>1911</v>
      </c>
      <c r="F316" s="12" t="s">
        <v>1912</v>
      </c>
      <c r="G316" s="13" t="s">
        <v>3088</v>
      </c>
      <c r="H316" s="12" t="s">
        <v>3049</v>
      </c>
      <c r="I316" s="12" t="s">
        <v>2987</v>
      </c>
      <c r="J316" s="13" t="s">
        <v>1168</v>
      </c>
      <c r="K316" s="13" t="s">
        <v>426</v>
      </c>
      <c r="L316" s="12" t="s">
        <v>170</v>
      </c>
      <c r="M316" s="12" t="n">
        <v>81</v>
      </c>
      <c r="N316" s="12" t="n">
        <v>320</v>
      </c>
      <c r="O316" s="13" t="s">
        <v>2785</v>
      </c>
      <c r="P316" s="12" t="s">
        <v>3011</v>
      </c>
      <c r="Q316" s="13"/>
      <c r="R316" s="13" t="s">
        <v>2991</v>
      </c>
      <c r="S316" s="13"/>
      <c r="T316" s="13"/>
      <c r="U316" s="12"/>
      <c r="V316" s="13"/>
      <c r="W316" s="12"/>
      <c r="X316" s="13"/>
      <c r="Y316" s="12" t="s">
        <v>2884</v>
      </c>
      <c r="Z316" s="12" t="s">
        <v>2886</v>
      </c>
      <c r="AA316" s="13" t="s">
        <v>4114</v>
      </c>
      <c r="AB316" s="13"/>
      <c r="AC316" s="12" t="s">
        <v>2995</v>
      </c>
    </row>
    <row r="317" customFormat="false" ht="30" hidden="false" customHeight="true" outlineLevel="0" collapsed="false">
      <c r="A317" s="10" t="s">
        <v>4115</v>
      </c>
      <c r="B317" s="10" t="s">
        <v>4116</v>
      </c>
      <c r="C317" s="10" t="s">
        <v>4070</v>
      </c>
      <c r="D317" s="10" t="s">
        <v>2903</v>
      </c>
      <c r="E317" s="10" t="s">
        <v>2402</v>
      </c>
      <c r="F317" s="10" t="s">
        <v>2403</v>
      </c>
      <c r="G317" s="11" t="s">
        <v>3007</v>
      </c>
      <c r="H317" s="10" t="s">
        <v>3008</v>
      </c>
      <c r="I317" s="10" t="s">
        <v>3009</v>
      </c>
      <c r="J317" s="11" t="s">
        <v>1062</v>
      </c>
      <c r="K317" s="11" t="s">
        <v>438</v>
      </c>
      <c r="L317" s="10" t="s">
        <v>170</v>
      </c>
      <c r="M317" s="10" t="n">
        <v>86</v>
      </c>
      <c r="N317" s="10" t="n">
        <v>310</v>
      </c>
      <c r="O317" s="11" t="s">
        <v>2785</v>
      </c>
      <c r="P317" s="10" t="s">
        <v>2989</v>
      </c>
      <c r="Q317" s="11" t="s">
        <v>3118</v>
      </c>
      <c r="R317" s="11" t="s">
        <v>2991</v>
      </c>
      <c r="S317" s="11"/>
      <c r="T317" s="11"/>
      <c r="U317" s="10"/>
      <c r="V317" s="11"/>
      <c r="W317" s="10"/>
      <c r="X317" s="11" t="s">
        <v>4117</v>
      </c>
      <c r="Y317" s="10" t="s">
        <v>2888</v>
      </c>
      <c r="Z317" s="10" t="s">
        <v>1509</v>
      </c>
      <c r="AA317" s="11" t="s">
        <v>4118</v>
      </c>
      <c r="AB317" s="11"/>
      <c r="AC317" s="10" t="s">
        <v>3014</v>
      </c>
    </row>
    <row r="318" customFormat="false" ht="30" hidden="false" customHeight="true" outlineLevel="0" collapsed="false">
      <c r="A318" s="12" t="s">
        <v>4119</v>
      </c>
      <c r="B318" s="12" t="s">
        <v>4120</v>
      </c>
      <c r="C318" s="12" t="s">
        <v>4070</v>
      </c>
      <c r="D318" s="12" t="s">
        <v>2984</v>
      </c>
      <c r="E318" s="12" t="s">
        <v>1883</v>
      </c>
      <c r="F318" s="12" t="s">
        <v>1884</v>
      </c>
      <c r="G318" s="13" t="s">
        <v>3092</v>
      </c>
      <c r="H318" s="12" t="s">
        <v>3018</v>
      </c>
      <c r="I318" s="12" t="s">
        <v>3023</v>
      </c>
      <c r="J318" s="13" t="s">
        <v>1244</v>
      </c>
      <c r="K318" s="13" t="s">
        <v>452</v>
      </c>
      <c r="L318" s="12" t="s">
        <v>170</v>
      </c>
      <c r="M318" s="12" t="n">
        <v>83</v>
      </c>
      <c r="N318" s="12" t="n">
        <v>275</v>
      </c>
      <c r="O318" s="13" t="s">
        <v>2785</v>
      </c>
      <c r="P318" s="12" t="s">
        <v>3011</v>
      </c>
      <c r="Q318" s="13"/>
      <c r="R318" s="13" t="s">
        <v>2991</v>
      </c>
      <c r="S318" s="13"/>
      <c r="T318" s="13"/>
      <c r="U318" s="12"/>
      <c r="V318" s="13"/>
      <c r="W318" s="12"/>
      <c r="X318" s="13"/>
      <c r="Y318" s="12" t="s">
        <v>2884</v>
      </c>
      <c r="Z318" s="12" t="s">
        <v>2886</v>
      </c>
      <c r="AA318" s="13" t="s">
        <v>4121</v>
      </c>
      <c r="AB318" s="13"/>
      <c r="AC318" s="12" t="s">
        <v>2995</v>
      </c>
    </row>
    <row r="319" customFormat="false" ht="30" hidden="false" customHeight="true" outlineLevel="0" collapsed="false">
      <c r="A319" s="10" t="s">
        <v>4122</v>
      </c>
      <c r="B319" s="10" t="s">
        <v>4123</v>
      </c>
      <c r="C319" s="10" t="s">
        <v>4070</v>
      </c>
      <c r="D319" s="10" t="s">
        <v>2903</v>
      </c>
      <c r="E319" s="10" t="s">
        <v>2399</v>
      </c>
      <c r="F319" s="10" t="s">
        <v>2400</v>
      </c>
      <c r="G319" s="11" t="s">
        <v>3065</v>
      </c>
      <c r="H319" s="10" t="s">
        <v>3018</v>
      </c>
      <c r="I319" s="10" t="s">
        <v>3009</v>
      </c>
      <c r="J319" s="11" t="s">
        <v>4124</v>
      </c>
      <c r="K319" s="11" t="s">
        <v>452</v>
      </c>
      <c r="L319" s="10" t="s">
        <v>191</v>
      </c>
      <c r="M319" s="10" t="n">
        <v>50</v>
      </c>
      <c r="N319" s="10" t="n">
        <v>545</v>
      </c>
      <c r="O319" s="11" t="s">
        <v>3024</v>
      </c>
      <c r="P319" s="10" t="s">
        <v>2989</v>
      </c>
      <c r="Q319" s="11" t="s">
        <v>4085</v>
      </c>
      <c r="R319" s="11" t="s">
        <v>2991</v>
      </c>
      <c r="S319" s="11"/>
      <c r="T319" s="11"/>
      <c r="U319" s="10" t="s">
        <v>3466</v>
      </c>
      <c r="V319" s="11"/>
      <c r="W319" s="10"/>
      <c r="X319" s="11"/>
      <c r="Y319" s="10" t="s">
        <v>2888</v>
      </c>
      <c r="Z319" s="10" t="s">
        <v>1509</v>
      </c>
      <c r="AA319" s="11" t="s">
        <v>4125</v>
      </c>
      <c r="AB319" s="11"/>
      <c r="AC319" s="10" t="s">
        <v>3014</v>
      </c>
    </row>
    <row r="320" customFormat="false" ht="30" hidden="false" customHeight="true" outlineLevel="0" collapsed="false">
      <c r="A320" s="12" t="s">
        <v>4126</v>
      </c>
      <c r="B320" s="12" t="s">
        <v>4127</v>
      </c>
      <c r="C320" s="12" t="s">
        <v>4070</v>
      </c>
      <c r="D320" s="12" t="s">
        <v>2903</v>
      </c>
      <c r="E320" s="12" t="s">
        <v>2394</v>
      </c>
      <c r="F320" s="12" t="s">
        <v>2395</v>
      </c>
      <c r="G320" s="13" t="s">
        <v>3022</v>
      </c>
      <c r="H320" s="12" t="s">
        <v>3018</v>
      </c>
      <c r="I320" s="12" t="s">
        <v>3009</v>
      </c>
      <c r="J320" s="13" t="s">
        <v>3101</v>
      </c>
      <c r="K320" s="13" t="s">
        <v>452</v>
      </c>
      <c r="L320" s="12" t="s">
        <v>191</v>
      </c>
      <c r="M320" s="12" t="n">
        <v>49</v>
      </c>
      <c r="N320" s="12" t="n">
        <v>560</v>
      </c>
      <c r="O320" s="13" t="s">
        <v>3024</v>
      </c>
      <c r="P320" s="12" t="s">
        <v>2989</v>
      </c>
      <c r="Q320" s="13" t="s">
        <v>4128</v>
      </c>
      <c r="R320" s="13" t="s">
        <v>2991</v>
      </c>
      <c r="S320" s="13"/>
      <c r="T320" s="13" t="s">
        <v>4129</v>
      </c>
      <c r="U320" s="12" t="s">
        <v>3466</v>
      </c>
      <c r="V320" s="13"/>
      <c r="W320" s="12"/>
      <c r="X320" s="13"/>
      <c r="Y320" s="12" t="s">
        <v>2888</v>
      </c>
      <c r="Z320" s="12" t="s">
        <v>1509</v>
      </c>
      <c r="AA320" s="13" t="s">
        <v>4130</v>
      </c>
      <c r="AB320" s="13"/>
      <c r="AC320" s="12" t="s">
        <v>3014</v>
      </c>
    </row>
    <row r="321" customFormat="false" ht="30" hidden="false" customHeight="true" outlineLevel="0" collapsed="false">
      <c r="A321" s="10" t="s">
        <v>4131</v>
      </c>
      <c r="B321" s="10" t="s">
        <v>4132</v>
      </c>
      <c r="C321" s="10" t="s">
        <v>4070</v>
      </c>
      <c r="D321" s="10" t="s">
        <v>2984</v>
      </c>
      <c r="E321" s="10" t="s">
        <v>1975</v>
      </c>
      <c r="F321" s="10" t="s">
        <v>1976</v>
      </c>
      <c r="G321" s="11" t="s">
        <v>3029</v>
      </c>
      <c r="H321" s="10" t="s">
        <v>2999</v>
      </c>
      <c r="I321" s="10" t="s">
        <v>2987</v>
      </c>
      <c r="J321" s="11" t="s">
        <v>3163</v>
      </c>
      <c r="K321" s="11" t="s">
        <v>452</v>
      </c>
      <c r="L321" s="10" t="s">
        <v>177</v>
      </c>
      <c r="M321" s="10" t="n">
        <v>83</v>
      </c>
      <c r="N321" s="10" t="n">
        <v>350</v>
      </c>
      <c r="O321" s="11" t="s">
        <v>3031</v>
      </c>
      <c r="P321" s="10" t="s">
        <v>2989</v>
      </c>
      <c r="Q321" s="11" t="s">
        <v>3067</v>
      </c>
      <c r="R321" s="11" t="s">
        <v>2991</v>
      </c>
      <c r="S321" s="11"/>
      <c r="T321" s="11"/>
      <c r="U321" s="10"/>
      <c r="V321" s="11"/>
      <c r="W321" s="10"/>
      <c r="X321" s="11" t="s">
        <v>4133</v>
      </c>
      <c r="Y321" s="10" t="s">
        <v>2903</v>
      </c>
      <c r="Z321" s="10" t="s">
        <v>2904</v>
      </c>
      <c r="AA321" s="11" t="s">
        <v>4134</v>
      </c>
      <c r="AB321" s="11"/>
      <c r="AC321" s="10" t="s">
        <v>2995</v>
      </c>
    </row>
    <row r="322" customFormat="false" ht="30" hidden="false" customHeight="true" outlineLevel="0" collapsed="false">
      <c r="A322" s="12" t="s">
        <v>4135</v>
      </c>
      <c r="B322" s="12" t="s">
        <v>4136</v>
      </c>
      <c r="C322" s="12" t="s">
        <v>4070</v>
      </c>
      <c r="D322" s="12" t="s">
        <v>2903</v>
      </c>
      <c r="E322" s="12" t="s">
        <v>2396</v>
      </c>
      <c r="F322" s="12" t="s">
        <v>2397</v>
      </c>
      <c r="G322" s="13" t="s">
        <v>3039</v>
      </c>
      <c r="H322" s="12" t="s">
        <v>3018</v>
      </c>
      <c r="I322" s="12" t="s">
        <v>3009</v>
      </c>
      <c r="J322" s="13" t="s">
        <v>3644</v>
      </c>
      <c r="K322" s="13" t="s">
        <v>445</v>
      </c>
      <c r="L322" s="12" t="s">
        <v>170</v>
      </c>
      <c r="M322" s="12" t="n">
        <v>85</v>
      </c>
      <c r="N322" s="12" t="n">
        <v>370</v>
      </c>
      <c r="O322" s="13" t="s">
        <v>2785</v>
      </c>
      <c r="P322" s="12" t="s">
        <v>3011</v>
      </c>
      <c r="Q322" s="13" t="s">
        <v>4085</v>
      </c>
      <c r="R322" s="13" t="s">
        <v>2991</v>
      </c>
      <c r="S322" s="13"/>
      <c r="T322" s="13"/>
      <c r="U322" s="12" t="s">
        <v>3645</v>
      </c>
      <c r="V322" s="13"/>
      <c r="W322" s="12" t="s">
        <v>3440</v>
      </c>
      <c r="X322" s="13"/>
      <c r="Y322" s="12" t="s">
        <v>2824</v>
      </c>
      <c r="Z322" s="12" t="s">
        <v>2892</v>
      </c>
      <c r="AA322" s="13" t="s">
        <v>4125</v>
      </c>
      <c r="AB322" s="13" t="s">
        <v>4137</v>
      </c>
      <c r="AC322" s="12" t="s">
        <v>3014</v>
      </c>
    </row>
    <row r="323" customFormat="false" ht="30" hidden="false" customHeight="true" outlineLevel="0" collapsed="false">
      <c r="A323" s="10" t="s">
        <v>4138</v>
      </c>
      <c r="B323" s="10" t="s">
        <v>4139</v>
      </c>
      <c r="C323" s="10" t="s">
        <v>4070</v>
      </c>
      <c r="D323" s="10" t="s">
        <v>2984</v>
      </c>
      <c r="E323" s="10" t="s">
        <v>1825</v>
      </c>
      <c r="F323" s="10" t="s">
        <v>1826</v>
      </c>
      <c r="G323" s="11" t="s">
        <v>3080</v>
      </c>
      <c r="H323" s="10" t="s">
        <v>2986</v>
      </c>
      <c r="I323" s="10" t="s">
        <v>2987</v>
      </c>
      <c r="J323" s="11" t="s">
        <v>1226</v>
      </c>
      <c r="K323" s="11" t="s">
        <v>452</v>
      </c>
      <c r="L323" s="10" t="s">
        <v>177</v>
      </c>
      <c r="M323" s="10" t="n">
        <v>79</v>
      </c>
      <c r="N323" s="10" t="n">
        <v>365</v>
      </c>
      <c r="O323" s="11" t="s">
        <v>3031</v>
      </c>
      <c r="P323" s="10" t="s">
        <v>3011</v>
      </c>
      <c r="Q323" s="11"/>
      <c r="R323" s="11" t="s">
        <v>2991</v>
      </c>
      <c r="S323" s="11"/>
      <c r="T323" s="11"/>
      <c r="U323" s="10"/>
      <c r="V323" s="11"/>
      <c r="W323" s="10"/>
      <c r="X323" s="11"/>
      <c r="Y323" s="10" t="s">
        <v>2884</v>
      </c>
      <c r="Z323" s="10" t="s">
        <v>2886</v>
      </c>
      <c r="AA323" s="11" t="s">
        <v>4140</v>
      </c>
      <c r="AB323" s="11"/>
      <c r="AC323" s="10" t="s">
        <v>2995</v>
      </c>
    </row>
    <row r="324" customFormat="false" ht="30" hidden="false" customHeight="true" outlineLevel="0" collapsed="false">
      <c r="A324" s="12" t="s">
        <v>4141</v>
      </c>
      <c r="B324" s="12" t="s">
        <v>4142</v>
      </c>
      <c r="C324" s="12" t="s">
        <v>4070</v>
      </c>
      <c r="D324" s="12" t="s">
        <v>2903</v>
      </c>
      <c r="E324" s="12" t="s">
        <v>2410</v>
      </c>
      <c r="F324" s="12" t="s">
        <v>2411</v>
      </c>
      <c r="G324" s="13" t="s">
        <v>3053</v>
      </c>
      <c r="H324" s="12" t="s">
        <v>3008</v>
      </c>
      <c r="I324" s="12" t="s">
        <v>3009</v>
      </c>
      <c r="J324" s="13" t="s">
        <v>4143</v>
      </c>
      <c r="K324" s="13" t="s">
        <v>438</v>
      </c>
      <c r="L324" s="12" t="s">
        <v>191</v>
      </c>
      <c r="M324" s="12" t="n">
        <v>45</v>
      </c>
      <c r="N324" s="12" t="n">
        <v>440</v>
      </c>
      <c r="O324" s="13" t="s">
        <v>3024</v>
      </c>
      <c r="P324" s="12" t="s">
        <v>2989</v>
      </c>
      <c r="Q324" s="13" t="s">
        <v>4144</v>
      </c>
      <c r="R324" s="13" t="s">
        <v>3055</v>
      </c>
      <c r="S324" s="13"/>
      <c r="T324" s="13"/>
      <c r="U324" s="12" t="s">
        <v>4145</v>
      </c>
      <c r="V324" s="13"/>
      <c r="W324" s="12"/>
      <c r="X324" s="13" t="s">
        <v>3737</v>
      </c>
      <c r="Y324" s="12" t="s">
        <v>2888</v>
      </c>
      <c r="Z324" s="12" t="s">
        <v>1509</v>
      </c>
      <c r="AA324" s="13" t="s">
        <v>4146</v>
      </c>
      <c r="AB324" s="13" t="s">
        <v>4147</v>
      </c>
      <c r="AC324" s="12" t="s">
        <v>3014</v>
      </c>
    </row>
    <row r="325" customFormat="false" ht="30" hidden="false" customHeight="true" outlineLevel="0" collapsed="false">
      <c r="A325" s="10" t="s">
        <v>4148</v>
      </c>
      <c r="B325" s="10" t="s">
        <v>4149</v>
      </c>
      <c r="C325" s="10" t="s">
        <v>4070</v>
      </c>
      <c r="D325" s="10" t="s">
        <v>2984</v>
      </c>
      <c r="E325" s="10" t="s">
        <v>1925</v>
      </c>
      <c r="F325" s="10" t="s">
        <v>1926</v>
      </c>
      <c r="G325" s="11" t="s">
        <v>2985</v>
      </c>
      <c r="H325" s="10" t="s">
        <v>2986</v>
      </c>
      <c r="I325" s="10" t="s">
        <v>2987</v>
      </c>
      <c r="J325" s="11" t="s">
        <v>3171</v>
      </c>
      <c r="K325" s="11" t="s">
        <v>452</v>
      </c>
      <c r="L325" s="10" t="s">
        <v>184</v>
      </c>
      <c r="M325" s="10" t="n">
        <v>89</v>
      </c>
      <c r="N325" s="10" t="n">
        <v>450</v>
      </c>
      <c r="O325" s="11" t="s">
        <v>2792</v>
      </c>
      <c r="P325" s="10" t="s">
        <v>2989</v>
      </c>
      <c r="Q325" s="11" t="s">
        <v>2990</v>
      </c>
      <c r="R325" s="11" t="s">
        <v>3201</v>
      </c>
      <c r="S325" s="11"/>
      <c r="T325" s="11"/>
      <c r="U325" s="10"/>
      <c r="V325" s="11" t="s">
        <v>4150</v>
      </c>
      <c r="W325" s="10"/>
      <c r="X325" s="11" t="s">
        <v>4151</v>
      </c>
      <c r="Y325" s="10" t="s">
        <v>2888</v>
      </c>
      <c r="Z325" s="10" t="s">
        <v>1509</v>
      </c>
      <c r="AA325" s="11" t="s">
        <v>3936</v>
      </c>
      <c r="AB325" s="11"/>
      <c r="AC325" s="10" t="s">
        <v>2995</v>
      </c>
    </row>
    <row r="326" customFormat="false" ht="30" hidden="false" customHeight="true" outlineLevel="0" collapsed="false">
      <c r="A326" s="12" t="s">
        <v>4152</v>
      </c>
      <c r="B326" s="12" t="s">
        <v>4153</v>
      </c>
      <c r="C326" s="12" t="s">
        <v>4070</v>
      </c>
      <c r="D326" s="12" t="s">
        <v>2903</v>
      </c>
      <c r="E326" s="12" t="s">
        <v>2386</v>
      </c>
      <c r="F326" s="12" t="s">
        <v>2387</v>
      </c>
      <c r="G326" s="13" t="s">
        <v>3062</v>
      </c>
      <c r="H326" s="12" t="s">
        <v>2999</v>
      </c>
      <c r="I326" s="12" t="s">
        <v>3009</v>
      </c>
      <c r="J326" s="13" t="s">
        <v>1088</v>
      </c>
      <c r="K326" s="13" t="s">
        <v>445</v>
      </c>
      <c r="L326" s="12" t="s">
        <v>170</v>
      </c>
      <c r="M326" s="12" t="n">
        <v>83</v>
      </c>
      <c r="N326" s="12" t="n">
        <v>315</v>
      </c>
      <c r="O326" s="13" t="s">
        <v>3031</v>
      </c>
      <c r="P326" s="12" t="s">
        <v>3011</v>
      </c>
      <c r="Q326" s="13"/>
      <c r="R326" s="13" t="s">
        <v>2991</v>
      </c>
      <c r="S326" s="13"/>
      <c r="T326" s="13"/>
      <c r="U326" s="12"/>
      <c r="V326" s="13"/>
      <c r="W326" s="12"/>
      <c r="X326" s="13"/>
      <c r="Y326" s="12" t="s">
        <v>2884</v>
      </c>
      <c r="Z326" s="12" t="s">
        <v>2886</v>
      </c>
      <c r="AA326" s="13" t="s">
        <v>4154</v>
      </c>
      <c r="AB326" s="13"/>
      <c r="AC326" s="12" t="s">
        <v>3014</v>
      </c>
    </row>
    <row r="327" customFormat="false" ht="30" hidden="false" customHeight="true" outlineLevel="0" collapsed="false">
      <c r="A327" s="10" t="s">
        <v>4155</v>
      </c>
      <c r="B327" s="10" t="s">
        <v>4156</v>
      </c>
      <c r="C327" s="10" t="s">
        <v>4070</v>
      </c>
      <c r="D327" s="10" t="s">
        <v>2903</v>
      </c>
      <c r="E327" s="10" t="s">
        <v>2390</v>
      </c>
      <c r="F327" s="10" t="s">
        <v>2391</v>
      </c>
      <c r="G327" s="11" t="s">
        <v>2998</v>
      </c>
      <c r="H327" s="10" t="s">
        <v>3049</v>
      </c>
      <c r="I327" s="10" t="s">
        <v>3093</v>
      </c>
      <c r="J327" s="11" t="s">
        <v>1272</v>
      </c>
      <c r="K327" s="11" t="s">
        <v>452</v>
      </c>
      <c r="L327" s="10" t="s">
        <v>191</v>
      </c>
      <c r="M327" s="10" t="n">
        <v>43</v>
      </c>
      <c r="N327" s="10" t="n">
        <v>230</v>
      </c>
      <c r="O327" s="11" t="s">
        <v>3000</v>
      </c>
      <c r="P327" s="10" t="s">
        <v>2989</v>
      </c>
      <c r="Q327" s="11" t="s">
        <v>3343</v>
      </c>
      <c r="R327" s="11" t="s">
        <v>2991</v>
      </c>
      <c r="S327" s="11" t="s">
        <v>3002</v>
      </c>
      <c r="T327" s="11" t="s">
        <v>3573</v>
      </c>
      <c r="U327" s="10"/>
      <c r="V327" s="11"/>
      <c r="W327" s="10" t="s">
        <v>3044</v>
      </c>
      <c r="X327" s="11"/>
      <c r="Y327" s="10" t="s">
        <v>2888</v>
      </c>
      <c r="Z327" s="10" t="s">
        <v>1509</v>
      </c>
      <c r="AA327" s="11" t="s">
        <v>4157</v>
      </c>
      <c r="AB327" s="11"/>
      <c r="AC327" s="10" t="s">
        <v>2995</v>
      </c>
    </row>
    <row r="328" customFormat="false" ht="30" hidden="false" customHeight="true" outlineLevel="0" collapsed="false">
      <c r="A328" s="12" t="s">
        <v>4158</v>
      </c>
      <c r="B328" s="12" t="s">
        <v>4159</v>
      </c>
      <c r="C328" s="12" t="s">
        <v>4070</v>
      </c>
      <c r="D328" s="12" t="s">
        <v>2984</v>
      </c>
      <c r="E328" s="12" t="s">
        <v>1879</v>
      </c>
      <c r="F328" s="12" t="s">
        <v>1880</v>
      </c>
      <c r="G328" s="13" t="s">
        <v>3112</v>
      </c>
      <c r="H328" s="12" t="s">
        <v>3018</v>
      </c>
      <c r="I328" s="12" t="s">
        <v>3023</v>
      </c>
      <c r="J328" s="13" t="s">
        <v>1253</v>
      </c>
      <c r="K328" s="13" t="s">
        <v>452</v>
      </c>
      <c r="L328" s="12" t="s">
        <v>191</v>
      </c>
      <c r="M328" s="12" t="n">
        <v>50</v>
      </c>
      <c r="N328" s="12" t="n">
        <v>550</v>
      </c>
      <c r="O328" s="13" t="s">
        <v>3024</v>
      </c>
      <c r="P328" s="12" t="s">
        <v>2989</v>
      </c>
      <c r="Q328" s="13" t="s">
        <v>3025</v>
      </c>
      <c r="R328" s="13" t="s">
        <v>2991</v>
      </c>
      <c r="S328" s="13"/>
      <c r="T328" s="13" t="s">
        <v>3148</v>
      </c>
      <c r="U328" s="12"/>
      <c r="V328" s="13"/>
      <c r="W328" s="12" t="s">
        <v>3440</v>
      </c>
      <c r="X328" s="13"/>
      <c r="Y328" s="12" t="s">
        <v>2888</v>
      </c>
      <c r="Z328" s="12" t="s">
        <v>1509</v>
      </c>
      <c r="AA328" s="13" t="s">
        <v>4160</v>
      </c>
      <c r="AB328" s="13"/>
      <c r="AC328" s="12" t="s">
        <v>2995</v>
      </c>
    </row>
    <row r="329" customFormat="false" ht="30" hidden="false" customHeight="true" outlineLevel="0" collapsed="false">
      <c r="A329" s="10" t="s">
        <v>4161</v>
      </c>
      <c r="B329" s="10" t="s">
        <v>4162</v>
      </c>
      <c r="C329" s="10" t="s">
        <v>4070</v>
      </c>
      <c r="D329" s="10" t="s">
        <v>2984</v>
      </c>
      <c r="E329" s="10" t="s">
        <v>1961</v>
      </c>
      <c r="F329" s="10" t="s">
        <v>1962</v>
      </c>
      <c r="G329" s="11" t="s">
        <v>3088</v>
      </c>
      <c r="H329" s="10" t="s">
        <v>3018</v>
      </c>
      <c r="I329" s="10" t="s">
        <v>2987</v>
      </c>
      <c r="J329" s="11" t="s">
        <v>1231</v>
      </c>
      <c r="K329" s="11" t="s">
        <v>414</v>
      </c>
      <c r="L329" s="10" t="s">
        <v>170</v>
      </c>
      <c r="M329" s="10" t="n">
        <v>81</v>
      </c>
      <c r="N329" s="10" t="n">
        <v>315</v>
      </c>
      <c r="O329" s="11" t="s">
        <v>2785</v>
      </c>
      <c r="P329" s="10" t="s">
        <v>3041</v>
      </c>
      <c r="Q329" s="11" t="s">
        <v>3237</v>
      </c>
      <c r="R329" s="11" t="s">
        <v>2991</v>
      </c>
      <c r="S329" s="11"/>
      <c r="T329" s="11"/>
      <c r="U329" s="10"/>
      <c r="V329" s="11"/>
      <c r="W329" s="10" t="s">
        <v>3239</v>
      </c>
      <c r="X329" s="11"/>
      <c r="Y329" s="10" t="s">
        <v>2824</v>
      </c>
      <c r="Z329" s="10" t="s">
        <v>2892</v>
      </c>
      <c r="AA329" s="11" t="s">
        <v>4163</v>
      </c>
      <c r="AB329" s="11"/>
      <c r="AC329" s="10" t="s">
        <v>2995</v>
      </c>
    </row>
    <row r="330" customFormat="false" ht="30" hidden="false" customHeight="true" outlineLevel="0" collapsed="false">
      <c r="A330" s="12" t="s">
        <v>4164</v>
      </c>
      <c r="B330" s="12" t="s">
        <v>4165</v>
      </c>
      <c r="C330" s="12" t="s">
        <v>4070</v>
      </c>
      <c r="D330" s="12" t="s">
        <v>2903</v>
      </c>
      <c r="E330" s="12" t="s">
        <v>2413</v>
      </c>
      <c r="F330" s="12" t="s">
        <v>2414</v>
      </c>
      <c r="G330" s="13" t="s">
        <v>3007</v>
      </c>
      <c r="H330" s="12" t="s">
        <v>3018</v>
      </c>
      <c r="I330" s="12" t="s">
        <v>3009</v>
      </c>
      <c r="J330" s="13" t="s">
        <v>3465</v>
      </c>
      <c r="K330" s="13" t="s">
        <v>445</v>
      </c>
      <c r="L330" s="12" t="s">
        <v>170</v>
      </c>
      <c r="M330" s="12" t="n">
        <v>86</v>
      </c>
      <c r="N330" s="12" t="n">
        <v>375</v>
      </c>
      <c r="O330" s="13" t="s">
        <v>2785</v>
      </c>
      <c r="P330" s="12" t="s">
        <v>3041</v>
      </c>
      <c r="Q330" s="13" t="s">
        <v>4166</v>
      </c>
      <c r="R330" s="13" t="s">
        <v>2991</v>
      </c>
      <c r="S330" s="13"/>
      <c r="T330" s="13"/>
      <c r="U330" s="12" t="s">
        <v>3466</v>
      </c>
      <c r="V330" s="13"/>
      <c r="W330" s="12" t="s">
        <v>3239</v>
      </c>
      <c r="X330" s="13"/>
      <c r="Y330" s="12" t="s">
        <v>2824</v>
      </c>
      <c r="Z330" s="12" t="s">
        <v>2892</v>
      </c>
      <c r="AA330" s="13" t="s">
        <v>3640</v>
      </c>
      <c r="AB330" s="13" t="s">
        <v>4167</v>
      </c>
      <c r="AC330" s="12" t="s">
        <v>3014</v>
      </c>
    </row>
    <row r="331" customFormat="false" ht="30" hidden="false" customHeight="true" outlineLevel="0" collapsed="false">
      <c r="A331" s="10" t="s">
        <v>4168</v>
      </c>
      <c r="B331" s="10" t="s">
        <v>4169</v>
      </c>
      <c r="C331" s="10" t="s">
        <v>4070</v>
      </c>
      <c r="D331" s="10" t="s">
        <v>2984</v>
      </c>
      <c r="E331" s="10" t="s">
        <v>1823</v>
      </c>
      <c r="F331" s="10" t="s">
        <v>1824</v>
      </c>
      <c r="G331" s="11" t="s">
        <v>3080</v>
      </c>
      <c r="H331" s="10" t="s">
        <v>3018</v>
      </c>
      <c r="I331" s="10" t="s">
        <v>3093</v>
      </c>
      <c r="J331" s="11" t="s">
        <v>3474</v>
      </c>
      <c r="K331" s="11" t="s">
        <v>452</v>
      </c>
      <c r="L331" s="10" t="s">
        <v>177</v>
      </c>
      <c r="M331" s="10" t="n">
        <v>79</v>
      </c>
      <c r="N331" s="10" t="n">
        <v>350</v>
      </c>
      <c r="O331" s="11" t="s">
        <v>3031</v>
      </c>
      <c r="P331" s="10" t="s">
        <v>3011</v>
      </c>
      <c r="Q331" s="11"/>
      <c r="R331" s="11" t="s">
        <v>2991</v>
      </c>
      <c r="S331" s="11"/>
      <c r="T331" s="11"/>
      <c r="U331" s="10"/>
      <c r="V331" s="11"/>
      <c r="W331" s="10"/>
      <c r="X331" s="11"/>
      <c r="Y331" s="10" t="s">
        <v>2884</v>
      </c>
      <c r="Z331" s="10" t="s">
        <v>2886</v>
      </c>
      <c r="AA331" s="11" t="s">
        <v>4170</v>
      </c>
      <c r="AB331" s="11"/>
      <c r="AC331" s="10" t="s">
        <v>2995</v>
      </c>
    </row>
    <row r="332" customFormat="false" ht="30" hidden="false" customHeight="true" outlineLevel="0" collapsed="false">
      <c r="A332" s="12" t="s">
        <v>4171</v>
      </c>
      <c r="B332" s="12" t="s">
        <v>4172</v>
      </c>
      <c r="C332" s="12" t="s">
        <v>4070</v>
      </c>
      <c r="D332" s="12" t="s">
        <v>2903</v>
      </c>
      <c r="E332" s="12" t="s">
        <v>2405</v>
      </c>
      <c r="F332" s="12" t="s">
        <v>2406</v>
      </c>
      <c r="G332" s="13" t="s">
        <v>3088</v>
      </c>
      <c r="H332" s="12" t="s">
        <v>2999</v>
      </c>
      <c r="I332" s="12" t="s">
        <v>2987</v>
      </c>
      <c r="J332" s="13" t="s">
        <v>1026</v>
      </c>
      <c r="K332" s="13" t="s">
        <v>448</v>
      </c>
      <c r="L332" s="12" t="s">
        <v>170</v>
      </c>
      <c r="M332" s="12" t="n">
        <v>84</v>
      </c>
      <c r="N332" s="12" t="n">
        <v>335</v>
      </c>
      <c r="O332" s="13" t="s">
        <v>2785</v>
      </c>
      <c r="P332" s="12" t="s">
        <v>3041</v>
      </c>
      <c r="Q332" s="13" t="s">
        <v>3237</v>
      </c>
      <c r="R332" s="13" t="s">
        <v>2991</v>
      </c>
      <c r="S332" s="13"/>
      <c r="T332" s="13"/>
      <c r="U332" s="12"/>
      <c r="V332" s="13"/>
      <c r="W332" s="12" t="s">
        <v>3104</v>
      </c>
      <c r="X332" s="13"/>
      <c r="Y332" s="12" t="s">
        <v>2824</v>
      </c>
      <c r="Z332" s="12" t="s">
        <v>2892</v>
      </c>
      <c r="AA332" s="13" t="s">
        <v>4173</v>
      </c>
      <c r="AB332" s="13"/>
      <c r="AC332" s="12" t="s">
        <v>3216</v>
      </c>
    </row>
    <row r="333" customFormat="false" ht="30" hidden="false" customHeight="true" outlineLevel="0" collapsed="false">
      <c r="A333" s="10" t="s">
        <v>4174</v>
      </c>
      <c r="B333" s="10" t="s">
        <v>4175</v>
      </c>
      <c r="C333" s="10" t="s">
        <v>4070</v>
      </c>
      <c r="D333" s="10" t="s">
        <v>2984</v>
      </c>
      <c r="E333" s="10" t="s">
        <v>1935</v>
      </c>
      <c r="F333" s="10" t="s">
        <v>1936</v>
      </c>
      <c r="G333" s="11" t="s">
        <v>3039</v>
      </c>
      <c r="H333" s="10" t="s">
        <v>2999</v>
      </c>
      <c r="I333" s="10" t="s">
        <v>2987</v>
      </c>
      <c r="J333" s="11" t="s">
        <v>4176</v>
      </c>
      <c r="K333" s="11" t="s">
        <v>429</v>
      </c>
      <c r="L333" s="10" t="s">
        <v>184</v>
      </c>
      <c r="M333" s="10" t="n">
        <v>87</v>
      </c>
      <c r="N333" s="10" t="n">
        <v>460</v>
      </c>
      <c r="O333" s="11" t="s">
        <v>2792</v>
      </c>
      <c r="P333" s="10" t="s">
        <v>2989</v>
      </c>
      <c r="Q333" s="11" t="s">
        <v>3067</v>
      </c>
      <c r="R333" s="11" t="s">
        <v>3201</v>
      </c>
      <c r="S333" s="11"/>
      <c r="T333" s="11"/>
      <c r="U333" s="10"/>
      <c r="V333" s="11"/>
      <c r="W333" s="10" t="s">
        <v>3104</v>
      </c>
      <c r="X333" s="11"/>
      <c r="Y333" s="10" t="s">
        <v>2888</v>
      </c>
      <c r="Z333" s="10" t="s">
        <v>1509</v>
      </c>
      <c r="AA333" s="11" t="s">
        <v>4177</v>
      </c>
      <c r="AB333" s="11" t="s">
        <v>4178</v>
      </c>
      <c r="AC333" s="10" t="s">
        <v>2995</v>
      </c>
    </row>
    <row r="334" customFormat="false" ht="30" hidden="false" customHeight="true" outlineLevel="0" collapsed="false">
      <c r="A334" s="12" t="s">
        <v>4179</v>
      </c>
      <c r="B334" s="12" t="s">
        <v>4180</v>
      </c>
      <c r="C334" s="12" t="s">
        <v>4070</v>
      </c>
      <c r="D334" s="12" t="s">
        <v>2903</v>
      </c>
      <c r="E334" s="12" t="s">
        <v>2405</v>
      </c>
      <c r="F334" s="12" t="s">
        <v>2406</v>
      </c>
      <c r="G334" s="13" t="s">
        <v>3053</v>
      </c>
      <c r="H334" s="12" t="s">
        <v>3018</v>
      </c>
      <c r="I334" s="12" t="s">
        <v>3023</v>
      </c>
      <c r="J334" s="13" t="s">
        <v>38</v>
      </c>
      <c r="K334" s="13" t="s">
        <v>452</v>
      </c>
      <c r="L334" s="12" t="s">
        <v>191</v>
      </c>
      <c r="M334" s="12" t="n">
        <v>43</v>
      </c>
      <c r="N334" s="12" t="n">
        <v>240</v>
      </c>
      <c r="O334" s="13" t="s">
        <v>3000</v>
      </c>
      <c r="P334" s="12" t="s">
        <v>2989</v>
      </c>
      <c r="Q334" s="13" t="s">
        <v>4181</v>
      </c>
      <c r="R334" s="13" t="s">
        <v>3055</v>
      </c>
      <c r="S334" s="13"/>
      <c r="T334" s="13"/>
      <c r="U334" s="12" t="s">
        <v>4182</v>
      </c>
      <c r="V334" s="13"/>
      <c r="W334" s="12"/>
      <c r="X334" s="13"/>
      <c r="Y334" s="12" t="s">
        <v>2888</v>
      </c>
      <c r="Z334" s="12" t="s">
        <v>1509</v>
      </c>
      <c r="AA334" s="13" t="s">
        <v>4183</v>
      </c>
      <c r="AB334" s="13" t="s">
        <v>3691</v>
      </c>
      <c r="AC334" s="12" t="s">
        <v>3014</v>
      </c>
    </row>
    <row r="335" customFormat="false" ht="30" hidden="false" customHeight="true" outlineLevel="0" collapsed="false">
      <c r="A335" s="10" t="s">
        <v>4184</v>
      </c>
      <c r="B335" s="10" t="s">
        <v>4185</v>
      </c>
      <c r="C335" s="10" t="s">
        <v>4070</v>
      </c>
      <c r="D335" s="10" t="s">
        <v>2984</v>
      </c>
      <c r="E335" s="10" t="s">
        <v>1849</v>
      </c>
      <c r="F335" s="10" t="s">
        <v>1850</v>
      </c>
      <c r="G335" s="11" t="s">
        <v>3048</v>
      </c>
      <c r="H335" s="10" t="s">
        <v>3018</v>
      </c>
      <c r="I335" s="10" t="s">
        <v>3023</v>
      </c>
      <c r="J335" s="11" t="s">
        <v>1259</v>
      </c>
      <c r="K335" s="11" t="s">
        <v>452</v>
      </c>
      <c r="L335" s="10" t="s">
        <v>170</v>
      </c>
      <c r="M335" s="10" t="n">
        <v>82</v>
      </c>
      <c r="N335" s="10" t="n">
        <v>270</v>
      </c>
      <c r="O335" s="11" t="s">
        <v>2785</v>
      </c>
      <c r="P335" s="10" t="s">
        <v>3011</v>
      </c>
      <c r="Q335" s="11"/>
      <c r="R335" s="11" t="s">
        <v>2991</v>
      </c>
      <c r="S335" s="11"/>
      <c r="T335" s="11"/>
      <c r="U335" s="10"/>
      <c r="V335" s="11"/>
      <c r="W335" s="10"/>
      <c r="X335" s="11"/>
      <c r="Y335" s="10" t="s">
        <v>2884</v>
      </c>
      <c r="Z335" s="10" t="s">
        <v>2886</v>
      </c>
      <c r="AA335" s="11" t="s">
        <v>4186</v>
      </c>
      <c r="AB335" s="11"/>
      <c r="AC335" s="10" t="s">
        <v>2995</v>
      </c>
    </row>
    <row r="336" customFormat="false" ht="30" hidden="false" customHeight="true" outlineLevel="0" collapsed="false">
      <c r="A336" s="12" t="s">
        <v>4187</v>
      </c>
      <c r="B336" s="12" t="s">
        <v>4188</v>
      </c>
      <c r="C336" s="12" t="s">
        <v>4070</v>
      </c>
      <c r="D336" s="12" t="s">
        <v>2903</v>
      </c>
      <c r="E336" s="12" t="s">
        <v>2410</v>
      </c>
      <c r="F336" s="12" t="s">
        <v>2411</v>
      </c>
      <c r="G336" s="13" t="s">
        <v>3007</v>
      </c>
      <c r="H336" s="12" t="s">
        <v>3008</v>
      </c>
      <c r="I336" s="12" t="s">
        <v>2987</v>
      </c>
      <c r="J336" s="13" t="s">
        <v>4189</v>
      </c>
      <c r="K336" s="13" t="s">
        <v>438</v>
      </c>
      <c r="L336" s="12" t="s">
        <v>170</v>
      </c>
      <c r="M336" s="12" t="n">
        <v>87</v>
      </c>
      <c r="N336" s="12" t="n">
        <v>320</v>
      </c>
      <c r="O336" s="13" t="s">
        <v>2785</v>
      </c>
      <c r="P336" s="12" t="s">
        <v>2989</v>
      </c>
      <c r="Q336" s="13" t="s">
        <v>3118</v>
      </c>
      <c r="R336" s="13" t="s">
        <v>2991</v>
      </c>
      <c r="S336" s="13"/>
      <c r="T336" s="13"/>
      <c r="U336" s="12"/>
      <c r="V336" s="13"/>
      <c r="W336" s="12"/>
      <c r="X336" s="13" t="s">
        <v>4190</v>
      </c>
      <c r="Y336" s="12" t="s">
        <v>2888</v>
      </c>
      <c r="Z336" s="12" t="s">
        <v>1509</v>
      </c>
      <c r="AA336" s="13" t="s">
        <v>4191</v>
      </c>
      <c r="AB336" s="13" t="s">
        <v>4192</v>
      </c>
      <c r="AC336" s="12" t="s">
        <v>3014</v>
      </c>
    </row>
    <row r="337" customFormat="false" ht="30" hidden="false" customHeight="true" outlineLevel="0" collapsed="false">
      <c r="A337" s="10" t="s">
        <v>4193</v>
      </c>
      <c r="B337" s="10" t="s">
        <v>4194</v>
      </c>
      <c r="C337" s="10" t="s">
        <v>4070</v>
      </c>
      <c r="D337" s="10" t="s">
        <v>2903</v>
      </c>
      <c r="E337" s="10" t="s">
        <v>2389</v>
      </c>
      <c r="F337" s="10" t="s">
        <v>2127</v>
      </c>
      <c r="G337" s="11" t="s">
        <v>2985</v>
      </c>
      <c r="H337" s="10" t="s">
        <v>2999</v>
      </c>
      <c r="I337" s="10" t="s">
        <v>2987</v>
      </c>
      <c r="J337" s="11" t="s">
        <v>3990</v>
      </c>
      <c r="K337" s="11" t="s">
        <v>441</v>
      </c>
      <c r="L337" s="10" t="s">
        <v>184</v>
      </c>
      <c r="M337" s="10" t="n">
        <v>89</v>
      </c>
      <c r="N337" s="10" t="n">
        <v>500</v>
      </c>
      <c r="O337" s="11" t="s">
        <v>2792</v>
      </c>
      <c r="P337" s="10" t="s">
        <v>2989</v>
      </c>
      <c r="Q337" s="11" t="s">
        <v>3338</v>
      </c>
      <c r="R337" s="11" t="s">
        <v>3688</v>
      </c>
      <c r="S337" s="11"/>
      <c r="T337" s="11"/>
      <c r="U337" s="10" t="s">
        <v>4103</v>
      </c>
      <c r="V337" s="11" t="s">
        <v>4195</v>
      </c>
      <c r="W337" s="10"/>
      <c r="X337" s="11" t="s">
        <v>4196</v>
      </c>
      <c r="Y337" s="10" t="s">
        <v>2900</v>
      </c>
      <c r="Z337" s="10" t="s">
        <v>1509</v>
      </c>
      <c r="AA337" s="11" t="s">
        <v>4197</v>
      </c>
      <c r="AB337" s="11" t="s">
        <v>3691</v>
      </c>
      <c r="AC337" s="10" t="s">
        <v>3834</v>
      </c>
    </row>
    <row r="338" customFormat="false" ht="30" hidden="false" customHeight="true" outlineLevel="0" collapsed="false">
      <c r="A338" s="12" t="s">
        <v>4198</v>
      </c>
      <c r="B338" s="12" t="s">
        <v>4199</v>
      </c>
      <c r="C338" s="12" t="s">
        <v>4070</v>
      </c>
      <c r="D338" s="12" t="s">
        <v>2984</v>
      </c>
      <c r="E338" s="12" t="s">
        <v>1973</v>
      </c>
      <c r="F338" s="12" t="s">
        <v>1974</v>
      </c>
      <c r="G338" s="13" t="s">
        <v>3058</v>
      </c>
      <c r="H338" s="12" t="s">
        <v>2986</v>
      </c>
      <c r="I338" s="12" t="s">
        <v>2987</v>
      </c>
      <c r="J338" s="13" t="s">
        <v>1073</v>
      </c>
      <c r="K338" s="13" t="s">
        <v>452</v>
      </c>
      <c r="L338" s="12" t="s">
        <v>170</v>
      </c>
      <c r="M338" s="12" t="n">
        <v>84</v>
      </c>
      <c r="N338" s="12" t="n">
        <v>285</v>
      </c>
      <c r="O338" s="13" t="s">
        <v>2785</v>
      </c>
      <c r="P338" s="12" t="s">
        <v>2989</v>
      </c>
      <c r="Q338" s="13"/>
      <c r="R338" s="13" t="s">
        <v>2991</v>
      </c>
      <c r="S338" s="13"/>
      <c r="T338" s="13"/>
      <c r="U338" s="12"/>
      <c r="V338" s="13"/>
      <c r="W338" s="12"/>
      <c r="X338" s="13" t="s">
        <v>4200</v>
      </c>
      <c r="Y338" s="12" t="s">
        <v>2903</v>
      </c>
      <c r="Z338" s="12" t="s">
        <v>2904</v>
      </c>
      <c r="AA338" s="13" t="s">
        <v>4201</v>
      </c>
      <c r="AB338" s="13"/>
      <c r="AC338" s="12" t="s">
        <v>2995</v>
      </c>
    </row>
    <row r="339" customFormat="false" ht="30" hidden="false" customHeight="true" outlineLevel="0" collapsed="false">
      <c r="A339" s="10" t="s">
        <v>4202</v>
      </c>
      <c r="B339" s="10" t="s">
        <v>4203</v>
      </c>
      <c r="C339" s="10" t="s">
        <v>4070</v>
      </c>
      <c r="D339" s="10" t="s">
        <v>2903</v>
      </c>
      <c r="E339" s="10" t="s">
        <v>2394</v>
      </c>
      <c r="F339" s="10" t="s">
        <v>2395</v>
      </c>
      <c r="G339" s="11" t="s">
        <v>3029</v>
      </c>
      <c r="H339" s="10" t="s">
        <v>3072</v>
      </c>
      <c r="I339" s="10" t="s">
        <v>3009</v>
      </c>
      <c r="J339" s="11" t="s">
        <v>4204</v>
      </c>
      <c r="K339" s="11" t="s">
        <v>452</v>
      </c>
      <c r="L339" s="10" t="s">
        <v>177</v>
      </c>
      <c r="M339" s="10" t="n">
        <v>86</v>
      </c>
      <c r="N339" s="10" t="n">
        <v>425</v>
      </c>
      <c r="O339" s="11" t="s">
        <v>3031</v>
      </c>
      <c r="P339" s="10" t="s">
        <v>2989</v>
      </c>
      <c r="Q339" s="11" t="s">
        <v>4128</v>
      </c>
      <c r="R339" s="11" t="s">
        <v>2991</v>
      </c>
      <c r="S339" s="11"/>
      <c r="T339" s="11"/>
      <c r="U339" s="10" t="s">
        <v>3466</v>
      </c>
      <c r="V339" s="11"/>
      <c r="W339" s="10"/>
      <c r="X339" s="11" t="s">
        <v>4205</v>
      </c>
      <c r="Y339" s="10" t="s">
        <v>2888</v>
      </c>
      <c r="Z339" s="10" t="s">
        <v>1509</v>
      </c>
      <c r="AA339" s="11" t="s">
        <v>4206</v>
      </c>
      <c r="AB339" s="11"/>
      <c r="AC339" s="10" t="s">
        <v>3014</v>
      </c>
    </row>
    <row r="340" customFormat="false" ht="30" hidden="false" customHeight="true" outlineLevel="0" collapsed="false">
      <c r="A340" s="12" t="s">
        <v>4207</v>
      </c>
      <c r="B340" s="12" t="s">
        <v>4208</v>
      </c>
      <c r="C340" s="12" t="s">
        <v>4070</v>
      </c>
      <c r="D340" s="12" t="s">
        <v>2984</v>
      </c>
      <c r="E340" s="12" t="s">
        <v>2074</v>
      </c>
      <c r="F340" s="12" t="s">
        <v>2075</v>
      </c>
      <c r="G340" s="13" t="s">
        <v>3022</v>
      </c>
      <c r="H340" s="12" t="s">
        <v>3072</v>
      </c>
      <c r="I340" s="12" t="s">
        <v>3073</v>
      </c>
      <c r="J340" s="13" t="s">
        <v>1291</v>
      </c>
      <c r="K340" s="13" t="s">
        <v>452</v>
      </c>
      <c r="L340" s="12" t="s">
        <v>191</v>
      </c>
      <c r="M340" s="12" t="n">
        <v>49</v>
      </c>
      <c r="N340" s="12" t="n">
        <v>540</v>
      </c>
      <c r="O340" s="13" t="s">
        <v>3024</v>
      </c>
      <c r="P340" s="12" t="s">
        <v>2989</v>
      </c>
      <c r="Q340" s="13" t="s">
        <v>3025</v>
      </c>
      <c r="R340" s="13" t="s">
        <v>2991</v>
      </c>
      <c r="S340" s="13"/>
      <c r="T340" s="13" t="s">
        <v>4209</v>
      </c>
      <c r="U340" s="12"/>
      <c r="V340" s="13"/>
      <c r="W340" s="12" t="s">
        <v>3104</v>
      </c>
      <c r="X340" s="13"/>
      <c r="Y340" s="12" t="s">
        <v>2888</v>
      </c>
      <c r="Z340" s="12" t="s">
        <v>1509</v>
      </c>
      <c r="AA340" s="13" t="s">
        <v>4210</v>
      </c>
      <c r="AB340" s="13"/>
      <c r="AC340" s="12" t="s">
        <v>2995</v>
      </c>
    </row>
    <row r="341" customFormat="false" ht="30" hidden="false" customHeight="true" outlineLevel="0" collapsed="false">
      <c r="A341" s="10" t="s">
        <v>4211</v>
      </c>
      <c r="B341" s="10" t="s">
        <v>4212</v>
      </c>
      <c r="C341" s="10" t="s">
        <v>4070</v>
      </c>
      <c r="D341" s="10" t="s">
        <v>2984</v>
      </c>
      <c r="E341" s="10" t="s">
        <v>1931</v>
      </c>
      <c r="F341" s="10" t="s">
        <v>1932</v>
      </c>
      <c r="G341" s="11" t="s">
        <v>3071</v>
      </c>
      <c r="H341" s="10" t="s">
        <v>3049</v>
      </c>
      <c r="I341" s="10" t="s">
        <v>3093</v>
      </c>
      <c r="J341" s="11" t="s">
        <v>3140</v>
      </c>
      <c r="K341" s="11" t="s">
        <v>452</v>
      </c>
      <c r="L341" s="10" t="s">
        <v>177</v>
      </c>
      <c r="M341" s="10" t="n">
        <v>85</v>
      </c>
      <c r="N341" s="10" t="n">
        <v>370</v>
      </c>
      <c r="O341" s="11" t="s">
        <v>3031</v>
      </c>
      <c r="P341" s="10" t="s">
        <v>2989</v>
      </c>
      <c r="Q341" s="11" t="s">
        <v>3354</v>
      </c>
      <c r="R341" s="11" t="s">
        <v>2991</v>
      </c>
      <c r="S341" s="11"/>
      <c r="T341" s="11"/>
      <c r="U341" s="10"/>
      <c r="V341" s="11"/>
      <c r="W341" s="10"/>
      <c r="X341" s="11" t="s">
        <v>4213</v>
      </c>
      <c r="Y341" s="10" t="s">
        <v>2888</v>
      </c>
      <c r="Z341" s="10" t="s">
        <v>1509</v>
      </c>
      <c r="AA341" s="11" t="s">
        <v>4002</v>
      </c>
      <c r="AB341" s="11"/>
      <c r="AC341" s="10" t="s">
        <v>3700</v>
      </c>
    </row>
    <row r="342" customFormat="false" ht="30" hidden="false" customHeight="true" outlineLevel="0" collapsed="false">
      <c r="A342" s="12" t="s">
        <v>4214</v>
      </c>
      <c r="B342" s="12" t="s">
        <v>4215</v>
      </c>
      <c r="C342" s="12" t="s">
        <v>4070</v>
      </c>
      <c r="D342" s="12" t="s">
        <v>2984</v>
      </c>
      <c r="E342" s="12" t="s">
        <v>1851</v>
      </c>
      <c r="F342" s="12" t="s">
        <v>1852</v>
      </c>
      <c r="G342" s="13" t="s">
        <v>3092</v>
      </c>
      <c r="H342" s="12" t="s">
        <v>2986</v>
      </c>
      <c r="I342" s="12" t="s">
        <v>2987</v>
      </c>
      <c r="J342" s="13" t="s">
        <v>1212</v>
      </c>
      <c r="K342" s="13" t="s">
        <v>433</v>
      </c>
      <c r="L342" s="12" t="s">
        <v>170</v>
      </c>
      <c r="M342" s="12" t="n">
        <v>82</v>
      </c>
      <c r="N342" s="12" t="n">
        <v>290</v>
      </c>
      <c r="O342" s="13" t="s">
        <v>2785</v>
      </c>
      <c r="P342" s="12" t="s">
        <v>3011</v>
      </c>
      <c r="Q342" s="13"/>
      <c r="R342" s="13" t="s">
        <v>2991</v>
      </c>
      <c r="S342" s="13"/>
      <c r="T342" s="13"/>
      <c r="U342" s="12"/>
      <c r="V342" s="13"/>
      <c r="W342" s="12"/>
      <c r="X342" s="13"/>
      <c r="Y342" s="12" t="s">
        <v>2884</v>
      </c>
      <c r="Z342" s="12" t="s">
        <v>2886</v>
      </c>
      <c r="AA342" s="13" t="s">
        <v>4216</v>
      </c>
      <c r="AB342" s="13"/>
      <c r="AC342" s="12" t="s">
        <v>2995</v>
      </c>
    </row>
    <row r="343" customFormat="false" ht="30" hidden="false" customHeight="true" outlineLevel="0" collapsed="false">
      <c r="A343" s="10" t="s">
        <v>4217</v>
      </c>
      <c r="B343" s="10" t="s">
        <v>4218</v>
      </c>
      <c r="C343" s="10" t="s">
        <v>4070</v>
      </c>
      <c r="D343" s="10" t="s">
        <v>2984</v>
      </c>
      <c r="E343" s="10" t="s">
        <v>1959</v>
      </c>
      <c r="F343" s="10" t="s">
        <v>1960</v>
      </c>
      <c r="G343" s="11" t="s">
        <v>3062</v>
      </c>
      <c r="H343" s="10" t="s">
        <v>3018</v>
      </c>
      <c r="I343" s="10" t="s">
        <v>2987</v>
      </c>
      <c r="J343" s="11" t="s">
        <v>1201</v>
      </c>
      <c r="K343" s="11" t="s">
        <v>452</v>
      </c>
      <c r="L343" s="10" t="s">
        <v>170</v>
      </c>
      <c r="M343" s="10" t="n">
        <v>82</v>
      </c>
      <c r="N343" s="10" t="n">
        <v>295</v>
      </c>
      <c r="O343" s="11" t="s">
        <v>2785</v>
      </c>
      <c r="P343" s="10" t="s">
        <v>3011</v>
      </c>
      <c r="Q343" s="11"/>
      <c r="R343" s="11" t="s">
        <v>2991</v>
      </c>
      <c r="S343" s="11"/>
      <c r="T343" s="11"/>
      <c r="U343" s="10"/>
      <c r="V343" s="11"/>
      <c r="W343" s="10"/>
      <c r="X343" s="11"/>
      <c r="Y343" s="10" t="s">
        <v>2884</v>
      </c>
      <c r="Z343" s="10" t="s">
        <v>2886</v>
      </c>
      <c r="AA343" s="11" t="s">
        <v>4219</v>
      </c>
      <c r="AB343" s="11"/>
      <c r="AC343" s="10" t="s">
        <v>2995</v>
      </c>
    </row>
    <row r="344" customFormat="false" ht="30" hidden="false" customHeight="true" outlineLevel="0" collapsed="false">
      <c r="A344" s="12" t="s">
        <v>4220</v>
      </c>
      <c r="B344" s="12" t="s">
        <v>4221</v>
      </c>
      <c r="C344" s="12" t="s">
        <v>4070</v>
      </c>
      <c r="D344" s="12" t="s">
        <v>2984</v>
      </c>
      <c r="E344" s="12" t="s">
        <v>1899</v>
      </c>
      <c r="F344" s="12" t="s">
        <v>1900</v>
      </c>
      <c r="G344" s="13" t="s">
        <v>3058</v>
      </c>
      <c r="H344" s="12" t="s">
        <v>3018</v>
      </c>
      <c r="I344" s="12" t="s">
        <v>2987</v>
      </c>
      <c r="J344" s="13" t="s">
        <v>1231</v>
      </c>
      <c r="K344" s="13" t="s">
        <v>452</v>
      </c>
      <c r="L344" s="12" t="s">
        <v>170</v>
      </c>
      <c r="M344" s="12" t="n">
        <v>85</v>
      </c>
      <c r="N344" s="12" t="n">
        <v>300</v>
      </c>
      <c r="O344" s="13" t="s">
        <v>2785</v>
      </c>
      <c r="P344" s="12" t="s">
        <v>2989</v>
      </c>
      <c r="Q344" s="13" t="s">
        <v>3025</v>
      </c>
      <c r="R344" s="13" t="s">
        <v>2991</v>
      </c>
      <c r="S344" s="13"/>
      <c r="T344" s="13"/>
      <c r="U344" s="12"/>
      <c r="V344" s="13"/>
      <c r="W344" s="12"/>
      <c r="X344" s="13" t="s">
        <v>4222</v>
      </c>
      <c r="Y344" s="12" t="s">
        <v>2888</v>
      </c>
      <c r="Z344" s="12" t="s">
        <v>1509</v>
      </c>
      <c r="AA344" s="13" t="s">
        <v>4223</v>
      </c>
      <c r="AB344" s="13"/>
      <c r="AC344" s="12" t="s">
        <v>2995</v>
      </c>
    </row>
    <row r="345" customFormat="false" ht="30" hidden="false" customHeight="true" outlineLevel="0" collapsed="false">
      <c r="A345" s="10" t="s">
        <v>4224</v>
      </c>
      <c r="B345" s="10" t="s">
        <v>4225</v>
      </c>
      <c r="C345" s="10" t="s">
        <v>4070</v>
      </c>
      <c r="D345" s="10" t="s">
        <v>2984</v>
      </c>
      <c r="E345" s="10" t="s">
        <v>2052</v>
      </c>
      <c r="F345" s="10" t="s">
        <v>2053</v>
      </c>
      <c r="G345" s="11" t="s">
        <v>3071</v>
      </c>
      <c r="H345" s="10" t="s">
        <v>3072</v>
      </c>
      <c r="I345" s="10" t="s">
        <v>3073</v>
      </c>
      <c r="J345" s="11" t="s">
        <v>1299</v>
      </c>
      <c r="K345" s="11" t="s">
        <v>414</v>
      </c>
      <c r="L345" s="10" t="s">
        <v>170</v>
      </c>
      <c r="M345" s="10" t="n">
        <v>83</v>
      </c>
      <c r="N345" s="10" t="n">
        <v>325</v>
      </c>
      <c r="O345" s="11" t="s">
        <v>2785</v>
      </c>
      <c r="P345" s="10" t="s">
        <v>3041</v>
      </c>
      <c r="Q345" s="11" t="s">
        <v>3237</v>
      </c>
      <c r="R345" s="11" t="s">
        <v>2991</v>
      </c>
      <c r="S345" s="11"/>
      <c r="T345" s="11"/>
      <c r="U345" s="10"/>
      <c r="V345" s="11"/>
      <c r="W345" s="10" t="s">
        <v>3440</v>
      </c>
      <c r="X345" s="11"/>
      <c r="Y345" s="10" t="s">
        <v>2824</v>
      </c>
      <c r="Z345" s="10" t="s">
        <v>2892</v>
      </c>
      <c r="AA345" s="11" t="s">
        <v>4226</v>
      </c>
      <c r="AB345" s="11"/>
      <c r="AC345" s="10" t="s">
        <v>2995</v>
      </c>
    </row>
    <row r="346" customFormat="false" ht="30" hidden="false" customHeight="true" outlineLevel="0" collapsed="false">
      <c r="A346" s="12" t="s">
        <v>4227</v>
      </c>
      <c r="B346" s="12" t="s">
        <v>4228</v>
      </c>
      <c r="C346" s="12" t="s">
        <v>4070</v>
      </c>
      <c r="D346" s="12" t="s">
        <v>2984</v>
      </c>
      <c r="E346" s="12" t="s">
        <v>1843</v>
      </c>
      <c r="F346" s="12" t="s">
        <v>1844</v>
      </c>
      <c r="G346" s="13" t="s">
        <v>3007</v>
      </c>
      <c r="H346" s="12" t="s">
        <v>2999</v>
      </c>
      <c r="I346" s="12" t="s">
        <v>2987</v>
      </c>
      <c r="J346" s="13" t="s">
        <v>3206</v>
      </c>
      <c r="K346" s="13" t="s">
        <v>441</v>
      </c>
      <c r="L346" s="12" t="s">
        <v>170</v>
      </c>
      <c r="M346" s="12" t="n">
        <v>88</v>
      </c>
      <c r="N346" s="12" t="n">
        <v>380</v>
      </c>
      <c r="O346" s="13" t="s">
        <v>2785</v>
      </c>
      <c r="P346" s="12" t="s">
        <v>2989</v>
      </c>
      <c r="Q346" s="13" t="s">
        <v>3067</v>
      </c>
      <c r="R346" s="13" t="s">
        <v>2991</v>
      </c>
      <c r="S346" s="13"/>
      <c r="T346" s="13"/>
      <c r="U346" s="12"/>
      <c r="V346" s="13"/>
      <c r="W346" s="12"/>
      <c r="X346" s="13" t="s">
        <v>4229</v>
      </c>
      <c r="Y346" s="12" t="s">
        <v>2900</v>
      </c>
      <c r="Z346" s="12" t="s">
        <v>1509</v>
      </c>
      <c r="AA346" s="13" t="s">
        <v>4230</v>
      </c>
      <c r="AB346" s="13"/>
      <c r="AC346" s="12" t="s">
        <v>3655</v>
      </c>
    </row>
    <row r="347" customFormat="false" ht="30" hidden="false" customHeight="true" outlineLevel="0" collapsed="false">
      <c r="A347" s="10" t="s">
        <v>4231</v>
      </c>
      <c r="B347" s="10" t="s">
        <v>4232</v>
      </c>
      <c r="C347" s="10" t="s">
        <v>4070</v>
      </c>
      <c r="D347" s="10" t="s">
        <v>2984</v>
      </c>
      <c r="E347" s="10" t="s">
        <v>1881</v>
      </c>
      <c r="F347" s="10" t="s">
        <v>1882</v>
      </c>
      <c r="G347" s="11" t="s">
        <v>2985</v>
      </c>
      <c r="H347" s="10" t="s">
        <v>2986</v>
      </c>
      <c r="I347" s="10" t="s">
        <v>2987</v>
      </c>
      <c r="J347" s="11" t="s">
        <v>1233</v>
      </c>
      <c r="K347" s="11" t="s">
        <v>433</v>
      </c>
      <c r="L347" s="10" t="s">
        <v>170</v>
      </c>
      <c r="M347" s="10" t="n">
        <v>89</v>
      </c>
      <c r="N347" s="10" t="n">
        <v>280</v>
      </c>
      <c r="O347" s="11" t="s">
        <v>2785</v>
      </c>
      <c r="P347" s="10" t="s">
        <v>3011</v>
      </c>
      <c r="Q347" s="11"/>
      <c r="R347" s="11" t="s">
        <v>2991</v>
      </c>
      <c r="S347" s="11"/>
      <c r="T347" s="11"/>
      <c r="U347" s="10"/>
      <c r="V347" s="11"/>
      <c r="W347" s="10"/>
      <c r="X347" s="11" t="s">
        <v>4233</v>
      </c>
      <c r="Y347" s="10" t="s">
        <v>2888</v>
      </c>
      <c r="Z347" s="10" t="s">
        <v>1509</v>
      </c>
      <c r="AA347" s="11" t="s">
        <v>4234</v>
      </c>
      <c r="AB347" s="11"/>
      <c r="AC347" s="10" t="s">
        <v>3655</v>
      </c>
    </row>
    <row r="348" customFormat="false" ht="30" hidden="false" customHeight="true" outlineLevel="0" collapsed="false">
      <c r="A348" s="12" t="s">
        <v>4235</v>
      </c>
      <c r="B348" s="12" t="s">
        <v>4236</v>
      </c>
      <c r="C348" s="12" t="s">
        <v>4070</v>
      </c>
      <c r="D348" s="12" t="s">
        <v>2903</v>
      </c>
      <c r="E348" s="12" t="s">
        <v>2386</v>
      </c>
      <c r="F348" s="12" t="s">
        <v>2387</v>
      </c>
      <c r="G348" s="13" t="s">
        <v>3088</v>
      </c>
      <c r="H348" s="12" t="s">
        <v>3072</v>
      </c>
      <c r="I348" s="12" t="s">
        <v>3009</v>
      </c>
      <c r="J348" s="13" t="s">
        <v>4084</v>
      </c>
      <c r="K348" s="13" t="s">
        <v>445</v>
      </c>
      <c r="L348" s="12" t="s">
        <v>177</v>
      </c>
      <c r="M348" s="12" t="n">
        <v>82</v>
      </c>
      <c r="N348" s="12" t="n">
        <v>360</v>
      </c>
      <c r="O348" s="13" t="s">
        <v>3031</v>
      </c>
      <c r="P348" s="12" t="s">
        <v>3041</v>
      </c>
      <c r="Q348" s="13" t="s">
        <v>4166</v>
      </c>
      <c r="R348" s="13" t="s">
        <v>2991</v>
      </c>
      <c r="S348" s="13"/>
      <c r="T348" s="13"/>
      <c r="U348" s="12" t="s">
        <v>3645</v>
      </c>
      <c r="V348" s="13"/>
      <c r="W348" s="12" t="s">
        <v>3044</v>
      </c>
      <c r="X348" s="13"/>
      <c r="Y348" s="12" t="s">
        <v>2824</v>
      </c>
      <c r="Z348" s="12" t="s">
        <v>2892</v>
      </c>
      <c r="AA348" s="13" t="s">
        <v>4237</v>
      </c>
      <c r="AB348" s="13" t="s">
        <v>4238</v>
      </c>
      <c r="AC348" s="12" t="s">
        <v>3014</v>
      </c>
    </row>
    <row r="349" customFormat="false" ht="30" hidden="false" customHeight="true" outlineLevel="0" collapsed="false">
      <c r="A349" s="10" t="s">
        <v>4239</v>
      </c>
      <c r="B349" s="10" t="s">
        <v>4240</v>
      </c>
      <c r="C349" s="10" t="s">
        <v>4070</v>
      </c>
      <c r="D349" s="10" t="s">
        <v>2903</v>
      </c>
      <c r="E349" s="10" t="s">
        <v>2408</v>
      </c>
      <c r="F349" s="10" t="s">
        <v>2409</v>
      </c>
      <c r="G349" s="11" t="s">
        <v>3065</v>
      </c>
      <c r="H349" s="10" t="s">
        <v>3008</v>
      </c>
      <c r="I349" s="10" t="s">
        <v>2987</v>
      </c>
      <c r="J349" s="11" t="s">
        <v>1062</v>
      </c>
      <c r="K349" s="11" t="s">
        <v>438</v>
      </c>
      <c r="L349" s="10" t="s">
        <v>191</v>
      </c>
      <c r="M349" s="10" t="n">
        <v>48</v>
      </c>
      <c r="N349" s="10" t="n">
        <v>555</v>
      </c>
      <c r="O349" s="11" t="s">
        <v>3024</v>
      </c>
      <c r="P349" s="10" t="s">
        <v>2989</v>
      </c>
      <c r="Q349" s="11" t="s">
        <v>3214</v>
      </c>
      <c r="R349" s="11" t="s">
        <v>4241</v>
      </c>
      <c r="S349" s="11"/>
      <c r="T349" s="11"/>
      <c r="U349" s="10" t="s">
        <v>4242</v>
      </c>
      <c r="V349" s="11"/>
      <c r="W349" s="10"/>
      <c r="X349" s="11"/>
      <c r="Y349" s="10" t="s">
        <v>2888</v>
      </c>
      <c r="Z349" s="10" t="s">
        <v>1509</v>
      </c>
      <c r="AA349" s="11" t="s">
        <v>4243</v>
      </c>
      <c r="AB349" s="11" t="s">
        <v>4147</v>
      </c>
      <c r="AC349" s="10" t="s">
        <v>3014</v>
      </c>
    </row>
    <row r="350" customFormat="false" ht="30" hidden="false" customHeight="true" outlineLevel="0" collapsed="false">
      <c r="A350" s="12" t="s">
        <v>4244</v>
      </c>
      <c r="B350" s="12" t="s">
        <v>4245</v>
      </c>
      <c r="C350" s="12" t="s">
        <v>4070</v>
      </c>
      <c r="D350" s="12" t="s">
        <v>2984</v>
      </c>
      <c r="E350" s="12" t="s">
        <v>2140</v>
      </c>
      <c r="F350" s="12" t="s">
        <v>2141</v>
      </c>
      <c r="G350" s="13" t="s">
        <v>3112</v>
      </c>
      <c r="H350" s="12" t="s">
        <v>3072</v>
      </c>
      <c r="I350" s="12" t="s">
        <v>3073</v>
      </c>
      <c r="J350" s="13" t="s">
        <v>1299</v>
      </c>
      <c r="K350" s="13" t="s">
        <v>452</v>
      </c>
      <c r="L350" s="12" t="s">
        <v>191</v>
      </c>
      <c r="M350" s="12" t="n">
        <v>50</v>
      </c>
      <c r="N350" s="12" t="n">
        <v>545</v>
      </c>
      <c r="O350" s="13" t="s">
        <v>3024</v>
      </c>
      <c r="P350" s="12" t="s">
        <v>2989</v>
      </c>
      <c r="Q350" s="13" t="s">
        <v>3025</v>
      </c>
      <c r="R350" s="13" t="s">
        <v>2991</v>
      </c>
      <c r="S350" s="13"/>
      <c r="T350" s="13" t="s">
        <v>4246</v>
      </c>
      <c r="U350" s="12"/>
      <c r="V350" s="13"/>
      <c r="W350" s="12"/>
      <c r="X350" s="13"/>
      <c r="Y350" s="12" t="s">
        <v>2888</v>
      </c>
      <c r="Z350" s="12" t="s">
        <v>1509</v>
      </c>
      <c r="AA350" s="13" t="s">
        <v>4247</v>
      </c>
      <c r="AB350" s="13"/>
      <c r="AC350" s="12" t="s">
        <v>2995</v>
      </c>
    </row>
    <row r="351" customFormat="false" ht="30" hidden="false" customHeight="true" outlineLevel="0" collapsed="false">
      <c r="A351" s="10" t="s">
        <v>4248</v>
      </c>
      <c r="B351" s="10" t="s">
        <v>4249</v>
      </c>
      <c r="C351" s="10" t="s">
        <v>4070</v>
      </c>
      <c r="D351" s="10" t="s">
        <v>2903</v>
      </c>
      <c r="E351" s="10" t="s">
        <v>2389</v>
      </c>
      <c r="F351" s="10" t="s">
        <v>2127</v>
      </c>
      <c r="G351" s="11" t="s">
        <v>3029</v>
      </c>
      <c r="H351" s="10" t="s">
        <v>2999</v>
      </c>
      <c r="I351" s="10" t="s">
        <v>2987</v>
      </c>
      <c r="J351" s="11" t="s">
        <v>942</v>
      </c>
      <c r="K351" s="11" t="s">
        <v>441</v>
      </c>
      <c r="L351" s="10" t="s">
        <v>170</v>
      </c>
      <c r="M351" s="10" t="n">
        <v>85</v>
      </c>
      <c r="N351" s="10" t="n">
        <v>370</v>
      </c>
      <c r="O351" s="11" t="s">
        <v>2785</v>
      </c>
      <c r="P351" s="10" t="s">
        <v>2989</v>
      </c>
      <c r="Q351" s="11" t="s">
        <v>3214</v>
      </c>
      <c r="R351" s="11" t="s">
        <v>3688</v>
      </c>
      <c r="S351" s="11"/>
      <c r="T351" s="11"/>
      <c r="U351" s="10" t="s">
        <v>4182</v>
      </c>
      <c r="V351" s="11"/>
      <c r="W351" s="10"/>
      <c r="X351" s="11" t="s">
        <v>4250</v>
      </c>
      <c r="Y351" s="10" t="s">
        <v>2900</v>
      </c>
      <c r="Z351" s="10" t="s">
        <v>1509</v>
      </c>
      <c r="AA351" s="11" t="s">
        <v>4251</v>
      </c>
      <c r="AB351" s="11" t="s">
        <v>4252</v>
      </c>
      <c r="AC351" s="10" t="s">
        <v>3014</v>
      </c>
    </row>
    <row r="352" customFormat="false" ht="30" hidden="false" customHeight="true" outlineLevel="0" collapsed="false">
      <c r="A352" s="12" t="s">
        <v>4253</v>
      </c>
      <c r="B352" s="12" t="s">
        <v>4254</v>
      </c>
      <c r="C352" s="12" t="s">
        <v>4070</v>
      </c>
      <c r="D352" s="12" t="s">
        <v>2903</v>
      </c>
      <c r="E352" s="12" t="s">
        <v>2390</v>
      </c>
      <c r="F352" s="12" t="s">
        <v>2391</v>
      </c>
      <c r="G352" s="13" t="s">
        <v>2998</v>
      </c>
      <c r="H352" s="12" t="s">
        <v>3072</v>
      </c>
      <c r="I352" s="12" t="s">
        <v>3009</v>
      </c>
      <c r="J352" s="13" t="s">
        <v>866</v>
      </c>
      <c r="K352" s="13" t="s">
        <v>452</v>
      </c>
      <c r="L352" s="12" t="s">
        <v>191</v>
      </c>
      <c r="M352" s="12" t="n">
        <v>42</v>
      </c>
      <c r="N352" s="12" t="n">
        <v>235</v>
      </c>
      <c r="O352" s="13" t="s">
        <v>3000</v>
      </c>
      <c r="P352" s="12" t="s">
        <v>2989</v>
      </c>
      <c r="Q352" s="13" t="s">
        <v>4255</v>
      </c>
      <c r="R352" s="13" t="s">
        <v>2991</v>
      </c>
      <c r="S352" s="13" t="s">
        <v>3002</v>
      </c>
      <c r="T352" s="13" t="s">
        <v>4256</v>
      </c>
      <c r="U352" s="12" t="s">
        <v>3761</v>
      </c>
      <c r="V352" s="13"/>
      <c r="W352" s="12"/>
      <c r="X352" s="13"/>
      <c r="Y352" s="12" t="s">
        <v>2888</v>
      </c>
      <c r="Z352" s="12" t="s">
        <v>1509</v>
      </c>
      <c r="AA352" s="13" t="s">
        <v>4237</v>
      </c>
      <c r="AB352" s="13"/>
      <c r="AC352" s="12" t="s">
        <v>3014</v>
      </c>
    </row>
    <row r="353" customFormat="false" ht="30" hidden="false" customHeight="true" outlineLevel="0" collapsed="false">
      <c r="A353" s="10" t="s">
        <v>4257</v>
      </c>
      <c r="B353" s="10" t="s">
        <v>4258</v>
      </c>
      <c r="C353" s="10" t="s">
        <v>4070</v>
      </c>
      <c r="D353" s="10" t="s">
        <v>2903</v>
      </c>
      <c r="E353" s="10" t="s">
        <v>2382</v>
      </c>
      <c r="F353" s="10" t="s">
        <v>2383</v>
      </c>
      <c r="G353" s="11" t="s">
        <v>3062</v>
      </c>
      <c r="H353" s="10" t="s">
        <v>3008</v>
      </c>
      <c r="I353" s="10" t="s">
        <v>3009</v>
      </c>
      <c r="J353" s="11" t="s">
        <v>1062</v>
      </c>
      <c r="K353" s="11" t="s">
        <v>438</v>
      </c>
      <c r="L353" s="10" t="s">
        <v>170</v>
      </c>
      <c r="M353" s="10" t="n">
        <v>84</v>
      </c>
      <c r="N353" s="10" t="n">
        <v>300</v>
      </c>
      <c r="O353" s="11" t="s">
        <v>2785</v>
      </c>
      <c r="P353" s="10" t="s">
        <v>2989</v>
      </c>
      <c r="Q353" s="11"/>
      <c r="R353" s="11" t="s">
        <v>2991</v>
      </c>
      <c r="S353" s="11"/>
      <c r="T353" s="11"/>
      <c r="U353" s="10"/>
      <c r="V353" s="11"/>
      <c r="W353" s="10"/>
      <c r="X353" s="11" t="s">
        <v>4259</v>
      </c>
      <c r="Y353" s="10" t="s">
        <v>2900</v>
      </c>
      <c r="Z353" s="10" t="s">
        <v>1509</v>
      </c>
      <c r="AA353" s="11" t="s">
        <v>4260</v>
      </c>
      <c r="AB353" s="11"/>
      <c r="AC353" s="10" t="s">
        <v>3014</v>
      </c>
    </row>
    <row r="354" customFormat="false" ht="30" hidden="false" customHeight="true" outlineLevel="0" collapsed="false">
      <c r="A354" s="12" t="s">
        <v>4261</v>
      </c>
      <c r="B354" s="12" t="s">
        <v>4262</v>
      </c>
      <c r="C354" s="12" t="s">
        <v>4070</v>
      </c>
      <c r="D354" s="12" t="s">
        <v>2984</v>
      </c>
      <c r="E354" s="12" t="s">
        <v>1905</v>
      </c>
      <c r="F354" s="12" t="s">
        <v>1906</v>
      </c>
      <c r="G354" s="13" t="s">
        <v>3039</v>
      </c>
      <c r="H354" s="12" t="s">
        <v>3049</v>
      </c>
      <c r="I354" s="12" t="s">
        <v>2987</v>
      </c>
      <c r="J354" s="13" t="s">
        <v>1173</v>
      </c>
      <c r="K354" s="13" t="s">
        <v>452</v>
      </c>
      <c r="L354" s="12" t="s">
        <v>184</v>
      </c>
      <c r="M354" s="12" t="n">
        <v>88</v>
      </c>
      <c r="N354" s="12" t="n">
        <v>440</v>
      </c>
      <c r="O354" s="13" t="s">
        <v>2792</v>
      </c>
      <c r="P354" s="12" t="s">
        <v>2989</v>
      </c>
      <c r="Q354" s="13" t="s">
        <v>3067</v>
      </c>
      <c r="R354" s="13" t="s">
        <v>3201</v>
      </c>
      <c r="S354" s="13"/>
      <c r="T354" s="13"/>
      <c r="U354" s="12"/>
      <c r="V354" s="13" t="s">
        <v>4263</v>
      </c>
      <c r="W354" s="12"/>
      <c r="X354" s="13" t="s">
        <v>4264</v>
      </c>
      <c r="Y354" s="12" t="s">
        <v>2888</v>
      </c>
      <c r="Z354" s="12" t="s">
        <v>1509</v>
      </c>
      <c r="AA354" s="13" t="s">
        <v>4265</v>
      </c>
      <c r="AB354" s="13"/>
      <c r="AC354" s="12" t="s">
        <v>2995</v>
      </c>
    </row>
    <row r="355" customFormat="false" ht="30" hidden="false" customHeight="true" outlineLevel="0" collapsed="false">
      <c r="A355" s="10" t="s">
        <v>4266</v>
      </c>
      <c r="B355" s="10" t="s">
        <v>4267</v>
      </c>
      <c r="C355" s="10" t="s">
        <v>4268</v>
      </c>
      <c r="D355" s="10" t="s">
        <v>2984</v>
      </c>
      <c r="E355" s="10" t="s">
        <v>2118</v>
      </c>
      <c r="F355" s="10" t="s">
        <v>2119</v>
      </c>
      <c r="G355" s="11" t="s">
        <v>3071</v>
      </c>
      <c r="H355" s="10" t="s">
        <v>3072</v>
      </c>
      <c r="I355" s="10" t="s">
        <v>3073</v>
      </c>
      <c r="J355" s="11" t="s">
        <v>1303</v>
      </c>
      <c r="K355" s="11" t="s">
        <v>452</v>
      </c>
      <c r="L355" s="10" t="s">
        <v>170</v>
      </c>
      <c r="M355" s="10" t="n">
        <v>84</v>
      </c>
      <c r="N355" s="10" t="n">
        <v>310</v>
      </c>
      <c r="O355" s="11" t="s">
        <v>2785</v>
      </c>
      <c r="P355" s="10" t="s">
        <v>3011</v>
      </c>
      <c r="Q355" s="11"/>
      <c r="R355" s="11" t="s">
        <v>2991</v>
      </c>
      <c r="S355" s="11"/>
      <c r="T355" s="11"/>
      <c r="U355" s="10"/>
      <c r="V355" s="11"/>
      <c r="W355" s="10"/>
      <c r="X355" s="11"/>
      <c r="Y355" s="10" t="s">
        <v>2884</v>
      </c>
      <c r="Z355" s="10" t="s">
        <v>2886</v>
      </c>
      <c r="AA355" s="11" t="s">
        <v>4269</v>
      </c>
      <c r="AB355" s="11"/>
      <c r="AC355" s="10" t="s">
        <v>2995</v>
      </c>
    </row>
    <row r="356" customFormat="false" ht="30" hidden="false" customHeight="true" outlineLevel="0" collapsed="false">
      <c r="A356" s="12" t="s">
        <v>4270</v>
      </c>
      <c r="B356" s="12" t="s">
        <v>4271</v>
      </c>
      <c r="C356" s="12" t="s">
        <v>4268</v>
      </c>
      <c r="D356" s="12" t="s">
        <v>2984</v>
      </c>
      <c r="E356" s="12" t="s">
        <v>2006</v>
      </c>
      <c r="F356" s="12" t="s">
        <v>2007</v>
      </c>
      <c r="G356" s="13" t="s">
        <v>3077</v>
      </c>
      <c r="H356" s="12" t="s">
        <v>2986</v>
      </c>
      <c r="I356" s="12" t="s">
        <v>2987</v>
      </c>
      <c r="J356" s="13" t="s">
        <v>1212</v>
      </c>
      <c r="K356" s="13" t="s">
        <v>433</v>
      </c>
      <c r="L356" s="12" t="s">
        <v>170</v>
      </c>
      <c r="M356" s="12" t="n">
        <v>58</v>
      </c>
      <c r="N356" s="12" t="n">
        <v>260</v>
      </c>
      <c r="O356" s="13" t="s">
        <v>2785</v>
      </c>
      <c r="P356" s="12" t="s">
        <v>3011</v>
      </c>
      <c r="Q356" s="13" t="s">
        <v>3035</v>
      </c>
      <c r="R356" s="13" t="s">
        <v>2991</v>
      </c>
      <c r="S356" s="13" t="s">
        <v>3036</v>
      </c>
      <c r="T356" s="13"/>
      <c r="U356" s="12"/>
      <c r="V356" s="13"/>
      <c r="W356" s="12"/>
      <c r="X356" s="13"/>
      <c r="Y356" s="12" t="s">
        <v>2888</v>
      </c>
      <c r="Z356" s="12" t="s">
        <v>1509</v>
      </c>
      <c r="AA356" s="13" t="s">
        <v>4272</v>
      </c>
      <c r="AB356" s="13"/>
      <c r="AC356" s="12" t="s">
        <v>2995</v>
      </c>
    </row>
    <row r="357" customFormat="false" ht="30" hidden="false" customHeight="true" outlineLevel="0" collapsed="false">
      <c r="A357" s="10" t="s">
        <v>4273</v>
      </c>
      <c r="B357" s="10" t="s">
        <v>4274</v>
      </c>
      <c r="C357" s="10" t="s">
        <v>4268</v>
      </c>
      <c r="D357" s="10" t="s">
        <v>2903</v>
      </c>
      <c r="E357" s="10" t="s">
        <v>2426</v>
      </c>
      <c r="F357" s="10" t="s">
        <v>2427</v>
      </c>
      <c r="G357" s="11" t="s">
        <v>3007</v>
      </c>
      <c r="H357" s="10" t="s">
        <v>3018</v>
      </c>
      <c r="I357" s="10" t="s">
        <v>3093</v>
      </c>
      <c r="J357" s="11" t="s">
        <v>4275</v>
      </c>
      <c r="K357" s="11" t="s">
        <v>452</v>
      </c>
      <c r="L357" s="10" t="s">
        <v>170</v>
      </c>
      <c r="M357" s="10" t="n">
        <v>85</v>
      </c>
      <c r="N357" s="10" t="n">
        <v>330</v>
      </c>
      <c r="O357" s="11" t="s">
        <v>2785</v>
      </c>
      <c r="P357" s="10" t="s">
        <v>3011</v>
      </c>
      <c r="Q357" s="11"/>
      <c r="R357" s="11" t="s">
        <v>2991</v>
      </c>
      <c r="S357" s="11"/>
      <c r="T357" s="11"/>
      <c r="U357" s="10"/>
      <c r="V357" s="11"/>
      <c r="W357" s="10"/>
      <c r="X357" s="11"/>
      <c r="Y357" s="10" t="s">
        <v>2884</v>
      </c>
      <c r="Z357" s="10" t="s">
        <v>2886</v>
      </c>
      <c r="AA357" s="11" t="s">
        <v>4276</v>
      </c>
      <c r="AB357" s="11"/>
      <c r="AC357" s="10" t="s">
        <v>3014</v>
      </c>
    </row>
    <row r="358" customFormat="false" ht="30" hidden="false" customHeight="true" outlineLevel="0" collapsed="false">
      <c r="A358" s="12" t="s">
        <v>4277</v>
      </c>
      <c r="B358" s="12" t="s">
        <v>4278</v>
      </c>
      <c r="C358" s="12" t="s">
        <v>4268</v>
      </c>
      <c r="D358" s="12" t="s">
        <v>2984</v>
      </c>
      <c r="E358" s="12" t="s">
        <v>2010</v>
      </c>
      <c r="F358" s="12" t="s">
        <v>2011</v>
      </c>
      <c r="G358" s="13" t="s">
        <v>2998</v>
      </c>
      <c r="H358" s="12" t="s">
        <v>3018</v>
      </c>
      <c r="I358" s="12" t="s">
        <v>2987</v>
      </c>
      <c r="J358" s="13" t="s">
        <v>892</v>
      </c>
      <c r="K358" s="13" t="s">
        <v>452</v>
      </c>
      <c r="L358" s="12" t="s">
        <v>191</v>
      </c>
      <c r="M358" s="12" t="n">
        <v>41</v>
      </c>
      <c r="N358" s="12" t="n">
        <v>225</v>
      </c>
      <c r="O358" s="13" t="s">
        <v>3000</v>
      </c>
      <c r="P358" s="12" t="s">
        <v>2989</v>
      </c>
      <c r="Q358" s="13" t="s">
        <v>4279</v>
      </c>
      <c r="R358" s="13" t="s">
        <v>2991</v>
      </c>
      <c r="S358" s="13" t="s">
        <v>3002</v>
      </c>
      <c r="T358" s="13" t="s">
        <v>4280</v>
      </c>
      <c r="U358" s="12"/>
      <c r="V358" s="13"/>
      <c r="W358" s="12" t="s">
        <v>3239</v>
      </c>
      <c r="X358" s="13"/>
      <c r="Y358" s="12" t="s">
        <v>2888</v>
      </c>
      <c r="Z358" s="12" t="s">
        <v>1509</v>
      </c>
      <c r="AA358" s="13" t="s">
        <v>4281</v>
      </c>
      <c r="AB358" s="13"/>
      <c r="AC358" s="12" t="s">
        <v>3655</v>
      </c>
    </row>
    <row r="359" customFormat="false" ht="30" hidden="false" customHeight="true" outlineLevel="0" collapsed="false">
      <c r="A359" s="10" t="s">
        <v>4282</v>
      </c>
      <c r="B359" s="10" t="s">
        <v>4283</v>
      </c>
      <c r="C359" s="10" t="s">
        <v>4268</v>
      </c>
      <c r="D359" s="10" t="s">
        <v>2984</v>
      </c>
      <c r="E359" s="10" t="s">
        <v>2062</v>
      </c>
      <c r="F359" s="10" t="s">
        <v>2063</v>
      </c>
      <c r="G359" s="11" t="s">
        <v>3080</v>
      </c>
      <c r="H359" s="10" t="s">
        <v>3049</v>
      </c>
      <c r="I359" s="10" t="s">
        <v>3093</v>
      </c>
      <c r="J359" s="11" t="s">
        <v>3140</v>
      </c>
      <c r="K359" s="11" t="s">
        <v>452</v>
      </c>
      <c r="L359" s="10" t="s">
        <v>177</v>
      </c>
      <c r="M359" s="10" t="n">
        <v>78</v>
      </c>
      <c r="N359" s="10" t="n">
        <v>365</v>
      </c>
      <c r="O359" s="11" t="s">
        <v>3031</v>
      </c>
      <c r="P359" s="10" t="s">
        <v>2989</v>
      </c>
      <c r="Q359" s="11" t="s">
        <v>3354</v>
      </c>
      <c r="R359" s="11" t="s">
        <v>2991</v>
      </c>
      <c r="S359" s="11"/>
      <c r="T359" s="11"/>
      <c r="U359" s="10"/>
      <c r="V359" s="11"/>
      <c r="W359" s="10"/>
      <c r="X359" s="11"/>
      <c r="Y359" s="10" t="s">
        <v>2888</v>
      </c>
      <c r="Z359" s="10" t="s">
        <v>1509</v>
      </c>
      <c r="AA359" s="11" t="s">
        <v>4284</v>
      </c>
      <c r="AB359" s="11"/>
      <c r="AC359" s="10" t="s">
        <v>2995</v>
      </c>
    </row>
    <row r="360" customFormat="false" ht="30" hidden="false" customHeight="true" outlineLevel="0" collapsed="false">
      <c r="A360" s="12" t="s">
        <v>4285</v>
      </c>
      <c r="B360" s="12" t="s">
        <v>4286</v>
      </c>
      <c r="C360" s="12" t="s">
        <v>4268</v>
      </c>
      <c r="D360" s="12" t="s">
        <v>2903</v>
      </c>
      <c r="E360" s="12" t="s">
        <v>2437</v>
      </c>
      <c r="F360" s="12" t="s">
        <v>2438</v>
      </c>
      <c r="G360" s="13" t="s">
        <v>3065</v>
      </c>
      <c r="H360" s="12" t="s">
        <v>3008</v>
      </c>
      <c r="I360" s="12" t="s">
        <v>3009</v>
      </c>
      <c r="J360" s="13" t="s">
        <v>1057</v>
      </c>
      <c r="K360" s="13" t="s">
        <v>438</v>
      </c>
      <c r="L360" s="12" t="s">
        <v>191</v>
      </c>
      <c r="M360" s="12" t="n">
        <v>50</v>
      </c>
      <c r="N360" s="12" t="n">
        <v>540</v>
      </c>
      <c r="O360" s="13" t="s">
        <v>3024</v>
      </c>
      <c r="P360" s="12" t="s">
        <v>2989</v>
      </c>
      <c r="Q360" s="13"/>
      <c r="R360" s="13" t="s">
        <v>2991</v>
      </c>
      <c r="S360" s="13"/>
      <c r="T360" s="13"/>
      <c r="U360" s="12"/>
      <c r="V360" s="13"/>
      <c r="W360" s="12"/>
      <c r="X360" s="13"/>
      <c r="Y360" s="12" t="s">
        <v>2888</v>
      </c>
      <c r="Z360" s="12" t="s">
        <v>1509</v>
      </c>
      <c r="AA360" s="13" t="s">
        <v>4287</v>
      </c>
      <c r="AB360" s="13"/>
      <c r="AC360" s="12" t="s">
        <v>3014</v>
      </c>
    </row>
    <row r="361" customFormat="false" ht="30" hidden="false" customHeight="true" outlineLevel="0" collapsed="false">
      <c r="A361" s="10" t="s">
        <v>4288</v>
      </c>
      <c r="B361" s="10" t="s">
        <v>4289</v>
      </c>
      <c r="C361" s="10" t="s">
        <v>4268</v>
      </c>
      <c r="D361" s="10" t="s">
        <v>2903</v>
      </c>
      <c r="E361" s="10" t="s">
        <v>2422</v>
      </c>
      <c r="F361" s="10" t="s">
        <v>2423</v>
      </c>
      <c r="G361" s="11" t="s">
        <v>3022</v>
      </c>
      <c r="H361" s="10" t="s">
        <v>3018</v>
      </c>
      <c r="I361" s="10" t="s">
        <v>3023</v>
      </c>
      <c r="J361" s="11" t="s">
        <v>1259</v>
      </c>
      <c r="K361" s="11" t="s">
        <v>452</v>
      </c>
      <c r="L361" s="10" t="s">
        <v>191</v>
      </c>
      <c r="M361" s="10" t="n">
        <v>48</v>
      </c>
      <c r="N361" s="10" t="n">
        <v>520</v>
      </c>
      <c r="O361" s="11" t="s">
        <v>3024</v>
      </c>
      <c r="P361" s="10" t="s">
        <v>2989</v>
      </c>
      <c r="Q361" s="11" t="s">
        <v>4001</v>
      </c>
      <c r="R361" s="11" t="s">
        <v>3055</v>
      </c>
      <c r="S361" s="11"/>
      <c r="T361" s="11"/>
      <c r="U361" s="10"/>
      <c r="V361" s="11"/>
      <c r="W361" s="10" t="s">
        <v>3351</v>
      </c>
      <c r="X361" s="11"/>
      <c r="Y361" s="10" t="s">
        <v>2897</v>
      </c>
      <c r="Z361" s="10" t="s">
        <v>2898</v>
      </c>
      <c r="AA361" s="11" t="s">
        <v>4290</v>
      </c>
      <c r="AB361" s="11"/>
      <c r="AC361" s="10" t="s">
        <v>3143</v>
      </c>
    </row>
    <row r="362" customFormat="false" ht="30" hidden="false" customHeight="true" outlineLevel="0" collapsed="false">
      <c r="A362" s="12" t="s">
        <v>4291</v>
      </c>
      <c r="B362" s="12" t="s">
        <v>4292</v>
      </c>
      <c r="C362" s="12" t="s">
        <v>4268</v>
      </c>
      <c r="D362" s="12" t="s">
        <v>2984</v>
      </c>
      <c r="E362" s="12" t="s">
        <v>2018</v>
      </c>
      <c r="F362" s="12" t="s">
        <v>2019</v>
      </c>
      <c r="G362" s="13" t="s">
        <v>3034</v>
      </c>
      <c r="H362" s="12" t="s">
        <v>3018</v>
      </c>
      <c r="I362" s="12" t="s">
        <v>2987</v>
      </c>
      <c r="J362" s="13" t="s">
        <v>1201</v>
      </c>
      <c r="K362" s="13" t="s">
        <v>452</v>
      </c>
      <c r="L362" s="12" t="s">
        <v>170</v>
      </c>
      <c r="M362" s="12" t="n">
        <v>60</v>
      </c>
      <c r="N362" s="12" t="n">
        <v>255</v>
      </c>
      <c r="O362" s="13" t="s">
        <v>2785</v>
      </c>
      <c r="P362" s="12" t="s">
        <v>3011</v>
      </c>
      <c r="Q362" s="13" t="s">
        <v>3035</v>
      </c>
      <c r="R362" s="13" t="s">
        <v>2991</v>
      </c>
      <c r="S362" s="13" t="s">
        <v>3036</v>
      </c>
      <c r="T362" s="13"/>
      <c r="U362" s="12"/>
      <c r="V362" s="13"/>
      <c r="W362" s="12"/>
      <c r="X362" s="13"/>
      <c r="Y362" s="12" t="s">
        <v>2888</v>
      </c>
      <c r="Z362" s="12" t="s">
        <v>1509</v>
      </c>
      <c r="AA362" s="13" t="s">
        <v>4293</v>
      </c>
      <c r="AB362" s="13"/>
      <c r="AC362" s="12" t="s">
        <v>2995</v>
      </c>
    </row>
    <row r="363" customFormat="false" ht="30" hidden="false" customHeight="true" outlineLevel="0" collapsed="false">
      <c r="A363" s="10" t="s">
        <v>4294</v>
      </c>
      <c r="B363" s="10" t="s">
        <v>4295</v>
      </c>
      <c r="C363" s="10" t="s">
        <v>4268</v>
      </c>
      <c r="D363" s="10" t="s">
        <v>2984</v>
      </c>
      <c r="E363" s="10" t="s">
        <v>2104</v>
      </c>
      <c r="F363" s="10" t="s">
        <v>2105</v>
      </c>
      <c r="G363" s="11" t="s">
        <v>3039</v>
      </c>
      <c r="H363" s="10" t="s">
        <v>2986</v>
      </c>
      <c r="I363" s="10" t="s">
        <v>2987</v>
      </c>
      <c r="J363" s="11" t="s">
        <v>4296</v>
      </c>
      <c r="K363" s="11" t="s">
        <v>452</v>
      </c>
      <c r="L363" s="10" t="s">
        <v>184</v>
      </c>
      <c r="M363" s="10" t="n">
        <v>87</v>
      </c>
      <c r="N363" s="10" t="n">
        <v>450</v>
      </c>
      <c r="O363" s="11" t="s">
        <v>2792</v>
      </c>
      <c r="P363" s="10" t="s">
        <v>3097</v>
      </c>
      <c r="Q363" s="11" t="s">
        <v>3067</v>
      </c>
      <c r="R363" s="11" t="s">
        <v>3201</v>
      </c>
      <c r="S363" s="11"/>
      <c r="T363" s="11"/>
      <c r="U363" s="10"/>
      <c r="V363" s="11"/>
      <c r="W363" s="10"/>
      <c r="X363" s="11"/>
      <c r="Y363" s="10" t="s">
        <v>2894</v>
      </c>
      <c r="Z363" s="10" t="s">
        <v>1554</v>
      </c>
      <c r="AA363" s="11" t="s">
        <v>4297</v>
      </c>
      <c r="AB363" s="11"/>
      <c r="AC363" s="10" t="s">
        <v>2995</v>
      </c>
    </row>
    <row r="364" customFormat="false" ht="30" hidden="false" customHeight="true" outlineLevel="0" collapsed="false">
      <c r="A364" s="12" t="s">
        <v>4298</v>
      </c>
      <c r="B364" s="12" t="s">
        <v>4299</v>
      </c>
      <c r="C364" s="12" t="s">
        <v>4268</v>
      </c>
      <c r="D364" s="12" t="s">
        <v>2984</v>
      </c>
      <c r="E364" s="12" t="s">
        <v>2004</v>
      </c>
      <c r="F364" s="12" t="s">
        <v>2005</v>
      </c>
      <c r="G364" s="13" t="s">
        <v>3062</v>
      </c>
      <c r="H364" s="12" t="s">
        <v>3018</v>
      </c>
      <c r="I364" s="12" t="s">
        <v>2987</v>
      </c>
      <c r="J364" s="13" t="s">
        <v>1207</v>
      </c>
      <c r="K364" s="13" t="s">
        <v>414</v>
      </c>
      <c r="L364" s="12" t="s">
        <v>170</v>
      </c>
      <c r="M364" s="12" t="n">
        <v>62</v>
      </c>
      <c r="N364" s="12" t="n">
        <v>270</v>
      </c>
      <c r="O364" s="13" t="s">
        <v>2785</v>
      </c>
      <c r="P364" s="12" t="s">
        <v>3041</v>
      </c>
      <c r="Q364" s="13" t="s">
        <v>4300</v>
      </c>
      <c r="R364" s="13" t="s">
        <v>2991</v>
      </c>
      <c r="S364" s="13" t="s">
        <v>3036</v>
      </c>
      <c r="T364" s="13"/>
      <c r="U364" s="12"/>
      <c r="V364" s="13"/>
      <c r="W364" s="12" t="s">
        <v>3239</v>
      </c>
      <c r="X364" s="13"/>
      <c r="Y364" s="12" t="s">
        <v>2824</v>
      </c>
      <c r="Z364" s="12" t="s">
        <v>2892</v>
      </c>
      <c r="AA364" s="13" t="s">
        <v>4301</v>
      </c>
      <c r="AB364" s="13"/>
      <c r="AC364" s="12" t="s">
        <v>2995</v>
      </c>
    </row>
    <row r="365" customFormat="false" ht="30" hidden="false" customHeight="true" outlineLevel="0" collapsed="false">
      <c r="A365" s="10" t="s">
        <v>4302</v>
      </c>
      <c r="B365" s="10" t="s">
        <v>4303</v>
      </c>
      <c r="C365" s="10" t="s">
        <v>4268</v>
      </c>
      <c r="D365" s="10" t="s">
        <v>2903</v>
      </c>
      <c r="E365" s="10" t="s">
        <v>2439</v>
      </c>
      <c r="F365" s="10" t="s">
        <v>2440</v>
      </c>
      <c r="G365" s="11" t="s">
        <v>3058</v>
      </c>
      <c r="H365" s="10" t="s">
        <v>3072</v>
      </c>
      <c r="I365" s="10" t="s">
        <v>3073</v>
      </c>
      <c r="J365" s="11" t="s">
        <v>4304</v>
      </c>
      <c r="K365" s="11" t="s">
        <v>423</v>
      </c>
      <c r="L365" s="10" t="s">
        <v>170</v>
      </c>
      <c r="M365" s="10" t="n">
        <v>85</v>
      </c>
      <c r="N365" s="10" t="n">
        <v>320</v>
      </c>
      <c r="O365" s="11" t="s">
        <v>2785</v>
      </c>
      <c r="P365" s="10" t="s">
        <v>3011</v>
      </c>
      <c r="Q365" s="11"/>
      <c r="R365" s="11" t="s">
        <v>2991</v>
      </c>
      <c r="S365" s="11"/>
      <c r="T365" s="11"/>
      <c r="U365" s="10"/>
      <c r="V365" s="11"/>
      <c r="W365" s="10"/>
      <c r="X365" s="11"/>
      <c r="Y365" s="10" t="s">
        <v>2884</v>
      </c>
      <c r="Z365" s="10" t="s">
        <v>2886</v>
      </c>
      <c r="AA365" s="11" t="s">
        <v>4305</v>
      </c>
      <c r="AB365" s="11"/>
      <c r="AC365" s="10" t="s">
        <v>2995</v>
      </c>
    </row>
    <row r="366" customFormat="false" ht="30" hidden="false" customHeight="true" outlineLevel="0" collapsed="false">
      <c r="A366" s="12" t="s">
        <v>4306</v>
      </c>
      <c r="B366" s="12" t="s">
        <v>4307</v>
      </c>
      <c r="C366" s="12" t="s">
        <v>4268</v>
      </c>
      <c r="D366" s="12" t="s">
        <v>2984</v>
      </c>
      <c r="E366" s="12" t="s">
        <v>2054</v>
      </c>
      <c r="F366" s="12" t="s">
        <v>2055</v>
      </c>
      <c r="G366" s="13" t="s">
        <v>3092</v>
      </c>
      <c r="H366" s="12" t="s">
        <v>3018</v>
      </c>
      <c r="I366" s="12" t="s">
        <v>3093</v>
      </c>
      <c r="J366" s="13" t="s">
        <v>1280</v>
      </c>
      <c r="K366" s="13" t="s">
        <v>452</v>
      </c>
      <c r="L366" s="12" t="s">
        <v>170</v>
      </c>
      <c r="M366" s="12" t="n">
        <v>83</v>
      </c>
      <c r="N366" s="12" t="n">
        <v>300</v>
      </c>
      <c r="O366" s="13" t="s">
        <v>2785</v>
      </c>
      <c r="P366" s="12" t="s">
        <v>3011</v>
      </c>
      <c r="Q366" s="13"/>
      <c r="R366" s="13" t="s">
        <v>2991</v>
      </c>
      <c r="S366" s="13"/>
      <c r="T366" s="13"/>
      <c r="U366" s="12"/>
      <c r="V366" s="13"/>
      <c r="W366" s="12"/>
      <c r="X366" s="13"/>
      <c r="Y366" s="12" t="s">
        <v>2884</v>
      </c>
      <c r="Z366" s="12" t="s">
        <v>2886</v>
      </c>
      <c r="AA366" s="13" t="s">
        <v>3460</v>
      </c>
      <c r="AB366" s="13"/>
      <c r="AC366" s="12" t="s">
        <v>2995</v>
      </c>
    </row>
    <row r="367" customFormat="false" ht="30" hidden="false" customHeight="true" outlineLevel="0" collapsed="false">
      <c r="A367" s="10" t="s">
        <v>4308</v>
      </c>
      <c r="B367" s="10" t="s">
        <v>4309</v>
      </c>
      <c r="C367" s="10" t="s">
        <v>4268</v>
      </c>
      <c r="D367" s="10" t="s">
        <v>2984</v>
      </c>
      <c r="E367" s="10" t="s">
        <v>2142</v>
      </c>
      <c r="F367" s="10" t="s">
        <v>2143</v>
      </c>
      <c r="G367" s="11" t="s">
        <v>3071</v>
      </c>
      <c r="H367" s="10" t="s">
        <v>3072</v>
      </c>
      <c r="I367" s="10" t="s">
        <v>3073</v>
      </c>
      <c r="J367" s="11" t="s">
        <v>1291</v>
      </c>
      <c r="K367" s="11" t="s">
        <v>414</v>
      </c>
      <c r="L367" s="10" t="s">
        <v>170</v>
      </c>
      <c r="M367" s="10" t="n">
        <v>82</v>
      </c>
      <c r="N367" s="10" t="n">
        <v>325</v>
      </c>
      <c r="O367" s="11" t="s">
        <v>2785</v>
      </c>
      <c r="P367" s="10" t="s">
        <v>3041</v>
      </c>
      <c r="Q367" s="11" t="s">
        <v>3237</v>
      </c>
      <c r="R367" s="11" t="s">
        <v>2991</v>
      </c>
      <c r="S367" s="11"/>
      <c r="T367" s="11"/>
      <c r="U367" s="10"/>
      <c r="V367" s="11"/>
      <c r="W367" s="10" t="s">
        <v>3488</v>
      </c>
      <c r="X367" s="11"/>
      <c r="Y367" s="10" t="s">
        <v>2824</v>
      </c>
      <c r="Z367" s="10" t="s">
        <v>2892</v>
      </c>
      <c r="AA367" s="11" t="s">
        <v>4310</v>
      </c>
      <c r="AB367" s="11"/>
      <c r="AC367" s="10" t="s">
        <v>2995</v>
      </c>
    </row>
    <row r="368" customFormat="false" ht="30" hidden="false" customHeight="true" outlineLevel="0" collapsed="false">
      <c r="A368" s="12" t="s">
        <v>4311</v>
      </c>
      <c r="B368" s="12" t="s">
        <v>4312</v>
      </c>
      <c r="C368" s="12" t="s">
        <v>4268</v>
      </c>
      <c r="D368" s="12" t="s">
        <v>2984</v>
      </c>
      <c r="E368" s="12" t="s">
        <v>2084</v>
      </c>
      <c r="F368" s="12" t="s">
        <v>2085</v>
      </c>
      <c r="G368" s="13" t="s">
        <v>3080</v>
      </c>
      <c r="H368" s="12" t="s">
        <v>3049</v>
      </c>
      <c r="I368" s="12" t="s">
        <v>3023</v>
      </c>
      <c r="J368" s="13" t="s">
        <v>1259</v>
      </c>
      <c r="K368" s="13" t="s">
        <v>452</v>
      </c>
      <c r="L368" s="12" t="s">
        <v>177</v>
      </c>
      <c r="M368" s="12" t="n">
        <v>78</v>
      </c>
      <c r="N368" s="12" t="n">
        <v>345</v>
      </c>
      <c r="O368" s="13" t="s">
        <v>3031</v>
      </c>
      <c r="P368" s="12" t="s">
        <v>3177</v>
      </c>
      <c r="Q368" s="13" t="s">
        <v>3354</v>
      </c>
      <c r="R368" s="13" t="s">
        <v>2991</v>
      </c>
      <c r="S368" s="13"/>
      <c r="T368" s="13"/>
      <c r="U368" s="12"/>
      <c r="V368" s="13"/>
      <c r="W368" s="12"/>
      <c r="X368" s="13"/>
      <c r="Y368" s="12" t="s">
        <v>2897</v>
      </c>
      <c r="Z368" s="12" t="s">
        <v>2898</v>
      </c>
      <c r="AA368" s="13" t="s">
        <v>4313</v>
      </c>
      <c r="AB368" s="13"/>
      <c r="AC368" s="12" t="s">
        <v>2995</v>
      </c>
    </row>
    <row r="369" customFormat="false" ht="30" hidden="false" customHeight="true" outlineLevel="0" collapsed="false">
      <c r="A369" s="10" t="s">
        <v>4314</v>
      </c>
      <c r="B369" s="10" t="s">
        <v>4315</v>
      </c>
      <c r="C369" s="10" t="s">
        <v>4268</v>
      </c>
      <c r="D369" s="10" t="s">
        <v>2984</v>
      </c>
      <c r="E369" s="10" t="s">
        <v>2086</v>
      </c>
      <c r="F369" s="10" t="s">
        <v>2087</v>
      </c>
      <c r="G369" s="11" t="s">
        <v>3029</v>
      </c>
      <c r="H369" s="10" t="s">
        <v>2986</v>
      </c>
      <c r="I369" s="10" t="s">
        <v>2987</v>
      </c>
      <c r="J369" s="11" t="s">
        <v>4316</v>
      </c>
      <c r="K369" s="11" t="s">
        <v>452</v>
      </c>
      <c r="L369" s="10" t="s">
        <v>177</v>
      </c>
      <c r="M369" s="10" t="n">
        <v>80</v>
      </c>
      <c r="N369" s="10" t="n">
        <v>340</v>
      </c>
      <c r="O369" s="11" t="s">
        <v>3031</v>
      </c>
      <c r="P369" s="10" t="s">
        <v>3011</v>
      </c>
      <c r="Q369" s="11"/>
      <c r="R369" s="11" t="s">
        <v>2991</v>
      </c>
      <c r="S369" s="11"/>
      <c r="T369" s="11"/>
      <c r="U369" s="10"/>
      <c r="V369" s="11"/>
      <c r="W369" s="10"/>
      <c r="X369" s="11"/>
      <c r="Y369" s="10" t="s">
        <v>2884</v>
      </c>
      <c r="Z369" s="10" t="s">
        <v>2886</v>
      </c>
      <c r="AA369" s="11" t="s">
        <v>4317</v>
      </c>
      <c r="AB369" s="11"/>
      <c r="AC369" s="10" t="s">
        <v>2995</v>
      </c>
    </row>
    <row r="370" customFormat="false" ht="30" hidden="false" customHeight="true" outlineLevel="0" collapsed="false">
      <c r="A370" s="12" t="s">
        <v>4318</v>
      </c>
      <c r="B370" s="12" t="s">
        <v>4319</v>
      </c>
      <c r="C370" s="12" t="s">
        <v>4268</v>
      </c>
      <c r="D370" s="12" t="s">
        <v>2984</v>
      </c>
      <c r="E370" s="12" t="s">
        <v>2082</v>
      </c>
      <c r="F370" s="12" t="s">
        <v>2083</v>
      </c>
      <c r="G370" s="13" t="s">
        <v>2998</v>
      </c>
      <c r="H370" s="12" t="s">
        <v>2986</v>
      </c>
      <c r="I370" s="12" t="s">
        <v>3023</v>
      </c>
      <c r="J370" s="13" t="s">
        <v>1256</v>
      </c>
      <c r="K370" s="13" t="s">
        <v>452</v>
      </c>
      <c r="L370" s="12" t="s">
        <v>191</v>
      </c>
      <c r="M370" s="12" t="n">
        <v>42</v>
      </c>
      <c r="N370" s="12" t="n">
        <v>220</v>
      </c>
      <c r="O370" s="13" t="s">
        <v>3000</v>
      </c>
      <c r="P370" s="12" t="s">
        <v>2989</v>
      </c>
      <c r="Q370" s="13" t="s">
        <v>3124</v>
      </c>
      <c r="R370" s="13" t="s">
        <v>2991</v>
      </c>
      <c r="S370" s="13" t="s">
        <v>3002</v>
      </c>
      <c r="T370" s="13"/>
      <c r="U370" s="12"/>
      <c r="V370" s="13"/>
      <c r="W370" s="12"/>
      <c r="X370" s="13"/>
      <c r="Y370" s="12" t="s">
        <v>2888</v>
      </c>
      <c r="Z370" s="12" t="s">
        <v>1509</v>
      </c>
      <c r="AA370" s="13" t="s">
        <v>4320</v>
      </c>
      <c r="AB370" s="13"/>
      <c r="AC370" s="12" t="s">
        <v>2995</v>
      </c>
    </row>
    <row r="371" customFormat="false" ht="30" hidden="false" customHeight="true" outlineLevel="0" collapsed="false">
      <c r="A371" s="10" t="s">
        <v>4321</v>
      </c>
      <c r="B371" s="10" t="s">
        <v>4322</v>
      </c>
      <c r="C371" s="10" t="s">
        <v>4268</v>
      </c>
      <c r="D371" s="10" t="s">
        <v>2984</v>
      </c>
      <c r="E371" s="10" t="s">
        <v>2058</v>
      </c>
      <c r="F371" s="10" t="s">
        <v>2059</v>
      </c>
      <c r="G371" s="11" t="s">
        <v>3048</v>
      </c>
      <c r="H371" s="10" t="s">
        <v>3018</v>
      </c>
      <c r="I371" s="10" t="s">
        <v>2987</v>
      </c>
      <c r="J371" s="11" t="s">
        <v>4323</v>
      </c>
      <c r="K371" s="11" t="s">
        <v>452</v>
      </c>
      <c r="L371" s="10" t="s">
        <v>170</v>
      </c>
      <c r="M371" s="10" t="n">
        <v>82</v>
      </c>
      <c r="N371" s="10" t="n">
        <v>280</v>
      </c>
      <c r="O371" s="11" t="s">
        <v>2785</v>
      </c>
      <c r="P371" s="10" t="s">
        <v>3011</v>
      </c>
      <c r="Q371" s="11"/>
      <c r="R371" s="11" t="s">
        <v>2991</v>
      </c>
      <c r="S371" s="11"/>
      <c r="T371" s="11"/>
      <c r="U371" s="10"/>
      <c r="V371" s="11"/>
      <c r="W371" s="10"/>
      <c r="X371" s="11"/>
      <c r="Y371" s="10" t="s">
        <v>2884</v>
      </c>
      <c r="Z371" s="10" t="s">
        <v>2886</v>
      </c>
      <c r="AA371" s="11" t="s">
        <v>3747</v>
      </c>
      <c r="AB371" s="11"/>
      <c r="AC371" s="10" t="s">
        <v>3655</v>
      </c>
    </row>
    <row r="372" customFormat="false" ht="30" hidden="false" customHeight="true" outlineLevel="0" collapsed="false">
      <c r="A372" s="12" t="s">
        <v>4324</v>
      </c>
      <c r="B372" s="12" t="s">
        <v>4325</v>
      </c>
      <c r="C372" s="12" t="s">
        <v>4268</v>
      </c>
      <c r="D372" s="12" t="s">
        <v>2903</v>
      </c>
      <c r="E372" s="12" t="s">
        <v>2420</v>
      </c>
      <c r="F372" s="12" t="s">
        <v>2421</v>
      </c>
      <c r="G372" s="13" t="s">
        <v>3088</v>
      </c>
      <c r="H372" s="12" t="s">
        <v>2999</v>
      </c>
      <c r="I372" s="12" t="s">
        <v>2987</v>
      </c>
      <c r="J372" s="13" t="s">
        <v>4326</v>
      </c>
      <c r="K372" s="13" t="s">
        <v>423</v>
      </c>
      <c r="L372" s="12" t="s">
        <v>170</v>
      </c>
      <c r="M372" s="12" t="n">
        <v>84</v>
      </c>
      <c r="N372" s="12" t="n">
        <v>315</v>
      </c>
      <c r="O372" s="13" t="s">
        <v>2785</v>
      </c>
      <c r="P372" s="12" t="s">
        <v>3011</v>
      </c>
      <c r="Q372" s="13"/>
      <c r="R372" s="13" t="s">
        <v>2991</v>
      </c>
      <c r="S372" s="13"/>
      <c r="T372" s="13"/>
      <c r="U372" s="12"/>
      <c r="V372" s="13"/>
      <c r="W372" s="12"/>
      <c r="X372" s="13"/>
      <c r="Y372" s="12" t="s">
        <v>2884</v>
      </c>
      <c r="Z372" s="12" t="s">
        <v>2886</v>
      </c>
      <c r="AA372" s="13" t="s">
        <v>4327</v>
      </c>
      <c r="AB372" s="13"/>
      <c r="AC372" s="12" t="s">
        <v>2995</v>
      </c>
    </row>
    <row r="373" customFormat="false" ht="30" hidden="false" customHeight="true" outlineLevel="0" collapsed="false">
      <c r="A373" s="10" t="s">
        <v>4328</v>
      </c>
      <c r="B373" s="10" t="s">
        <v>4329</v>
      </c>
      <c r="C373" s="10" t="s">
        <v>4268</v>
      </c>
      <c r="D373" s="10" t="s">
        <v>2984</v>
      </c>
      <c r="E373" s="10" t="s">
        <v>2008</v>
      </c>
      <c r="F373" s="10" t="s">
        <v>2009</v>
      </c>
      <c r="G373" s="11" t="s">
        <v>2998</v>
      </c>
      <c r="H373" s="10" t="s">
        <v>3018</v>
      </c>
      <c r="I373" s="10" t="s">
        <v>3023</v>
      </c>
      <c r="J373" s="11" t="s">
        <v>1253</v>
      </c>
      <c r="K373" s="11" t="s">
        <v>452</v>
      </c>
      <c r="L373" s="10" t="s">
        <v>191</v>
      </c>
      <c r="M373" s="10" t="n">
        <v>42</v>
      </c>
      <c r="N373" s="10" t="n">
        <v>215</v>
      </c>
      <c r="O373" s="11" t="s">
        <v>3000</v>
      </c>
      <c r="P373" s="10" t="s">
        <v>2989</v>
      </c>
      <c r="Q373" s="11" t="s">
        <v>3124</v>
      </c>
      <c r="R373" s="11" t="s">
        <v>2991</v>
      </c>
      <c r="S373" s="11" t="s">
        <v>3002</v>
      </c>
      <c r="T373" s="11"/>
      <c r="U373" s="10"/>
      <c r="V373" s="11"/>
      <c r="W373" s="10"/>
      <c r="X373" s="11"/>
      <c r="Y373" s="10" t="s">
        <v>2888</v>
      </c>
      <c r="Z373" s="10" t="s">
        <v>1509</v>
      </c>
      <c r="AA373" s="11" t="s">
        <v>4051</v>
      </c>
      <c r="AB373" s="11"/>
      <c r="AC373" s="10" t="s">
        <v>2995</v>
      </c>
    </row>
    <row r="374" customFormat="false" ht="30" hidden="false" customHeight="true" outlineLevel="0" collapsed="false">
      <c r="A374" s="12" t="s">
        <v>4330</v>
      </c>
      <c r="B374" s="12" t="s">
        <v>4331</v>
      </c>
      <c r="C374" s="12" t="s">
        <v>4268</v>
      </c>
      <c r="D374" s="12" t="s">
        <v>2984</v>
      </c>
      <c r="E374" s="12" t="s">
        <v>2014</v>
      </c>
      <c r="F374" s="12" t="s">
        <v>2015</v>
      </c>
      <c r="G374" s="13" t="s">
        <v>3029</v>
      </c>
      <c r="H374" s="12" t="s">
        <v>2986</v>
      </c>
      <c r="I374" s="12" t="s">
        <v>2987</v>
      </c>
      <c r="J374" s="13" t="s">
        <v>1219</v>
      </c>
      <c r="K374" s="13" t="s">
        <v>414</v>
      </c>
      <c r="L374" s="12" t="s">
        <v>177</v>
      </c>
      <c r="M374" s="12" t="n">
        <v>80</v>
      </c>
      <c r="N374" s="12" t="n">
        <v>370</v>
      </c>
      <c r="O374" s="13" t="s">
        <v>3031</v>
      </c>
      <c r="P374" s="12" t="s">
        <v>3041</v>
      </c>
      <c r="Q374" s="13" t="s">
        <v>3237</v>
      </c>
      <c r="R374" s="13" t="s">
        <v>2991</v>
      </c>
      <c r="S374" s="13"/>
      <c r="T374" s="13"/>
      <c r="U374" s="12"/>
      <c r="V374" s="13"/>
      <c r="W374" s="12" t="s">
        <v>3104</v>
      </c>
      <c r="X374" s="13"/>
      <c r="Y374" s="12" t="s">
        <v>2824</v>
      </c>
      <c r="Z374" s="12" t="s">
        <v>2892</v>
      </c>
      <c r="AA374" s="13" t="s">
        <v>4017</v>
      </c>
      <c r="AB374" s="13"/>
      <c r="AC374" s="12" t="s">
        <v>2995</v>
      </c>
    </row>
    <row r="375" customFormat="false" ht="30" hidden="false" customHeight="true" outlineLevel="0" collapsed="false">
      <c r="A375" s="10" t="s">
        <v>4332</v>
      </c>
      <c r="B375" s="10" t="s">
        <v>4333</v>
      </c>
      <c r="C375" s="10" t="s">
        <v>4268</v>
      </c>
      <c r="D375" s="10" t="s">
        <v>2903</v>
      </c>
      <c r="E375" s="10" t="s">
        <v>2452</v>
      </c>
      <c r="F375" s="10" t="s">
        <v>2453</v>
      </c>
      <c r="G375" s="11" t="s">
        <v>3112</v>
      </c>
      <c r="H375" s="10" t="s">
        <v>3072</v>
      </c>
      <c r="I375" s="10" t="s">
        <v>3073</v>
      </c>
      <c r="J375" s="11" t="s">
        <v>1296</v>
      </c>
      <c r="K375" s="11" t="s">
        <v>452</v>
      </c>
      <c r="L375" s="10" t="s">
        <v>191</v>
      </c>
      <c r="M375" s="10" t="n">
        <v>50</v>
      </c>
      <c r="N375" s="10" t="n">
        <v>530</v>
      </c>
      <c r="O375" s="11" t="s">
        <v>3024</v>
      </c>
      <c r="P375" s="10" t="s">
        <v>2989</v>
      </c>
      <c r="Q375" s="11" t="s">
        <v>3025</v>
      </c>
      <c r="R375" s="11" t="s">
        <v>2991</v>
      </c>
      <c r="S375" s="11"/>
      <c r="T375" s="11" t="s">
        <v>4334</v>
      </c>
      <c r="U375" s="10"/>
      <c r="V375" s="11"/>
      <c r="W375" s="10" t="s">
        <v>3445</v>
      </c>
      <c r="X375" s="11"/>
      <c r="Y375" s="10" t="s">
        <v>2888</v>
      </c>
      <c r="Z375" s="10" t="s">
        <v>1509</v>
      </c>
      <c r="AA375" s="11" t="s">
        <v>4335</v>
      </c>
      <c r="AB375" s="11"/>
      <c r="AC375" s="10" t="s">
        <v>2995</v>
      </c>
    </row>
    <row r="376" customFormat="false" ht="30" hidden="false" customHeight="true" outlineLevel="0" collapsed="false">
      <c r="A376" s="12" t="s">
        <v>4336</v>
      </c>
      <c r="B376" s="12" t="s">
        <v>4337</v>
      </c>
      <c r="C376" s="12" t="s">
        <v>4268</v>
      </c>
      <c r="D376" s="12" t="s">
        <v>2903</v>
      </c>
      <c r="E376" s="12" t="s">
        <v>2449</v>
      </c>
      <c r="F376" s="12" t="s">
        <v>1804</v>
      </c>
      <c r="G376" s="13" t="s">
        <v>3007</v>
      </c>
      <c r="H376" s="12" t="s">
        <v>3018</v>
      </c>
      <c r="I376" s="12" t="s">
        <v>2987</v>
      </c>
      <c r="J376" s="13" t="s">
        <v>1231</v>
      </c>
      <c r="K376" s="13" t="s">
        <v>452</v>
      </c>
      <c r="L376" s="12" t="s">
        <v>170</v>
      </c>
      <c r="M376" s="12" t="n">
        <v>85</v>
      </c>
      <c r="N376" s="12" t="n">
        <v>300</v>
      </c>
      <c r="O376" s="13" t="s">
        <v>2785</v>
      </c>
      <c r="P376" s="12" t="s">
        <v>3011</v>
      </c>
      <c r="Q376" s="13"/>
      <c r="R376" s="13" t="s">
        <v>2991</v>
      </c>
      <c r="S376" s="13"/>
      <c r="T376" s="13"/>
      <c r="U376" s="12"/>
      <c r="V376" s="13"/>
      <c r="W376" s="12"/>
      <c r="X376" s="13"/>
      <c r="Y376" s="12" t="s">
        <v>2884</v>
      </c>
      <c r="Z376" s="12" t="s">
        <v>2886</v>
      </c>
      <c r="AA376" s="13" t="s">
        <v>4223</v>
      </c>
      <c r="AB376" s="13"/>
      <c r="AC376" s="12" t="s">
        <v>3014</v>
      </c>
    </row>
    <row r="377" customFormat="false" ht="30" hidden="false" customHeight="true" outlineLevel="0" collapsed="false">
      <c r="A377" s="10" t="s">
        <v>4338</v>
      </c>
      <c r="B377" s="10" t="s">
        <v>4339</v>
      </c>
      <c r="C377" s="10" t="s">
        <v>4268</v>
      </c>
      <c r="D377" s="10" t="s">
        <v>2903</v>
      </c>
      <c r="E377" s="10" t="s">
        <v>2433</v>
      </c>
      <c r="F377" s="10" t="s">
        <v>2434</v>
      </c>
      <c r="G377" s="11" t="s">
        <v>3071</v>
      </c>
      <c r="H377" s="10" t="s">
        <v>3049</v>
      </c>
      <c r="I377" s="10" t="s">
        <v>2987</v>
      </c>
      <c r="J377" s="11" t="s">
        <v>3653</v>
      </c>
      <c r="K377" s="11" t="s">
        <v>426</v>
      </c>
      <c r="L377" s="10" t="s">
        <v>170</v>
      </c>
      <c r="M377" s="10" t="n">
        <v>84</v>
      </c>
      <c r="N377" s="10" t="n">
        <v>330</v>
      </c>
      <c r="O377" s="11" t="s">
        <v>2785</v>
      </c>
      <c r="P377" s="10" t="s">
        <v>3011</v>
      </c>
      <c r="Q377" s="11" t="s">
        <v>2990</v>
      </c>
      <c r="R377" s="11" t="s">
        <v>2991</v>
      </c>
      <c r="S377" s="11"/>
      <c r="T377" s="11"/>
      <c r="U377" s="10"/>
      <c r="V377" s="11"/>
      <c r="W377" s="10"/>
      <c r="X377" s="11"/>
      <c r="Y377" s="10" t="s">
        <v>2884</v>
      </c>
      <c r="Z377" s="10" t="s">
        <v>2886</v>
      </c>
      <c r="AA377" s="11" t="s">
        <v>4340</v>
      </c>
      <c r="AB377" s="11"/>
      <c r="AC377" s="10" t="s">
        <v>3014</v>
      </c>
    </row>
    <row r="378" customFormat="false" ht="30" hidden="false" customHeight="true" outlineLevel="0" collapsed="false">
      <c r="A378" s="12" t="s">
        <v>4341</v>
      </c>
      <c r="B378" s="12" t="s">
        <v>4342</v>
      </c>
      <c r="C378" s="12" t="s">
        <v>4268</v>
      </c>
      <c r="D378" s="12" t="s">
        <v>2984</v>
      </c>
      <c r="E378" s="12" t="s">
        <v>2056</v>
      </c>
      <c r="F378" s="12" t="s">
        <v>2057</v>
      </c>
      <c r="G378" s="13" t="s">
        <v>3077</v>
      </c>
      <c r="H378" s="12" t="s">
        <v>2986</v>
      </c>
      <c r="I378" s="12" t="s">
        <v>2987</v>
      </c>
      <c r="J378" s="13" t="s">
        <v>1212</v>
      </c>
      <c r="K378" s="13" t="s">
        <v>433</v>
      </c>
      <c r="L378" s="12" t="s">
        <v>170</v>
      </c>
      <c r="M378" s="12" t="n">
        <v>59</v>
      </c>
      <c r="N378" s="12" t="n">
        <v>250</v>
      </c>
      <c r="O378" s="13" t="s">
        <v>2785</v>
      </c>
      <c r="P378" s="12" t="s">
        <v>3011</v>
      </c>
      <c r="Q378" s="13" t="s">
        <v>3035</v>
      </c>
      <c r="R378" s="13" t="s">
        <v>2991</v>
      </c>
      <c r="S378" s="13" t="s">
        <v>3036</v>
      </c>
      <c r="T378" s="13"/>
      <c r="U378" s="12"/>
      <c r="V378" s="13"/>
      <c r="W378" s="12"/>
      <c r="X378" s="13"/>
      <c r="Y378" s="12" t="s">
        <v>2888</v>
      </c>
      <c r="Z378" s="12" t="s">
        <v>1509</v>
      </c>
      <c r="AA378" s="13" t="s">
        <v>4343</v>
      </c>
      <c r="AB378" s="13"/>
      <c r="AC378" s="12" t="s">
        <v>2995</v>
      </c>
    </row>
    <row r="379" customFormat="false" ht="30" hidden="false" customHeight="true" outlineLevel="0" collapsed="false">
      <c r="A379" s="10" t="s">
        <v>4344</v>
      </c>
      <c r="B379" s="10" t="s">
        <v>4345</v>
      </c>
      <c r="C379" s="10" t="s">
        <v>4268</v>
      </c>
      <c r="D379" s="10" t="s">
        <v>2903</v>
      </c>
      <c r="E379" s="10" t="s">
        <v>2420</v>
      </c>
      <c r="F379" s="10" t="s">
        <v>2421</v>
      </c>
      <c r="G379" s="11" t="s">
        <v>3017</v>
      </c>
      <c r="H379" s="10" t="s">
        <v>3008</v>
      </c>
      <c r="I379" s="10" t="s">
        <v>3009</v>
      </c>
      <c r="J379" s="11" t="s">
        <v>1062</v>
      </c>
      <c r="K379" s="11" t="s">
        <v>438</v>
      </c>
      <c r="L379" s="10" t="s">
        <v>191</v>
      </c>
      <c r="M379" s="10" t="n">
        <v>47</v>
      </c>
      <c r="N379" s="10" t="n">
        <v>245</v>
      </c>
      <c r="O379" s="11" t="s">
        <v>3000</v>
      </c>
      <c r="P379" s="10" t="s">
        <v>2989</v>
      </c>
      <c r="Q379" s="11" t="s">
        <v>3917</v>
      </c>
      <c r="R379" s="11" t="s">
        <v>3055</v>
      </c>
      <c r="S379" s="11"/>
      <c r="T379" s="11"/>
      <c r="U379" s="10"/>
      <c r="V379" s="11"/>
      <c r="W379" s="10"/>
      <c r="X379" s="11"/>
      <c r="Y379" s="10" t="s">
        <v>2888</v>
      </c>
      <c r="Z379" s="10" t="s">
        <v>1509</v>
      </c>
      <c r="AA379" s="11" t="s">
        <v>4346</v>
      </c>
      <c r="AB379" s="11"/>
      <c r="AC379" s="10" t="s">
        <v>3014</v>
      </c>
    </row>
    <row r="380" customFormat="false" ht="30" hidden="false" customHeight="true" outlineLevel="0" collapsed="false">
      <c r="A380" s="12" t="s">
        <v>4347</v>
      </c>
      <c r="B380" s="12" t="s">
        <v>4348</v>
      </c>
      <c r="C380" s="12" t="s">
        <v>4268</v>
      </c>
      <c r="D380" s="12" t="s">
        <v>2984</v>
      </c>
      <c r="E380" s="12" t="s">
        <v>2038</v>
      </c>
      <c r="F380" s="12" t="s">
        <v>2039</v>
      </c>
      <c r="G380" s="13" t="s">
        <v>3084</v>
      </c>
      <c r="H380" s="12" t="s">
        <v>3018</v>
      </c>
      <c r="I380" s="12" t="s">
        <v>2987</v>
      </c>
      <c r="J380" s="13" t="s">
        <v>1219</v>
      </c>
      <c r="K380" s="13" t="s">
        <v>452</v>
      </c>
      <c r="L380" s="12" t="s">
        <v>191</v>
      </c>
      <c r="M380" s="12" t="n">
        <v>47</v>
      </c>
      <c r="N380" s="12" t="n">
        <v>230</v>
      </c>
      <c r="O380" s="13" t="s">
        <v>3000</v>
      </c>
      <c r="P380" s="12" t="s">
        <v>2989</v>
      </c>
      <c r="Q380" s="13"/>
      <c r="R380" s="13" t="s">
        <v>2991</v>
      </c>
      <c r="S380" s="13"/>
      <c r="T380" s="13"/>
      <c r="U380" s="12"/>
      <c r="V380" s="13"/>
      <c r="W380" s="12" t="s">
        <v>3351</v>
      </c>
      <c r="X380" s="13"/>
      <c r="Y380" s="12" t="s">
        <v>2888</v>
      </c>
      <c r="Z380" s="12" t="s">
        <v>1509</v>
      </c>
      <c r="AA380" s="13" t="s">
        <v>4349</v>
      </c>
      <c r="AB380" s="13"/>
      <c r="AC380" s="12" t="s">
        <v>2995</v>
      </c>
    </row>
    <row r="381" customFormat="false" ht="30" hidden="false" customHeight="true" outlineLevel="0" collapsed="false">
      <c r="A381" s="10" t="s">
        <v>4350</v>
      </c>
      <c r="B381" s="10" t="s">
        <v>4351</v>
      </c>
      <c r="C381" s="10" t="s">
        <v>4268</v>
      </c>
      <c r="D381" s="10" t="s">
        <v>2984</v>
      </c>
      <c r="E381" s="10" t="s">
        <v>2128</v>
      </c>
      <c r="F381" s="10" t="s">
        <v>2129</v>
      </c>
      <c r="G381" s="11" t="s">
        <v>3062</v>
      </c>
      <c r="H381" s="10" t="s">
        <v>2986</v>
      </c>
      <c r="I381" s="10" t="s">
        <v>3023</v>
      </c>
      <c r="J381" s="11" t="s">
        <v>1256</v>
      </c>
      <c r="K381" s="11" t="s">
        <v>433</v>
      </c>
      <c r="L381" s="10" t="s">
        <v>170</v>
      </c>
      <c r="M381" s="10" t="n">
        <v>83</v>
      </c>
      <c r="N381" s="10" t="n">
        <v>320</v>
      </c>
      <c r="O381" s="11" t="s">
        <v>3031</v>
      </c>
      <c r="P381" s="10" t="s">
        <v>3177</v>
      </c>
      <c r="Q381" s="11"/>
      <c r="R381" s="11" t="s">
        <v>2991</v>
      </c>
      <c r="S381" s="11"/>
      <c r="T381" s="11"/>
      <c r="U381" s="10"/>
      <c r="V381" s="11"/>
      <c r="W381" s="10"/>
      <c r="X381" s="11" t="s">
        <v>4352</v>
      </c>
      <c r="Y381" s="10" t="s">
        <v>2897</v>
      </c>
      <c r="Z381" s="10" t="s">
        <v>2898</v>
      </c>
      <c r="AA381" s="11" t="s">
        <v>4353</v>
      </c>
      <c r="AB381" s="11"/>
      <c r="AC381" s="10" t="s">
        <v>2995</v>
      </c>
    </row>
    <row r="382" customFormat="false" ht="30" hidden="false" customHeight="true" outlineLevel="0" collapsed="false">
      <c r="A382" s="12" t="s">
        <v>4354</v>
      </c>
      <c r="B382" s="12" t="s">
        <v>4355</v>
      </c>
      <c r="C382" s="12" t="s">
        <v>4268</v>
      </c>
      <c r="D382" s="12" t="s">
        <v>2984</v>
      </c>
      <c r="E382" s="12" t="s">
        <v>2002</v>
      </c>
      <c r="F382" s="12" t="s">
        <v>2003</v>
      </c>
      <c r="G382" s="13" t="s">
        <v>3034</v>
      </c>
      <c r="H382" s="12" t="s">
        <v>3018</v>
      </c>
      <c r="I382" s="12" t="s">
        <v>2987</v>
      </c>
      <c r="J382" s="13" t="s">
        <v>1201</v>
      </c>
      <c r="K382" s="13" t="s">
        <v>452</v>
      </c>
      <c r="L382" s="12" t="s">
        <v>170</v>
      </c>
      <c r="M382" s="12" t="n">
        <v>59</v>
      </c>
      <c r="N382" s="12" t="n">
        <v>245</v>
      </c>
      <c r="O382" s="13" t="s">
        <v>2785</v>
      </c>
      <c r="P382" s="12" t="s">
        <v>3011</v>
      </c>
      <c r="Q382" s="13" t="s">
        <v>3035</v>
      </c>
      <c r="R382" s="13" t="s">
        <v>2991</v>
      </c>
      <c r="S382" s="13" t="s">
        <v>3036</v>
      </c>
      <c r="T382" s="13"/>
      <c r="U382" s="12"/>
      <c r="V382" s="13"/>
      <c r="W382" s="12"/>
      <c r="X382" s="13"/>
      <c r="Y382" s="12" t="s">
        <v>2888</v>
      </c>
      <c r="Z382" s="12" t="s">
        <v>1509</v>
      </c>
      <c r="AA382" s="13" t="s">
        <v>4356</v>
      </c>
      <c r="AB382" s="13"/>
      <c r="AC382" s="12" t="s">
        <v>2995</v>
      </c>
    </row>
    <row r="383" customFormat="false" ht="30" hidden="false" customHeight="true" outlineLevel="0" collapsed="false">
      <c r="A383" s="10" t="s">
        <v>4357</v>
      </c>
      <c r="B383" s="10" t="s">
        <v>4358</v>
      </c>
      <c r="C383" s="10" t="s">
        <v>4268</v>
      </c>
      <c r="D383" s="10" t="s">
        <v>2984</v>
      </c>
      <c r="E383" s="10" t="s">
        <v>2030</v>
      </c>
      <c r="F383" s="10" t="s">
        <v>2031</v>
      </c>
      <c r="G383" s="11" t="s">
        <v>2998</v>
      </c>
      <c r="H383" s="10" t="s">
        <v>2986</v>
      </c>
      <c r="I383" s="10" t="s">
        <v>2987</v>
      </c>
      <c r="J383" s="11" t="s">
        <v>1193</v>
      </c>
      <c r="K383" s="11" t="s">
        <v>452</v>
      </c>
      <c r="L383" s="10" t="s">
        <v>191</v>
      </c>
      <c r="M383" s="10" t="n">
        <v>41</v>
      </c>
      <c r="N383" s="10" t="n">
        <v>210</v>
      </c>
      <c r="O383" s="11" t="s">
        <v>3000</v>
      </c>
      <c r="P383" s="10" t="s">
        <v>2989</v>
      </c>
      <c r="Q383" s="11" t="s">
        <v>3124</v>
      </c>
      <c r="R383" s="11" t="s">
        <v>2991</v>
      </c>
      <c r="S383" s="11" t="s">
        <v>3002</v>
      </c>
      <c r="T383" s="11"/>
      <c r="U383" s="10"/>
      <c r="V383" s="11"/>
      <c r="W383" s="10"/>
      <c r="X383" s="11"/>
      <c r="Y383" s="10" t="s">
        <v>2888</v>
      </c>
      <c r="Z383" s="10" t="s">
        <v>1509</v>
      </c>
      <c r="AA383" s="11" t="s">
        <v>3998</v>
      </c>
      <c r="AB383" s="11"/>
      <c r="AC383" s="10" t="s">
        <v>2995</v>
      </c>
    </row>
    <row r="384" customFormat="false" ht="30" hidden="false" customHeight="true" outlineLevel="0" collapsed="false">
      <c r="A384" s="12" t="s">
        <v>4359</v>
      </c>
      <c r="B384" s="12" t="s">
        <v>4360</v>
      </c>
      <c r="C384" s="12" t="s">
        <v>4268</v>
      </c>
      <c r="D384" s="12" t="s">
        <v>2984</v>
      </c>
      <c r="E384" s="12" t="s">
        <v>2034</v>
      </c>
      <c r="F384" s="12" t="s">
        <v>2035</v>
      </c>
      <c r="G384" s="13" t="s">
        <v>3022</v>
      </c>
      <c r="H384" s="12" t="s">
        <v>3049</v>
      </c>
      <c r="I384" s="12" t="s">
        <v>3023</v>
      </c>
      <c r="J384" s="13" t="s">
        <v>1259</v>
      </c>
      <c r="K384" s="13" t="s">
        <v>452</v>
      </c>
      <c r="L384" s="12" t="s">
        <v>191</v>
      </c>
      <c r="M384" s="12" t="n">
        <v>48</v>
      </c>
      <c r="N384" s="12" t="n">
        <v>530</v>
      </c>
      <c r="O384" s="13" t="s">
        <v>3024</v>
      </c>
      <c r="P384" s="12" t="s">
        <v>3177</v>
      </c>
      <c r="Q384" s="13" t="s">
        <v>4001</v>
      </c>
      <c r="R384" s="13" t="s">
        <v>3055</v>
      </c>
      <c r="S384" s="13"/>
      <c r="T384" s="13"/>
      <c r="U384" s="12"/>
      <c r="V384" s="13"/>
      <c r="W384" s="12"/>
      <c r="X384" s="13"/>
      <c r="Y384" s="12" t="s">
        <v>2897</v>
      </c>
      <c r="Z384" s="12" t="s">
        <v>2898</v>
      </c>
      <c r="AA384" s="13" t="s">
        <v>4361</v>
      </c>
      <c r="AB384" s="13"/>
      <c r="AC384" s="12" t="s">
        <v>2995</v>
      </c>
    </row>
    <row r="385" customFormat="false" ht="30" hidden="false" customHeight="true" outlineLevel="0" collapsed="false">
      <c r="A385" s="10" t="s">
        <v>4362</v>
      </c>
      <c r="B385" s="10" t="s">
        <v>4363</v>
      </c>
      <c r="C385" s="10" t="s">
        <v>4268</v>
      </c>
      <c r="D385" s="10" t="s">
        <v>2984</v>
      </c>
      <c r="E385" s="10" t="s">
        <v>2002</v>
      </c>
      <c r="F385" s="10" t="s">
        <v>2003</v>
      </c>
      <c r="G385" s="11" t="s">
        <v>3048</v>
      </c>
      <c r="H385" s="10" t="s">
        <v>3018</v>
      </c>
      <c r="I385" s="10" t="s">
        <v>2987</v>
      </c>
      <c r="J385" s="11" t="s">
        <v>1201</v>
      </c>
      <c r="K385" s="11" t="s">
        <v>452</v>
      </c>
      <c r="L385" s="10" t="s">
        <v>170</v>
      </c>
      <c r="M385" s="10" t="n">
        <v>85</v>
      </c>
      <c r="N385" s="10" t="n">
        <v>280</v>
      </c>
      <c r="O385" s="11" t="s">
        <v>2785</v>
      </c>
      <c r="P385" s="10" t="s">
        <v>3011</v>
      </c>
      <c r="Q385" s="11"/>
      <c r="R385" s="11" t="s">
        <v>2991</v>
      </c>
      <c r="S385" s="11"/>
      <c r="T385" s="11"/>
      <c r="U385" s="10"/>
      <c r="V385" s="11"/>
      <c r="W385" s="10"/>
      <c r="X385" s="11" t="s">
        <v>4364</v>
      </c>
      <c r="Y385" s="10" t="s">
        <v>2884</v>
      </c>
      <c r="Z385" s="10" t="s">
        <v>2886</v>
      </c>
      <c r="AA385" s="11" t="s">
        <v>4365</v>
      </c>
      <c r="AB385" s="11"/>
      <c r="AC385" s="10" t="s">
        <v>2995</v>
      </c>
    </row>
    <row r="386" customFormat="false" ht="30" hidden="false" customHeight="true" outlineLevel="0" collapsed="false">
      <c r="A386" s="12" t="s">
        <v>4366</v>
      </c>
      <c r="B386" s="12" t="s">
        <v>4367</v>
      </c>
      <c r="C386" s="12" t="s">
        <v>4268</v>
      </c>
      <c r="D386" s="12" t="s">
        <v>2984</v>
      </c>
      <c r="E386" s="12" t="s">
        <v>2036</v>
      </c>
      <c r="F386" s="12" t="s">
        <v>2037</v>
      </c>
      <c r="G386" s="13" t="s">
        <v>3092</v>
      </c>
      <c r="H386" s="12" t="s">
        <v>3018</v>
      </c>
      <c r="I386" s="12" t="s">
        <v>3023</v>
      </c>
      <c r="J386" s="13" t="s">
        <v>1240</v>
      </c>
      <c r="K386" s="13" t="s">
        <v>452</v>
      </c>
      <c r="L386" s="12" t="s">
        <v>170</v>
      </c>
      <c r="M386" s="12" t="n">
        <v>82</v>
      </c>
      <c r="N386" s="12" t="n">
        <v>270</v>
      </c>
      <c r="O386" s="13" t="s">
        <v>2785</v>
      </c>
      <c r="P386" s="12" t="s">
        <v>3011</v>
      </c>
      <c r="Q386" s="13"/>
      <c r="R386" s="13" t="s">
        <v>2991</v>
      </c>
      <c r="S386" s="13"/>
      <c r="T386" s="13"/>
      <c r="U386" s="12"/>
      <c r="V386" s="13"/>
      <c r="W386" s="12"/>
      <c r="X386" s="13"/>
      <c r="Y386" s="12" t="s">
        <v>2884</v>
      </c>
      <c r="Z386" s="12" t="s">
        <v>2886</v>
      </c>
      <c r="AA386" s="13" t="s">
        <v>4368</v>
      </c>
      <c r="AB386" s="13"/>
      <c r="AC386" s="12" t="s">
        <v>2995</v>
      </c>
    </row>
    <row r="387" customFormat="false" ht="30" hidden="false" customHeight="true" outlineLevel="0" collapsed="false">
      <c r="A387" s="10" t="s">
        <v>4369</v>
      </c>
      <c r="B387" s="10" t="s">
        <v>4370</v>
      </c>
      <c r="C387" s="10" t="s">
        <v>4268</v>
      </c>
      <c r="D387" s="10" t="s">
        <v>2903</v>
      </c>
      <c r="E387" s="10" t="s">
        <v>2441</v>
      </c>
      <c r="F387" s="10" t="s">
        <v>2442</v>
      </c>
      <c r="G387" s="11" t="s">
        <v>3029</v>
      </c>
      <c r="H387" s="10" t="s">
        <v>2999</v>
      </c>
      <c r="I387" s="10" t="s">
        <v>3009</v>
      </c>
      <c r="J387" s="11" t="s">
        <v>4371</v>
      </c>
      <c r="K387" s="11" t="s">
        <v>441</v>
      </c>
      <c r="L387" s="10" t="s">
        <v>177</v>
      </c>
      <c r="M387" s="10" t="n">
        <v>80</v>
      </c>
      <c r="N387" s="10" t="n">
        <v>375</v>
      </c>
      <c r="O387" s="11" t="s">
        <v>3031</v>
      </c>
      <c r="P387" s="10" t="s">
        <v>3011</v>
      </c>
      <c r="Q387" s="11"/>
      <c r="R387" s="11" t="s">
        <v>2991</v>
      </c>
      <c r="S387" s="11"/>
      <c r="T387" s="11"/>
      <c r="U387" s="10"/>
      <c r="V387" s="11"/>
      <c r="W387" s="10"/>
      <c r="X387" s="11"/>
      <c r="Y387" s="10" t="s">
        <v>2903</v>
      </c>
      <c r="Z387" s="10" t="s">
        <v>2904</v>
      </c>
      <c r="AA387" s="11" t="s">
        <v>4372</v>
      </c>
      <c r="AB387" s="11"/>
      <c r="AC387" s="10" t="s">
        <v>4373</v>
      </c>
    </row>
    <row r="388" customFormat="false" ht="30" hidden="false" customHeight="true" outlineLevel="0" collapsed="false">
      <c r="A388" s="12" t="s">
        <v>4374</v>
      </c>
      <c r="B388" s="12" t="s">
        <v>4375</v>
      </c>
      <c r="C388" s="12" t="s">
        <v>4268</v>
      </c>
      <c r="D388" s="12" t="s">
        <v>2984</v>
      </c>
      <c r="E388" s="12" t="s">
        <v>2020</v>
      </c>
      <c r="F388" s="12" t="s">
        <v>2021</v>
      </c>
      <c r="G388" s="13" t="s">
        <v>3080</v>
      </c>
      <c r="H388" s="12" t="s">
        <v>3018</v>
      </c>
      <c r="I388" s="12" t="s">
        <v>2987</v>
      </c>
      <c r="J388" s="13" t="s">
        <v>1207</v>
      </c>
      <c r="K388" s="13" t="s">
        <v>414</v>
      </c>
      <c r="L388" s="12" t="s">
        <v>177</v>
      </c>
      <c r="M388" s="12" t="n">
        <v>79</v>
      </c>
      <c r="N388" s="12" t="n">
        <v>360</v>
      </c>
      <c r="O388" s="13" t="s">
        <v>3031</v>
      </c>
      <c r="P388" s="12" t="s">
        <v>3041</v>
      </c>
      <c r="Q388" s="13" t="s">
        <v>3237</v>
      </c>
      <c r="R388" s="13" t="s">
        <v>2991</v>
      </c>
      <c r="S388" s="13"/>
      <c r="T388" s="13"/>
      <c r="U388" s="12"/>
      <c r="V388" s="13"/>
      <c r="W388" s="12" t="s">
        <v>3104</v>
      </c>
      <c r="X388" s="13"/>
      <c r="Y388" s="12" t="s">
        <v>2824</v>
      </c>
      <c r="Z388" s="12" t="s">
        <v>2892</v>
      </c>
      <c r="AA388" s="13" t="s">
        <v>4005</v>
      </c>
      <c r="AB388" s="13"/>
      <c r="AC388" s="12" t="s">
        <v>2995</v>
      </c>
    </row>
    <row r="389" customFormat="false" ht="30" hidden="false" customHeight="true" outlineLevel="0" collapsed="false">
      <c r="A389" s="10" t="s">
        <v>4376</v>
      </c>
      <c r="B389" s="10" t="s">
        <v>4377</v>
      </c>
      <c r="C389" s="10" t="s">
        <v>4268</v>
      </c>
      <c r="D389" s="10" t="s">
        <v>2984</v>
      </c>
      <c r="E389" s="10" t="s">
        <v>2016</v>
      </c>
      <c r="F389" s="10" t="s">
        <v>2017</v>
      </c>
      <c r="G389" s="11" t="s">
        <v>3088</v>
      </c>
      <c r="H389" s="10" t="s">
        <v>3018</v>
      </c>
      <c r="I389" s="10" t="s">
        <v>2987</v>
      </c>
      <c r="J389" s="11" t="s">
        <v>1212</v>
      </c>
      <c r="K389" s="11" t="s">
        <v>452</v>
      </c>
      <c r="L389" s="10" t="s">
        <v>170</v>
      </c>
      <c r="M389" s="10" t="n">
        <v>82</v>
      </c>
      <c r="N389" s="10" t="n">
        <v>265</v>
      </c>
      <c r="O389" s="11" t="s">
        <v>2785</v>
      </c>
      <c r="P389" s="10" t="s">
        <v>3011</v>
      </c>
      <c r="Q389" s="11"/>
      <c r="R389" s="11" t="s">
        <v>2991</v>
      </c>
      <c r="S389" s="11"/>
      <c r="T389" s="11"/>
      <c r="U389" s="10"/>
      <c r="V389" s="11"/>
      <c r="W389" s="10"/>
      <c r="X389" s="11"/>
      <c r="Y389" s="10" t="s">
        <v>2884</v>
      </c>
      <c r="Z389" s="10" t="s">
        <v>2886</v>
      </c>
      <c r="AA389" s="11" t="s">
        <v>4378</v>
      </c>
      <c r="AB389" s="11"/>
      <c r="AC389" s="10" t="s">
        <v>3655</v>
      </c>
    </row>
    <row r="390" customFormat="false" ht="30" hidden="false" customHeight="true" outlineLevel="0" collapsed="false">
      <c r="A390" s="12" t="s">
        <v>4379</v>
      </c>
      <c r="B390" s="12" t="s">
        <v>4380</v>
      </c>
      <c r="C390" s="12" t="s">
        <v>4268</v>
      </c>
      <c r="D390" s="12" t="s">
        <v>2984</v>
      </c>
      <c r="E390" s="12" t="s">
        <v>2096</v>
      </c>
      <c r="F390" s="12" t="s">
        <v>2097</v>
      </c>
      <c r="G390" s="13" t="s">
        <v>3058</v>
      </c>
      <c r="H390" s="12" t="s">
        <v>3072</v>
      </c>
      <c r="I390" s="12" t="s">
        <v>3073</v>
      </c>
      <c r="J390" s="13" t="s">
        <v>1291</v>
      </c>
      <c r="K390" s="13" t="s">
        <v>455</v>
      </c>
      <c r="L390" s="12" t="s">
        <v>177</v>
      </c>
      <c r="M390" s="12" t="n">
        <v>80</v>
      </c>
      <c r="N390" s="12" t="n">
        <v>350</v>
      </c>
      <c r="O390" s="13" t="s">
        <v>3031</v>
      </c>
      <c r="P390" s="12" t="s">
        <v>2989</v>
      </c>
      <c r="Q390" s="13" t="s">
        <v>2990</v>
      </c>
      <c r="R390" s="13" t="s">
        <v>2991</v>
      </c>
      <c r="S390" s="13"/>
      <c r="T390" s="13"/>
      <c r="U390" s="12"/>
      <c r="V390" s="13"/>
      <c r="W390" s="12"/>
      <c r="X390" s="13"/>
      <c r="Y390" s="12" t="s">
        <v>2903</v>
      </c>
      <c r="Z390" s="12" t="s">
        <v>2904</v>
      </c>
      <c r="AA390" s="13" t="s">
        <v>4381</v>
      </c>
      <c r="AB390" s="13"/>
      <c r="AC390" s="12" t="s">
        <v>2995</v>
      </c>
    </row>
    <row r="391" customFormat="false" ht="30" hidden="false" customHeight="true" outlineLevel="0" collapsed="false">
      <c r="A391" s="10" t="s">
        <v>4382</v>
      </c>
      <c r="B391" s="10" t="s">
        <v>4383</v>
      </c>
      <c r="C391" s="10" t="s">
        <v>4268</v>
      </c>
      <c r="D391" s="10" t="s">
        <v>2984</v>
      </c>
      <c r="E391" s="10" t="s">
        <v>2024</v>
      </c>
      <c r="F391" s="10" t="s">
        <v>2025</v>
      </c>
      <c r="G391" s="11" t="s">
        <v>3062</v>
      </c>
      <c r="H391" s="10" t="s">
        <v>2986</v>
      </c>
      <c r="I391" s="10" t="s">
        <v>2987</v>
      </c>
      <c r="J391" s="11" t="s">
        <v>1212</v>
      </c>
      <c r="K391" s="11" t="s">
        <v>433</v>
      </c>
      <c r="L391" s="10" t="s">
        <v>170</v>
      </c>
      <c r="M391" s="10" t="n">
        <v>82</v>
      </c>
      <c r="N391" s="10" t="n">
        <v>250</v>
      </c>
      <c r="O391" s="11" t="s">
        <v>2785</v>
      </c>
      <c r="P391" s="10" t="s">
        <v>3011</v>
      </c>
      <c r="Q391" s="11"/>
      <c r="R391" s="11" t="s">
        <v>2991</v>
      </c>
      <c r="S391" s="11"/>
      <c r="T391" s="11"/>
      <c r="U391" s="10"/>
      <c r="V391" s="11"/>
      <c r="W391" s="10"/>
      <c r="X391" s="11"/>
      <c r="Y391" s="10" t="s">
        <v>2884</v>
      </c>
      <c r="Z391" s="10" t="s">
        <v>2886</v>
      </c>
      <c r="AA391" s="11" t="s">
        <v>4384</v>
      </c>
      <c r="AB391" s="11"/>
      <c r="AC391" s="10" t="s">
        <v>2995</v>
      </c>
    </row>
    <row r="392" customFormat="false" ht="30" hidden="false" customHeight="true" outlineLevel="0" collapsed="false">
      <c r="A392" s="12" t="s">
        <v>4385</v>
      </c>
      <c r="B392" s="12" t="s">
        <v>4386</v>
      </c>
      <c r="C392" s="12" t="s">
        <v>4268</v>
      </c>
      <c r="D392" s="12" t="s">
        <v>2903</v>
      </c>
      <c r="E392" s="12" t="s">
        <v>2422</v>
      </c>
      <c r="F392" s="12" t="s">
        <v>2423</v>
      </c>
      <c r="G392" s="13" t="s">
        <v>2998</v>
      </c>
      <c r="H392" s="12" t="s">
        <v>3049</v>
      </c>
      <c r="I392" s="12" t="s">
        <v>3009</v>
      </c>
      <c r="J392" s="13" t="s">
        <v>1259</v>
      </c>
      <c r="K392" s="13" t="s">
        <v>452</v>
      </c>
      <c r="L392" s="12" t="s">
        <v>191</v>
      </c>
      <c r="M392" s="12" t="n">
        <v>42</v>
      </c>
      <c r="N392" s="12" t="n">
        <v>225</v>
      </c>
      <c r="O392" s="13" t="s">
        <v>3000</v>
      </c>
      <c r="P392" s="12" t="s">
        <v>2989</v>
      </c>
      <c r="Q392" s="13" t="s">
        <v>4387</v>
      </c>
      <c r="R392" s="13" t="s">
        <v>2991</v>
      </c>
      <c r="S392" s="13" t="s">
        <v>3002</v>
      </c>
      <c r="T392" s="13"/>
      <c r="U392" s="12"/>
      <c r="V392" s="13"/>
      <c r="W392" s="12"/>
      <c r="X392" s="13" t="s">
        <v>4388</v>
      </c>
      <c r="Y392" s="12" t="s">
        <v>2897</v>
      </c>
      <c r="Z392" s="12" t="s">
        <v>2898</v>
      </c>
      <c r="AA392" s="13" t="s">
        <v>4389</v>
      </c>
      <c r="AB392" s="13"/>
      <c r="AC392" s="12" t="s">
        <v>3143</v>
      </c>
    </row>
    <row r="393" customFormat="false" ht="30" hidden="false" customHeight="true" outlineLevel="0" collapsed="false">
      <c r="A393" s="10" t="s">
        <v>4390</v>
      </c>
      <c r="B393" s="10" t="s">
        <v>4391</v>
      </c>
      <c r="C393" s="10" t="s">
        <v>4268</v>
      </c>
      <c r="D393" s="10" t="s">
        <v>2903</v>
      </c>
      <c r="E393" s="10" t="s">
        <v>2429</v>
      </c>
      <c r="F393" s="10" t="s">
        <v>2430</v>
      </c>
      <c r="G393" s="11" t="s">
        <v>3039</v>
      </c>
      <c r="H393" s="10" t="s">
        <v>3008</v>
      </c>
      <c r="I393" s="10" t="s">
        <v>2987</v>
      </c>
      <c r="J393" s="11" t="s">
        <v>4392</v>
      </c>
      <c r="K393" s="11" t="s">
        <v>438</v>
      </c>
      <c r="L393" s="10" t="s">
        <v>184</v>
      </c>
      <c r="M393" s="10" t="n">
        <v>87</v>
      </c>
      <c r="N393" s="10" t="n">
        <v>465</v>
      </c>
      <c r="O393" s="11" t="s">
        <v>2792</v>
      </c>
      <c r="P393" s="10" t="s">
        <v>2989</v>
      </c>
      <c r="Q393" s="11" t="s">
        <v>3118</v>
      </c>
      <c r="R393" s="11" t="s">
        <v>3201</v>
      </c>
      <c r="S393" s="11"/>
      <c r="T393" s="11"/>
      <c r="U393" s="10"/>
      <c r="V393" s="11"/>
      <c r="W393" s="10"/>
      <c r="X393" s="11"/>
      <c r="Y393" s="10" t="s">
        <v>2888</v>
      </c>
      <c r="Z393" s="10" t="s">
        <v>1509</v>
      </c>
      <c r="AA393" s="11" t="s">
        <v>4393</v>
      </c>
      <c r="AB393" s="11"/>
      <c r="AC393" s="10" t="s">
        <v>3467</v>
      </c>
    </row>
    <row r="394" customFormat="false" ht="30" hidden="false" customHeight="true" outlineLevel="0" collapsed="false">
      <c r="A394" s="12" t="s">
        <v>4394</v>
      </c>
      <c r="B394" s="12" t="s">
        <v>4395</v>
      </c>
      <c r="C394" s="12" t="s">
        <v>4268</v>
      </c>
      <c r="D394" s="12" t="s">
        <v>2984</v>
      </c>
      <c r="E394" s="12" t="s">
        <v>2060</v>
      </c>
      <c r="F394" s="12" t="s">
        <v>2061</v>
      </c>
      <c r="G394" s="13" t="s">
        <v>2998</v>
      </c>
      <c r="H394" s="12" t="s">
        <v>3018</v>
      </c>
      <c r="I394" s="12" t="s">
        <v>2987</v>
      </c>
      <c r="J394" s="13" t="s">
        <v>1207</v>
      </c>
      <c r="K394" s="13" t="s">
        <v>452</v>
      </c>
      <c r="L394" s="12" t="s">
        <v>191</v>
      </c>
      <c r="M394" s="12" t="n">
        <v>41</v>
      </c>
      <c r="N394" s="12" t="n">
        <v>215</v>
      </c>
      <c r="O394" s="13" t="s">
        <v>3000</v>
      </c>
      <c r="P394" s="12" t="s">
        <v>2989</v>
      </c>
      <c r="Q394" s="13" t="s">
        <v>3124</v>
      </c>
      <c r="R394" s="13" t="s">
        <v>2991</v>
      </c>
      <c r="S394" s="13" t="s">
        <v>3002</v>
      </c>
      <c r="T394" s="13"/>
      <c r="U394" s="12"/>
      <c r="V394" s="13"/>
      <c r="W394" s="12"/>
      <c r="X394" s="13"/>
      <c r="Y394" s="12" t="s">
        <v>2888</v>
      </c>
      <c r="Z394" s="12" t="s">
        <v>1509</v>
      </c>
      <c r="AA394" s="13" t="s">
        <v>4396</v>
      </c>
      <c r="AB394" s="13"/>
      <c r="AC394" s="12" t="s">
        <v>2995</v>
      </c>
    </row>
    <row r="395" customFormat="false" ht="30" hidden="false" customHeight="true" outlineLevel="0" collapsed="false">
      <c r="A395" s="10" t="s">
        <v>4397</v>
      </c>
      <c r="B395" s="10" t="s">
        <v>4398</v>
      </c>
      <c r="C395" s="10" t="s">
        <v>4268</v>
      </c>
      <c r="D395" s="10" t="s">
        <v>2984</v>
      </c>
      <c r="E395" s="10" t="s">
        <v>2032</v>
      </c>
      <c r="F395" s="10" t="s">
        <v>2033</v>
      </c>
      <c r="G395" s="11" t="s">
        <v>3077</v>
      </c>
      <c r="H395" s="10" t="s">
        <v>2986</v>
      </c>
      <c r="I395" s="10" t="s">
        <v>2987</v>
      </c>
      <c r="J395" s="11" t="s">
        <v>1216</v>
      </c>
      <c r="K395" s="11" t="s">
        <v>452</v>
      </c>
      <c r="L395" s="10" t="s">
        <v>170</v>
      </c>
      <c r="M395" s="10" t="n">
        <v>57</v>
      </c>
      <c r="N395" s="10" t="n">
        <v>255</v>
      </c>
      <c r="O395" s="11" t="s">
        <v>2785</v>
      </c>
      <c r="P395" s="10" t="s">
        <v>3011</v>
      </c>
      <c r="Q395" s="11" t="s">
        <v>3035</v>
      </c>
      <c r="R395" s="11" t="s">
        <v>2991</v>
      </c>
      <c r="S395" s="11" t="s">
        <v>3036</v>
      </c>
      <c r="T395" s="11"/>
      <c r="U395" s="10"/>
      <c r="V395" s="11"/>
      <c r="W395" s="10"/>
      <c r="X395" s="11"/>
      <c r="Y395" s="10" t="s">
        <v>2888</v>
      </c>
      <c r="Z395" s="10" t="s">
        <v>1509</v>
      </c>
      <c r="AA395" s="11" t="s">
        <v>4399</v>
      </c>
      <c r="AB395" s="11"/>
      <c r="AC395" s="10" t="s">
        <v>2995</v>
      </c>
    </row>
    <row r="396" customFormat="false" ht="30" hidden="false" customHeight="true" outlineLevel="0" collapsed="false">
      <c r="A396" s="12" t="s">
        <v>4400</v>
      </c>
      <c r="B396" s="12" t="s">
        <v>4401</v>
      </c>
      <c r="C396" s="12" t="s">
        <v>4268</v>
      </c>
      <c r="D396" s="12" t="s">
        <v>2903</v>
      </c>
      <c r="E396" s="12" t="s">
        <v>2429</v>
      </c>
      <c r="F396" s="12" t="s">
        <v>2430</v>
      </c>
      <c r="G396" s="13" t="s">
        <v>3007</v>
      </c>
      <c r="H396" s="12" t="s">
        <v>3008</v>
      </c>
      <c r="I396" s="12" t="s">
        <v>2987</v>
      </c>
      <c r="J396" s="13" t="s">
        <v>975</v>
      </c>
      <c r="K396" s="13" t="s">
        <v>438</v>
      </c>
      <c r="L396" s="12" t="s">
        <v>170</v>
      </c>
      <c r="M396" s="12" t="n">
        <v>86</v>
      </c>
      <c r="N396" s="12" t="n">
        <v>260</v>
      </c>
      <c r="O396" s="13" t="s">
        <v>2785</v>
      </c>
      <c r="P396" s="12" t="s">
        <v>2989</v>
      </c>
      <c r="Q396" s="13" t="s">
        <v>3118</v>
      </c>
      <c r="R396" s="13" t="s">
        <v>2991</v>
      </c>
      <c r="S396" s="13"/>
      <c r="T396" s="13"/>
      <c r="U396" s="12"/>
      <c r="V396" s="13"/>
      <c r="W396" s="12"/>
      <c r="X396" s="13" t="s">
        <v>4402</v>
      </c>
      <c r="Y396" s="12" t="s">
        <v>2888</v>
      </c>
      <c r="Z396" s="12" t="s">
        <v>1509</v>
      </c>
      <c r="AA396" s="13" t="s">
        <v>4191</v>
      </c>
      <c r="AB396" s="13"/>
      <c r="AC396" s="12" t="s">
        <v>3467</v>
      </c>
    </row>
    <row r="397" customFormat="false" ht="30" hidden="false" customHeight="true" outlineLevel="0" collapsed="false">
      <c r="A397" s="10" t="s">
        <v>4403</v>
      </c>
      <c r="B397" s="10" t="s">
        <v>4404</v>
      </c>
      <c r="C397" s="10" t="s">
        <v>4268</v>
      </c>
      <c r="D397" s="10" t="s">
        <v>2984</v>
      </c>
      <c r="E397" s="10" t="s">
        <v>2076</v>
      </c>
      <c r="F397" s="10" t="s">
        <v>2077</v>
      </c>
      <c r="G397" s="11" t="s">
        <v>3034</v>
      </c>
      <c r="H397" s="10" t="s">
        <v>3072</v>
      </c>
      <c r="I397" s="10" t="s">
        <v>3073</v>
      </c>
      <c r="J397" s="11" t="s">
        <v>1303</v>
      </c>
      <c r="K397" s="11" t="s">
        <v>452</v>
      </c>
      <c r="L397" s="10" t="s">
        <v>170</v>
      </c>
      <c r="M397" s="10" t="n">
        <v>58</v>
      </c>
      <c r="N397" s="10" t="n">
        <v>265</v>
      </c>
      <c r="O397" s="11" t="s">
        <v>2785</v>
      </c>
      <c r="P397" s="10" t="s">
        <v>3041</v>
      </c>
      <c r="Q397" s="11" t="s">
        <v>4300</v>
      </c>
      <c r="R397" s="11" t="s">
        <v>2991</v>
      </c>
      <c r="S397" s="11" t="s">
        <v>3036</v>
      </c>
      <c r="T397" s="11"/>
      <c r="U397" s="10"/>
      <c r="V397" s="11"/>
      <c r="W397" s="10" t="s">
        <v>3104</v>
      </c>
      <c r="X397" s="11"/>
      <c r="Y397" s="10" t="s">
        <v>2824</v>
      </c>
      <c r="Z397" s="10" t="s">
        <v>2892</v>
      </c>
      <c r="AA397" s="11" t="s">
        <v>4405</v>
      </c>
      <c r="AB397" s="11"/>
      <c r="AC397" s="10" t="s">
        <v>2995</v>
      </c>
    </row>
    <row r="398" customFormat="false" ht="30" hidden="false" customHeight="true" outlineLevel="0" collapsed="false">
      <c r="A398" s="12" t="s">
        <v>4406</v>
      </c>
      <c r="B398" s="12" t="s">
        <v>4407</v>
      </c>
      <c r="C398" s="12" t="s">
        <v>4268</v>
      </c>
      <c r="D398" s="12" t="s">
        <v>2984</v>
      </c>
      <c r="E398" s="12" t="s">
        <v>2080</v>
      </c>
      <c r="F398" s="12" t="s">
        <v>2081</v>
      </c>
      <c r="G398" s="13" t="s">
        <v>2985</v>
      </c>
      <c r="H398" s="12" t="s">
        <v>2986</v>
      </c>
      <c r="I398" s="12" t="s">
        <v>3023</v>
      </c>
      <c r="J398" s="13" t="s">
        <v>1256</v>
      </c>
      <c r="K398" s="13" t="s">
        <v>433</v>
      </c>
      <c r="L398" s="12" t="s">
        <v>184</v>
      </c>
      <c r="M398" s="12" t="n">
        <v>88</v>
      </c>
      <c r="N398" s="12" t="n">
        <v>400</v>
      </c>
      <c r="O398" s="13" t="s">
        <v>2792</v>
      </c>
      <c r="P398" s="12" t="s">
        <v>3177</v>
      </c>
      <c r="Q398" s="13" t="s">
        <v>3067</v>
      </c>
      <c r="R398" s="13" t="s">
        <v>3201</v>
      </c>
      <c r="S398" s="13"/>
      <c r="T398" s="13"/>
      <c r="U398" s="12"/>
      <c r="V398" s="13"/>
      <c r="W398" s="12" t="s">
        <v>4408</v>
      </c>
      <c r="X398" s="13"/>
      <c r="Y398" s="12" t="s">
        <v>2897</v>
      </c>
      <c r="Z398" s="12" t="s">
        <v>2898</v>
      </c>
      <c r="AA398" s="13" t="s">
        <v>4409</v>
      </c>
      <c r="AB398" s="13"/>
      <c r="AC398" s="12" t="s">
        <v>2995</v>
      </c>
    </row>
    <row r="399" customFormat="false" ht="30" hidden="false" customHeight="true" outlineLevel="0" collapsed="false">
      <c r="A399" s="10" t="s">
        <v>4410</v>
      </c>
      <c r="B399" s="10" t="s">
        <v>4411</v>
      </c>
      <c r="C399" s="10" t="s">
        <v>4268</v>
      </c>
      <c r="D399" s="10" t="s">
        <v>2984</v>
      </c>
      <c r="E399" s="10" t="s">
        <v>2022</v>
      </c>
      <c r="F399" s="10" t="s">
        <v>2023</v>
      </c>
      <c r="G399" s="11" t="s">
        <v>3112</v>
      </c>
      <c r="H399" s="10" t="s">
        <v>2986</v>
      </c>
      <c r="I399" s="10" t="s">
        <v>2987</v>
      </c>
      <c r="J399" s="11" t="s">
        <v>1222</v>
      </c>
      <c r="K399" s="11" t="s">
        <v>433</v>
      </c>
      <c r="L399" s="10" t="s">
        <v>191</v>
      </c>
      <c r="M399" s="10" t="n">
        <v>50</v>
      </c>
      <c r="N399" s="10" t="n">
        <v>535</v>
      </c>
      <c r="O399" s="11" t="s">
        <v>3024</v>
      </c>
      <c r="P399" s="10" t="s">
        <v>2989</v>
      </c>
      <c r="Q399" s="11"/>
      <c r="R399" s="11" t="s">
        <v>2991</v>
      </c>
      <c r="S399" s="11"/>
      <c r="T399" s="11"/>
      <c r="U399" s="10"/>
      <c r="V399" s="11"/>
      <c r="W399" s="10"/>
      <c r="X399" s="11"/>
      <c r="Y399" s="10" t="s">
        <v>2888</v>
      </c>
      <c r="Z399" s="10" t="s">
        <v>1509</v>
      </c>
      <c r="AA399" s="11" t="s">
        <v>4412</v>
      </c>
      <c r="AB399" s="11"/>
      <c r="AC399" s="10" t="s">
        <v>2995</v>
      </c>
    </row>
    <row r="400" customFormat="false" ht="30" hidden="false" customHeight="true" outlineLevel="0" collapsed="false">
      <c r="A400" s="12" t="s">
        <v>4413</v>
      </c>
      <c r="B400" s="12" t="s">
        <v>4414</v>
      </c>
      <c r="C400" s="12" t="s">
        <v>4268</v>
      </c>
      <c r="D400" s="12" t="s">
        <v>2984</v>
      </c>
      <c r="E400" s="12" t="s">
        <v>2012</v>
      </c>
      <c r="F400" s="12" t="s">
        <v>2013</v>
      </c>
      <c r="G400" s="13" t="s">
        <v>3058</v>
      </c>
      <c r="H400" s="12" t="s">
        <v>3018</v>
      </c>
      <c r="I400" s="12" t="s">
        <v>3023</v>
      </c>
      <c r="J400" s="13" t="s">
        <v>1256</v>
      </c>
      <c r="K400" s="13" t="s">
        <v>452</v>
      </c>
      <c r="L400" s="12" t="s">
        <v>184</v>
      </c>
      <c r="M400" s="12" t="n">
        <v>86</v>
      </c>
      <c r="N400" s="12" t="n">
        <v>430</v>
      </c>
      <c r="O400" s="13" t="s">
        <v>2792</v>
      </c>
      <c r="P400" s="12" t="s">
        <v>2989</v>
      </c>
      <c r="Q400" s="13" t="s">
        <v>4415</v>
      </c>
      <c r="R400" s="13" t="s">
        <v>3444</v>
      </c>
      <c r="S400" s="13"/>
      <c r="T400" s="13"/>
      <c r="U400" s="12"/>
      <c r="V400" s="13"/>
      <c r="W400" s="12"/>
      <c r="X400" s="13"/>
      <c r="Y400" s="12" t="s">
        <v>2888</v>
      </c>
      <c r="Z400" s="12" t="s">
        <v>1509</v>
      </c>
      <c r="AA400" s="13" t="s">
        <v>4416</v>
      </c>
      <c r="AB400" s="13"/>
      <c r="AC400" s="12" t="s">
        <v>2995</v>
      </c>
    </row>
    <row r="401" customFormat="false" ht="30" hidden="false" customHeight="true" outlineLevel="0" collapsed="false">
      <c r="A401" s="10" t="s">
        <v>4417</v>
      </c>
      <c r="B401" s="10" t="s">
        <v>4418</v>
      </c>
      <c r="C401" s="10" t="s">
        <v>4268</v>
      </c>
      <c r="D401" s="10" t="s">
        <v>2903</v>
      </c>
      <c r="E401" s="10" t="s">
        <v>2433</v>
      </c>
      <c r="F401" s="10" t="s">
        <v>2434</v>
      </c>
      <c r="G401" s="11" t="s">
        <v>3065</v>
      </c>
      <c r="H401" s="10" t="s">
        <v>2999</v>
      </c>
      <c r="I401" s="10" t="s">
        <v>3009</v>
      </c>
      <c r="J401" s="11" t="s">
        <v>1026</v>
      </c>
      <c r="K401" s="11" t="s">
        <v>452</v>
      </c>
      <c r="L401" s="10" t="s">
        <v>191</v>
      </c>
      <c r="M401" s="10" t="n">
        <v>49</v>
      </c>
      <c r="N401" s="10" t="n">
        <v>510</v>
      </c>
      <c r="O401" s="11" t="s">
        <v>3024</v>
      </c>
      <c r="P401" s="10" t="s">
        <v>2989</v>
      </c>
      <c r="Q401" s="11" t="s">
        <v>3025</v>
      </c>
      <c r="R401" s="11" t="s">
        <v>2991</v>
      </c>
      <c r="S401" s="11"/>
      <c r="T401" s="11" t="s">
        <v>4419</v>
      </c>
      <c r="U401" s="10"/>
      <c r="V401" s="11"/>
      <c r="W401" s="10"/>
      <c r="X401" s="11"/>
      <c r="Y401" s="10" t="s">
        <v>2888</v>
      </c>
      <c r="Z401" s="10" t="s">
        <v>1509</v>
      </c>
      <c r="AA401" s="11" t="s">
        <v>4420</v>
      </c>
      <c r="AB401" s="11"/>
      <c r="AC401" s="10" t="s">
        <v>2995</v>
      </c>
    </row>
    <row r="402" customFormat="false" ht="30" hidden="false" customHeight="true" outlineLevel="0" collapsed="false">
      <c r="A402" s="12" t="s">
        <v>4421</v>
      </c>
      <c r="B402" s="12" t="s">
        <v>4422</v>
      </c>
      <c r="C402" s="12" t="s">
        <v>4268</v>
      </c>
      <c r="D402" s="12" t="s">
        <v>2984</v>
      </c>
      <c r="E402" s="12" t="s">
        <v>2106</v>
      </c>
      <c r="F402" s="12" t="s">
        <v>2107</v>
      </c>
      <c r="G402" s="13" t="s">
        <v>3048</v>
      </c>
      <c r="H402" s="12" t="s">
        <v>3018</v>
      </c>
      <c r="I402" s="12" t="s">
        <v>3023</v>
      </c>
      <c r="J402" s="13" t="s">
        <v>1244</v>
      </c>
      <c r="K402" s="13" t="s">
        <v>452</v>
      </c>
      <c r="L402" s="12" t="s">
        <v>170</v>
      </c>
      <c r="M402" s="12" t="n">
        <v>82</v>
      </c>
      <c r="N402" s="12" t="n">
        <v>260</v>
      </c>
      <c r="O402" s="13" t="s">
        <v>2785</v>
      </c>
      <c r="P402" s="12" t="s">
        <v>3011</v>
      </c>
      <c r="Q402" s="13"/>
      <c r="R402" s="13" t="s">
        <v>2991</v>
      </c>
      <c r="S402" s="13"/>
      <c r="T402" s="13"/>
      <c r="U402" s="12"/>
      <c r="V402" s="13"/>
      <c r="W402" s="12"/>
      <c r="X402" s="13"/>
      <c r="Y402" s="12" t="s">
        <v>2884</v>
      </c>
      <c r="Z402" s="12" t="s">
        <v>2886</v>
      </c>
      <c r="AA402" s="13" t="s">
        <v>4121</v>
      </c>
      <c r="AB402" s="13"/>
      <c r="AC402" s="12" t="s">
        <v>2995</v>
      </c>
    </row>
    <row r="403" customFormat="false" ht="30" hidden="false" customHeight="true" outlineLevel="0" collapsed="false">
      <c r="A403" s="10" t="s">
        <v>4423</v>
      </c>
      <c r="B403" s="10" t="s">
        <v>4424</v>
      </c>
      <c r="C403" s="10" t="s">
        <v>4268</v>
      </c>
      <c r="D403" s="10" t="s">
        <v>2984</v>
      </c>
      <c r="E403" s="10" t="s">
        <v>2028</v>
      </c>
      <c r="F403" s="10" t="s">
        <v>2029</v>
      </c>
      <c r="G403" s="11" t="s">
        <v>3092</v>
      </c>
      <c r="H403" s="10" t="s">
        <v>3018</v>
      </c>
      <c r="I403" s="10" t="s">
        <v>3023</v>
      </c>
      <c r="J403" s="11" t="s">
        <v>1253</v>
      </c>
      <c r="K403" s="11" t="s">
        <v>452</v>
      </c>
      <c r="L403" s="10" t="s">
        <v>170</v>
      </c>
      <c r="M403" s="10" t="n">
        <v>84</v>
      </c>
      <c r="N403" s="10" t="n">
        <v>270</v>
      </c>
      <c r="O403" s="11" t="s">
        <v>2785</v>
      </c>
      <c r="P403" s="10" t="s">
        <v>3011</v>
      </c>
      <c r="Q403" s="11"/>
      <c r="R403" s="11" t="s">
        <v>2991</v>
      </c>
      <c r="S403" s="11"/>
      <c r="T403" s="11"/>
      <c r="U403" s="10"/>
      <c r="V403" s="11"/>
      <c r="W403" s="10"/>
      <c r="X403" s="11"/>
      <c r="Y403" s="10" t="s">
        <v>2884</v>
      </c>
      <c r="Z403" s="10" t="s">
        <v>2886</v>
      </c>
      <c r="AA403" s="11" t="s">
        <v>4425</v>
      </c>
      <c r="AB403" s="11"/>
      <c r="AC403" s="10" t="s">
        <v>2995</v>
      </c>
    </row>
    <row r="404" customFormat="false" ht="30" hidden="false" customHeight="true" outlineLevel="0" collapsed="false">
      <c r="A404" s="12" t="s">
        <v>4426</v>
      </c>
      <c r="B404" s="12" t="s">
        <v>4427</v>
      </c>
      <c r="C404" s="12" t="s">
        <v>4268</v>
      </c>
      <c r="D404" s="12" t="s">
        <v>2903</v>
      </c>
      <c r="E404" s="12" t="s">
        <v>2445</v>
      </c>
      <c r="F404" s="12" t="s">
        <v>2446</v>
      </c>
      <c r="G404" s="13" t="s">
        <v>3071</v>
      </c>
      <c r="H404" s="12" t="s">
        <v>3072</v>
      </c>
      <c r="I404" s="12" t="s">
        <v>3073</v>
      </c>
      <c r="J404" s="13" t="s">
        <v>1296</v>
      </c>
      <c r="K404" s="13" t="s">
        <v>452</v>
      </c>
      <c r="L404" s="12" t="s">
        <v>170</v>
      </c>
      <c r="M404" s="12" t="n">
        <v>85</v>
      </c>
      <c r="N404" s="12" t="n">
        <v>315</v>
      </c>
      <c r="O404" s="13" t="s">
        <v>2785</v>
      </c>
      <c r="P404" s="12" t="s">
        <v>3011</v>
      </c>
      <c r="Q404" s="13"/>
      <c r="R404" s="13" t="s">
        <v>2991</v>
      </c>
      <c r="S404" s="13"/>
      <c r="T404" s="13"/>
      <c r="U404" s="12"/>
      <c r="V404" s="13"/>
      <c r="W404" s="12"/>
      <c r="X404" s="13"/>
      <c r="Y404" s="12" t="s">
        <v>2884</v>
      </c>
      <c r="Z404" s="12" t="s">
        <v>2886</v>
      </c>
      <c r="AA404" s="13" t="s">
        <v>4335</v>
      </c>
      <c r="AB404" s="13"/>
      <c r="AC404" s="12" t="s">
        <v>2995</v>
      </c>
    </row>
    <row r="405" customFormat="false" ht="30" hidden="false" customHeight="true" outlineLevel="0" collapsed="false">
      <c r="A405" s="10" t="s">
        <v>4428</v>
      </c>
      <c r="B405" s="10" t="s">
        <v>4429</v>
      </c>
      <c r="C405" s="10" t="s">
        <v>4430</v>
      </c>
      <c r="D405" s="10" t="s">
        <v>2984</v>
      </c>
      <c r="E405" s="10" t="s">
        <v>2064</v>
      </c>
      <c r="F405" s="10" t="s">
        <v>2065</v>
      </c>
      <c r="G405" s="11" t="s">
        <v>3048</v>
      </c>
      <c r="H405" s="10" t="s">
        <v>3018</v>
      </c>
      <c r="I405" s="10" t="s">
        <v>2987</v>
      </c>
      <c r="J405" s="11" t="s">
        <v>1201</v>
      </c>
      <c r="K405" s="11" t="s">
        <v>452</v>
      </c>
      <c r="L405" s="10" t="s">
        <v>170</v>
      </c>
      <c r="M405" s="10" t="n">
        <v>84</v>
      </c>
      <c r="N405" s="10" t="n">
        <v>230</v>
      </c>
      <c r="O405" s="11" t="s">
        <v>2785</v>
      </c>
      <c r="P405" s="10" t="s">
        <v>3011</v>
      </c>
      <c r="Q405" s="11"/>
      <c r="R405" s="11" t="s">
        <v>2991</v>
      </c>
      <c r="S405" s="11"/>
      <c r="T405" s="11"/>
      <c r="U405" s="10"/>
      <c r="V405" s="11"/>
      <c r="W405" s="10"/>
      <c r="X405" s="11"/>
      <c r="Y405" s="10" t="s">
        <v>2884</v>
      </c>
      <c r="Z405" s="10" t="s">
        <v>2886</v>
      </c>
      <c r="AA405" s="11" t="s">
        <v>4219</v>
      </c>
      <c r="AB405" s="11"/>
      <c r="AC405" s="10" t="s">
        <v>2995</v>
      </c>
    </row>
    <row r="406" customFormat="false" ht="30" hidden="false" customHeight="true" outlineLevel="0" collapsed="false">
      <c r="A406" s="12" t="s">
        <v>4431</v>
      </c>
      <c r="B406" s="12" t="s">
        <v>4432</v>
      </c>
      <c r="C406" s="12" t="s">
        <v>4430</v>
      </c>
      <c r="D406" s="12" t="s">
        <v>2984</v>
      </c>
      <c r="E406" s="12" t="s">
        <v>2006</v>
      </c>
      <c r="F406" s="12" t="s">
        <v>2007</v>
      </c>
      <c r="G406" s="13" t="s">
        <v>3092</v>
      </c>
      <c r="H406" s="12" t="s">
        <v>2986</v>
      </c>
      <c r="I406" s="12" t="s">
        <v>2987</v>
      </c>
      <c r="J406" s="13" t="s">
        <v>1212</v>
      </c>
      <c r="K406" s="13" t="s">
        <v>433</v>
      </c>
      <c r="L406" s="12" t="s">
        <v>170</v>
      </c>
      <c r="M406" s="12" t="n">
        <v>83</v>
      </c>
      <c r="N406" s="12" t="n">
        <v>250</v>
      </c>
      <c r="O406" s="13" t="s">
        <v>2785</v>
      </c>
      <c r="P406" s="12" t="s">
        <v>3011</v>
      </c>
      <c r="Q406" s="13"/>
      <c r="R406" s="13" t="s">
        <v>2991</v>
      </c>
      <c r="S406" s="13"/>
      <c r="T406" s="13"/>
      <c r="U406" s="12"/>
      <c r="V406" s="13"/>
      <c r="W406" s="12"/>
      <c r="X406" s="13"/>
      <c r="Y406" s="12" t="s">
        <v>2884</v>
      </c>
      <c r="Z406" s="12" t="s">
        <v>2886</v>
      </c>
      <c r="AA406" s="13" t="s">
        <v>4433</v>
      </c>
      <c r="AB406" s="13"/>
      <c r="AC406" s="12" t="s">
        <v>2995</v>
      </c>
    </row>
    <row r="407" customFormat="false" ht="30" hidden="false" customHeight="true" outlineLevel="0" collapsed="false">
      <c r="A407" s="10" t="s">
        <v>4434</v>
      </c>
      <c r="B407" s="10" t="s">
        <v>4435</v>
      </c>
      <c r="C407" s="10" t="s">
        <v>4430</v>
      </c>
      <c r="D407" s="10" t="s">
        <v>2984</v>
      </c>
      <c r="E407" s="10" t="s">
        <v>2042</v>
      </c>
      <c r="F407" s="10" t="s">
        <v>2043</v>
      </c>
      <c r="G407" s="11" t="s">
        <v>3062</v>
      </c>
      <c r="H407" s="10" t="s">
        <v>3049</v>
      </c>
      <c r="I407" s="10" t="s">
        <v>3023</v>
      </c>
      <c r="J407" s="11" t="s">
        <v>1259</v>
      </c>
      <c r="K407" s="11" t="s">
        <v>452</v>
      </c>
      <c r="L407" s="10" t="s">
        <v>170</v>
      </c>
      <c r="M407" s="10" t="n">
        <v>82</v>
      </c>
      <c r="N407" s="10" t="n">
        <v>240</v>
      </c>
      <c r="O407" s="11" t="s">
        <v>2785</v>
      </c>
      <c r="P407" s="10" t="s">
        <v>3011</v>
      </c>
      <c r="Q407" s="11"/>
      <c r="R407" s="11" t="s">
        <v>2991</v>
      </c>
      <c r="S407" s="11"/>
      <c r="T407" s="11"/>
      <c r="U407" s="10"/>
      <c r="V407" s="11"/>
      <c r="W407" s="10"/>
      <c r="X407" s="11"/>
      <c r="Y407" s="10" t="s">
        <v>2884</v>
      </c>
      <c r="Z407" s="10" t="s">
        <v>2886</v>
      </c>
      <c r="AA407" s="11" t="s">
        <v>4436</v>
      </c>
      <c r="AB407" s="11"/>
      <c r="AC407" s="10" t="s">
        <v>2995</v>
      </c>
    </row>
    <row r="408" customFormat="false" ht="30" hidden="false" customHeight="true" outlineLevel="0" collapsed="false">
      <c r="A408" s="12" t="s">
        <v>4437</v>
      </c>
      <c r="B408" s="12" t="s">
        <v>4438</v>
      </c>
      <c r="C408" s="12" t="s">
        <v>4430</v>
      </c>
      <c r="D408" s="12" t="s">
        <v>2984</v>
      </c>
      <c r="E408" s="12" t="s">
        <v>2098</v>
      </c>
      <c r="F408" s="12" t="s">
        <v>2099</v>
      </c>
      <c r="G408" s="13" t="s">
        <v>3071</v>
      </c>
      <c r="H408" s="12" t="s">
        <v>3072</v>
      </c>
      <c r="I408" s="12" t="s">
        <v>3073</v>
      </c>
      <c r="J408" s="13" t="s">
        <v>1303</v>
      </c>
      <c r="K408" s="13" t="s">
        <v>452</v>
      </c>
      <c r="L408" s="12" t="s">
        <v>170</v>
      </c>
      <c r="M408" s="12" t="n">
        <v>85</v>
      </c>
      <c r="N408" s="12" t="n">
        <v>270</v>
      </c>
      <c r="O408" s="13" t="s">
        <v>2785</v>
      </c>
      <c r="P408" s="12" t="s">
        <v>3011</v>
      </c>
      <c r="Q408" s="13"/>
      <c r="R408" s="13" t="s">
        <v>2991</v>
      </c>
      <c r="S408" s="13"/>
      <c r="T408" s="13"/>
      <c r="U408" s="12"/>
      <c r="V408" s="13"/>
      <c r="W408" s="12"/>
      <c r="X408" s="13"/>
      <c r="Y408" s="12" t="s">
        <v>2884</v>
      </c>
      <c r="Z408" s="12" t="s">
        <v>2886</v>
      </c>
      <c r="AA408" s="13" t="s">
        <v>4405</v>
      </c>
      <c r="AB408" s="13"/>
      <c r="AC408" s="12" t="s">
        <v>2995</v>
      </c>
    </row>
    <row r="409" customFormat="false" ht="30" hidden="false" customHeight="true" outlineLevel="0" collapsed="false">
      <c r="A409" s="10" t="s">
        <v>4439</v>
      </c>
      <c r="B409" s="10" t="s">
        <v>4440</v>
      </c>
      <c r="C409" s="10" t="s">
        <v>4430</v>
      </c>
      <c r="D409" s="10" t="s">
        <v>2984</v>
      </c>
      <c r="E409" s="10" t="s">
        <v>2100</v>
      </c>
      <c r="F409" s="10" t="s">
        <v>2101</v>
      </c>
      <c r="G409" s="11" t="s">
        <v>3088</v>
      </c>
      <c r="H409" s="10" t="s">
        <v>3018</v>
      </c>
      <c r="I409" s="10" t="s">
        <v>3023</v>
      </c>
      <c r="J409" s="11" t="s">
        <v>1253</v>
      </c>
      <c r="K409" s="11" t="s">
        <v>452</v>
      </c>
      <c r="L409" s="10" t="s">
        <v>170</v>
      </c>
      <c r="M409" s="10" t="n">
        <v>72</v>
      </c>
      <c r="N409" s="10" t="n">
        <v>235</v>
      </c>
      <c r="O409" s="11" t="s">
        <v>2785</v>
      </c>
      <c r="P409" s="10" t="s">
        <v>3011</v>
      </c>
      <c r="Q409" s="11" t="s">
        <v>3025</v>
      </c>
      <c r="R409" s="11" t="s">
        <v>2991</v>
      </c>
      <c r="S409" s="11"/>
      <c r="T409" s="11" t="s">
        <v>3148</v>
      </c>
      <c r="U409" s="10"/>
      <c r="V409" s="11"/>
      <c r="W409" s="10"/>
      <c r="X409" s="11"/>
      <c r="Y409" s="10" t="s">
        <v>2888</v>
      </c>
      <c r="Z409" s="10" t="s">
        <v>1509</v>
      </c>
      <c r="AA409" s="11" t="s">
        <v>4441</v>
      </c>
      <c r="AB409" s="11"/>
      <c r="AC409" s="10" t="s">
        <v>2995</v>
      </c>
    </row>
    <row r="410" customFormat="false" ht="30" hidden="false" customHeight="true" outlineLevel="0" collapsed="false">
      <c r="A410" s="12" t="s">
        <v>4442</v>
      </c>
      <c r="B410" s="12" t="s">
        <v>4443</v>
      </c>
      <c r="C410" s="12" t="s">
        <v>4430</v>
      </c>
      <c r="D410" s="12" t="s">
        <v>2984</v>
      </c>
      <c r="E410" s="12" t="s">
        <v>2150</v>
      </c>
      <c r="F410" s="12" t="s">
        <v>2151</v>
      </c>
      <c r="G410" s="13" t="s">
        <v>3017</v>
      </c>
      <c r="H410" s="12" t="s">
        <v>2986</v>
      </c>
      <c r="I410" s="12" t="s">
        <v>2987</v>
      </c>
      <c r="J410" s="13" t="s">
        <v>1212</v>
      </c>
      <c r="K410" s="13" t="s">
        <v>452</v>
      </c>
      <c r="L410" s="12" t="s">
        <v>191</v>
      </c>
      <c r="M410" s="12" t="n">
        <v>50</v>
      </c>
      <c r="N410" s="12" t="n">
        <v>200</v>
      </c>
      <c r="O410" s="13" t="s">
        <v>3000</v>
      </c>
      <c r="P410" s="12" t="s">
        <v>2989</v>
      </c>
      <c r="Q410" s="13"/>
      <c r="R410" s="13" t="s">
        <v>2991</v>
      </c>
      <c r="S410" s="13"/>
      <c r="T410" s="13"/>
      <c r="U410" s="12"/>
      <c r="V410" s="13"/>
      <c r="W410" s="12"/>
      <c r="X410" s="13"/>
      <c r="Y410" s="12" t="s">
        <v>2888</v>
      </c>
      <c r="Z410" s="12" t="s">
        <v>1509</v>
      </c>
      <c r="AA410" s="13" t="s">
        <v>4444</v>
      </c>
      <c r="AB410" s="13"/>
      <c r="AC410" s="12" t="s">
        <v>2995</v>
      </c>
    </row>
    <row r="411" customFormat="false" ht="30" hidden="false" customHeight="true" outlineLevel="0" collapsed="false">
      <c r="A411" s="10" t="s">
        <v>4445</v>
      </c>
      <c r="B411" s="10" t="s">
        <v>4446</v>
      </c>
      <c r="C411" s="10" t="s">
        <v>4430</v>
      </c>
      <c r="D411" s="10" t="s">
        <v>2984</v>
      </c>
      <c r="E411" s="10" t="s">
        <v>2018</v>
      </c>
      <c r="F411" s="10" t="s">
        <v>2019</v>
      </c>
      <c r="G411" s="11" t="s">
        <v>3084</v>
      </c>
      <c r="H411" s="10" t="s">
        <v>2986</v>
      </c>
      <c r="I411" s="10" t="s">
        <v>2987</v>
      </c>
      <c r="J411" s="11" t="s">
        <v>1226</v>
      </c>
      <c r="K411" s="11" t="s">
        <v>452</v>
      </c>
      <c r="L411" s="10" t="s">
        <v>191</v>
      </c>
      <c r="M411" s="10" t="n">
        <v>48</v>
      </c>
      <c r="N411" s="10" t="n">
        <v>210</v>
      </c>
      <c r="O411" s="11" t="s">
        <v>3000</v>
      </c>
      <c r="P411" s="10" t="s">
        <v>2989</v>
      </c>
      <c r="Q411" s="11"/>
      <c r="R411" s="11" t="s">
        <v>2991</v>
      </c>
      <c r="S411" s="11"/>
      <c r="T411" s="11"/>
      <c r="U411" s="10"/>
      <c r="V411" s="11"/>
      <c r="W411" s="10"/>
      <c r="X411" s="11"/>
      <c r="Y411" s="10" t="s">
        <v>2888</v>
      </c>
      <c r="Z411" s="10" t="s">
        <v>1509</v>
      </c>
      <c r="AA411" s="11" t="s">
        <v>4447</v>
      </c>
      <c r="AB411" s="11"/>
      <c r="AC411" s="10" t="s">
        <v>2995</v>
      </c>
    </row>
    <row r="412" customFormat="false" ht="30" hidden="false" customHeight="true" outlineLevel="0" collapsed="false">
      <c r="A412" s="12" t="s">
        <v>4448</v>
      </c>
      <c r="B412" s="12" t="s">
        <v>4449</v>
      </c>
      <c r="C412" s="12" t="s">
        <v>4430</v>
      </c>
      <c r="D412" s="12" t="s">
        <v>2984</v>
      </c>
      <c r="E412" s="12" t="s">
        <v>2166</v>
      </c>
      <c r="F412" s="12" t="s">
        <v>2167</v>
      </c>
      <c r="G412" s="13" t="s">
        <v>3048</v>
      </c>
      <c r="H412" s="12" t="s">
        <v>3018</v>
      </c>
      <c r="I412" s="12" t="s">
        <v>3023</v>
      </c>
      <c r="J412" s="13" t="s">
        <v>1240</v>
      </c>
      <c r="K412" s="13" t="s">
        <v>452</v>
      </c>
      <c r="L412" s="12" t="s">
        <v>170</v>
      </c>
      <c r="M412" s="12" t="n">
        <v>83</v>
      </c>
      <c r="N412" s="12" t="n">
        <v>225</v>
      </c>
      <c r="O412" s="13" t="s">
        <v>2785</v>
      </c>
      <c r="P412" s="12" t="s">
        <v>3011</v>
      </c>
      <c r="Q412" s="13"/>
      <c r="R412" s="13" t="s">
        <v>2991</v>
      </c>
      <c r="S412" s="13"/>
      <c r="T412" s="13"/>
      <c r="U412" s="12"/>
      <c r="V412" s="13"/>
      <c r="W412" s="12"/>
      <c r="X412" s="13"/>
      <c r="Y412" s="12" t="s">
        <v>2884</v>
      </c>
      <c r="Z412" s="12" t="s">
        <v>2886</v>
      </c>
      <c r="AA412" s="13" t="s">
        <v>4450</v>
      </c>
      <c r="AB412" s="13"/>
      <c r="AC412" s="12" t="s">
        <v>2995</v>
      </c>
    </row>
    <row r="413" customFormat="false" ht="30" hidden="false" customHeight="true" outlineLevel="0" collapsed="false">
      <c r="A413" s="10" t="s">
        <v>4451</v>
      </c>
      <c r="B413" s="10" t="s">
        <v>4452</v>
      </c>
      <c r="C413" s="10" t="s">
        <v>4430</v>
      </c>
      <c r="D413" s="10" t="s">
        <v>2984</v>
      </c>
      <c r="E413" s="10" t="s">
        <v>2136</v>
      </c>
      <c r="F413" s="10" t="s">
        <v>2137</v>
      </c>
      <c r="G413" s="11" t="s">
        <v>3092</v>
      </c>
      <c r="H413" s="10" t="s">
        <v>3018</v>
      </c>
      <c r="I413" s="10" t="s">
        <v>3023</v>
      </c>
      <c r="J413" s="11" t="s">
        <v>1244</v>
      </c>
      <c r="K413" s="11" t="s">
        <v>452</v>
      </c>
      <c r="L413" s="10" t="s">
        <v>170</v>
      </c>
      <c r="M413" s="10" t="n">
        <v>82</v>
      </c>
      <c r="N413" s="10" t="n">
        <v>245</v>
      </c>
      <c r="O413" s="11" t="s">
        <v>2785</v>
      </c>
      <c r="P413" s="10" t="s">
        <v>3011</v>
      </c>
      <c r="Q413" s="11"/>
      <c r="R413" s="11" t="s">
        <v>2991</v>
      </c>
      <c r="S413" s="11"/>
      <c r="T413" s="11"/>
      <c r="U413" s="10"/>
      <c r="V413" s="11"/>
      <c r="W413" s="10"/>
      <c r="X413" s="11"/>
      <c r="Y413" s="10" t="s">
        <v>2884</v>
      </c>
      <c r="Z413" s="10" t="s">
        <v>2886</v>
      </c>
      <c r="AA413" s="11" t="s">
        <v>4121</v>
      </c>
      <c r="AB413" s="11"/>
      <c r="AC413" s="10" t="s">
        <v>2995</v>
      </c>
    </row>
    <row r="414" customFormat="false" ht="30" hidden="false" customHeight="true" outlineLevel="0" collapsed="false">
      <c r="A414" s="12" t="s">
        <v>4453</v>
      </c>
      <c r="B414" s="12" t="s">
        <v>4454</v>
      </c>
      <c r="C414" s="12" t="s">
        <v>4430</v>
      </c>
      <c r="D414" s="12" t="s">
        <v>2984</v>
      </c>
      <c r="E414" s="12" t="s">
        <v>2196</v>
      </c>
      <c r="F414" s="12" t="s">
        <v>2197</v>
      </c>
      <c r="G414" s="13" t="s">
        <v>3022</v>
      </c>
      <c r="H414" s="12" t="s">
        <v>3018</v>
      </c>
      <c r="I414" s="12" t="s">
        <v>3093</v>
      </c>
      <c r="J414" s="13" t="s">
        <v>4455</v>
      </c>
      <c r="K414" s="13" t="s">
        <v>452</v>
      </c>
      <c r="L414" s="12" t="s">
        <v>191</v>
      </c>
      <c r="M414" s="12" t="n">
        <v>51</v>
      </c>
      <c r="N414" s="12" t="n">
        <v>500</v>
      </c>
      <c r="O414" s="13" t="s">
        <v>3024</v>
      </c>
      <c r="P414" s="12" t="s">
        <v>2989</v>
      </c>
      <c r="Q414" s="13"/>
      <c r="R414" s="13" t="s">
        <v>2991</v>
      </c>
      <c r="S414" s="13"/>
      <c r="T414" s="13"/>
      <c r="U414" s="12"/>
      <c r="V414" s="13"/>
      <c r="W414" s="12"/>
      <c r="X414" s="13"/>
      <c r="Y414" s="12" t="s">
        <v>2888</v>
      </c>
      <c r="Z414" s="12" t="s">
        <v>1509</v>
      </c>
      <c r="AA414" s="13" t="s">
        <v>4456</v>
      </c>
      <c r="AB414" s="13"/>
      <c r="AC414" s="12" t="s">
        <v>2995</v>
      </c>
    </row>
    <row r="415" customFormat="false" ht="30" hidden="false" customHeight="true" outlineLevel="0" collapsed="false">
      <c r="A415" s="10" t="s">
        <v>4457</v>
      </c>
      <c r="B415" s="10" t="s">
        <v>4458</v>
      </c>
      <c r="C415" s="10" t="s">
        <v>4430</v>
      </c>
      <c r="D415" s="10" t="s">
        <v>2984</v>
      </c>
      <c r="E415" s="10" t="s">
        <v>2146</v>
      </c>
      <c r="F415" s="10" t="s">
        <v>2147</v>
      </c>
      <c r="G415" s="11" t="s">
        <v>3062</v>
      </c>
      <c r="H415" s="10" t="s">
        <v>3018</v>
      </c>
      <c r="I415" s="10" t="s">
        <v>2987</v>
      </c>
      <c r="J415" s="11" t="s">
        <v>1212</v>
      </c>
      <c r="K415" s="11" t="s">
        <v>452</v>
      </c>
      <c r="L415" s="10" t="s">
        <v>170</v>
      </c>
      <c r="M415" s="10" t="n">
        <v>83</v>
      </c>
      <c r="N415" s="10" t="n">
        <v>220</v>
      </c>
      <c r="O415" s="11" t="s">
        <v>2785</v>
      </c>
      <c r="P415" s="10" t="s">
        <v>3011</v>
      </c>
      <c r="Q415" s="11"/>
      <c r="R415" s="11" t="s">
        <v>2991</v>
      </c>
      <c r="S415" s="11"/>
      <c r="T415" s="11"/>
      <c r="U415" s="10"/>
      <c r="V415" s="11"/>
      <c r="W415" s="10"/>
      <c r="X415" s="11"/>
      <c r="Y415" s="10" t="s">
        <v>2884</v>
      </c>
      <c r="Z415" s="10" t="s">
        <v>2886</v>
      </c>
      <c r="AA415" s="11" t="s">
        <v>4459</v>
      </c>
      <c r="AB415" s="11"/>
      <c r="AC415" s="10" t="s">
        <v>2995</v>
      </c>
    </row>
    <row r="416" customFormat="false" ht="30" hidden="false" customHeight="true" outlineLevel="0" collapsed="false">
      <c r="A416" s="12" t="s">
        <v>4460</v>
      </c>
      <c r="B416" s="12" t="s">
        <v>4461</v>
      </c>
      <c r="C416" s="12" t="s">
        <v>4430</v>
      </c>
      <c r="D416" s="12" t="s">
        <v>2984</v>
      </c>
      <c r="E416" s="12" t="s">
        <v>1992</v>
      </c>
      <c r="F416" s="12" t="s">
        <v>1993</v>
      </c>
      <c r="G416" s="13" t="s">
        <v>3058</v>
      </c>
      <c r="H416" s="12" t="s">
        <v>3072</v>
      </c>
      <c r="I416" s="12" t="s">
        <v>3073</v>
      </c>
      <c r="J416" s="13" t="s">
        <v>1303</v>
      </c>
      <c r="K416" s="13" t="s">
        <v>452</v>
      </c>
      <c r="L416" s="12" t="s">
        <v>170</v>
      </c>
      <c r="M416" s="12" t="n">
        <v>86</v>
      </c>
      <c r="N416" s="12" t="n">
        <v>310</v>
      </c>
      <c r="O416" s="13" t="s">
        <v>2785</v>
      </c>
      <c r="P416" s="12" t="s">
        <v>3011</v>
      </c>
      <c r="Q416" s="13"/>
      <c r="R416" s="13" t="s">
        <v>2991</v>
      </c>
      <c r="S416" s="13"/>
      <c r="T416" s="13"/>
      <c r="U416" s="12"/>
      <c r="V416" s="13" t="s">
        <v>4462</v>
      </c>
      <c r="W416" s="12"/>
      <c r="X416" s="13"/>
      <c r="Y416" s="12" t="s">
        <v>2900</v>
      </c>
      <c r="Z416" s="12" t="s">
        <v>1509</v>
      </c>
      <c r="AA416" s="13" t="s">
        <v>4463</v>
      </c>
      <c r="AB416" s="13"/>
      <c r="AC416" s="12" t="s">
        <v>2995</v>
      </c>
    </row>
    <row r="417" customFormat="false" ht="30" hidden="false" customHeight="true" outlineLevel="0" collapsed="false">
      <c r="A417" s="10" t="s">
        <v>4464</v>
      </c>
      <c r="B417" s="10" t="s">
        <v>4465</v>
      </c>
      <c r="C417" s="10" t="s">
        <v>4430</v>
      </c>
      <c r="D417" s="10" t="s">
        <v>2984</v>
      </c>
      <c r="E417" s="10" t="s">
        <v>2066</v>
      </c>
      <c r="F417" s="10" t="s">
        <v>2067</v>
      </c>
      <c r="G417" s="11" t="s">
        <v>3088</v>
      </c>
      <c r="H417" s="10" t="s">
        <v>3018</v>
      </c>
      <c r="I417" s="10" t="s">
        <v>3023</v>
      </c>
      <c r="J417" s="11" t="s">
        <v>1259</v>
      </c>
      <c r="K417" s="11" t="s">
        <v>452</v>
      </c>
      <c r="L417" s="10" t="s">
        <v>170</v>
      </c>
      <c r="M417" s="10" t="n">
        <v>82</v>
      </c>
      <c r="N417" s="10" t="n">
        <v>215</v>
      </c>
      <c r="O417" s="11" t="s">
        <v>2785</v>
      </c>
      <c r="P417" s="10" t="s">
        <v>3011</v>
      </c>
      <c r="Q417" s="11"/>
      <c r="R417" s="11" t="s">
        <v>2991</v>
      </c>
      <c r="S417" s="11"/>
      <c r="T417" s="11"/>
      <c r="U417" s="10"/>
      <c r="V417" s="11"/>
      <c r="W417" s="10"/>
      <c r="X417" s="11"/>
      <c r="Y417" s="10" t="s">
        <v>2884</v>
      </c>
      <c r="Z417" s="10" t="s">
        <v>2886</v>
      </c>
      <c r="AA417" s="11" t="s">
        <v>4466</v>
      </c>
      <c r="AB417" s="11"/>
      <c r="AC417" s="10" t="s">
        <v>2995</v>
      </c>
    </row>
    <row r="418" customFormat="false" ht="30" hidden="false" customHeight="true" outlineLevel="0" collapsed="false">
      <c r="A418" s="12" t="s">
        <v>4467</v>
      </c>
      <c r="B418" s="12" t="s">
        <v>4468</v>
      </c>
      <c r="C418" s="12" t="s">
        <v>4430</v>
      </c>
      <c r="D418" s="12" t="s">
        <v>2984</v>
      </c>
      <c r="E418" s="12" t="s">
        <v>2172</v>
      </c>
      <c r="F418" s="12" t="s">
        <v>2173</v>
      </c>
      <c r="G418" s="13" t="s">
        <v>3029</v>
      </c>
      <c r="H418" s="12" t="s">
        <v>2986</v>
      </c>
      <c r="I418" s="12" t="s">
        <v>2987</v>
      </c>
      <c r="J418" s="13" t="s">
        <v>1212</v>
      </c>
      <c r="K418" s="13" t="s">
        <v>433</v>
      </c>
      <c r="L418" s="12" t="s">
        <v>170</v>
      </c>
      <c r="M418" s="12" t="n">
        <v>85</v>
      </c>
      <c r="N418" s="12" t="n">
        <v>300</v>
      </c>
      <c r="O418" s="13" t="s">
        <v>2785</v>
      </c>
      <c r="P418" s="12" t="s">
        <v>3011</v>
      </c>
      <c r="Q418" s="13"/>
      <c r="R418" s="13" t="s">
        <v>2991</v>
      </c>
      <c r="S418" s="13"/>
      <c r="T418" s="13"/>
      <c r="U418" s="12"/>
      <c r="V418" s="13" t="s">
        <v>4469</v>
      </c>
      <c r="W418" s="12"/>
      <c r="X418" s="13"/>
      <c r="Y418" s="12" t="s">
        <v>2897</v>
      </c>
      <c r="Z418" s="12" t="s">
        <v>2898</v>
      </c>
      <c r="AA418" s="13" t="s">
        <v>4384</v>
      </c>
      <c r="AB418" s="13"/>
      <c r="AC418" s="12" t="s">
        <v>2995</v>
      </c>
    </row>
    <row r="419" customFormat="false" ht="30" hidden="false" customHeight="true" outlineLevel="0" collapsed="false">
      <c r="A419" s="10" t="s">
        <v>4470</v>
      </c>
      <c r="B419" s="10" t="s">
        <v>4471</v>
      </c>
      <c r="C419" s="10" t="s">
        <v>4430</v>
      </c>
      <c r="D419" s="10" t="s">
        <v>2903</v>
      </c>
      <c r="E419" s="10" t="s">
        <v>2460</v>
      </c>
      <c r="F419" s="10" t="s">
        <v>2461</v>
      </c>
      <c r="G419" s="11" t="s">
        <v>3007</v>
      </c>
      <c r="H419" s="10" t="s">
        <v>2999</v>
      </c>
      <c r="I419" s="10" t="s">
        <v>2987</v>
      </c>
      <c r="J419" s="11" t="s">
        <v>936</v>
      </c>
      <c r="K419" s="11" t="s">
        <v>423</v>
      </c>
      <c r="L419" s="10" t="s">
        <v>170</v>
      </c>
      <c r="M419" s="10" t="n">
        <v>84</v>
      </c>
      <c r="N419" s="10" t="n">
        <v>260</v>
      </c>
      <c r="O419" s="11" t="s">
        <v>2785</v>
      </c>
      <c r="P419" s="10" t="s">
        <v>3011</v>
      </c>
      <c r="Q419" s="11"/>
      <c r="R419" s="11" t="s">
        <v>2991</v>
      </c>
      <c r="S419" s="11"/>
      <c r="T419" s="11"/>
      <c r="U419" s="10"/>
      <c r="V419" s="11"/>
      <c r="W419" s="10"/>
      <c r="X419" s="11"/>
      <c r="Y419" s="10" t="s">
        <v>2884</v>
      </c>
      <c r="Z419" s="10" t="s">
        <v>2886</v>
      </c>
      <c r="AA419" s="11" t="s">
        <v>4327</v>
      </c>
      <c r="AB419" s="11"/>
      <c r="AC419" s="10" t="s">
        <v>2995</v>
      </c>
    </row>
    <row r="420" customFormat="false" ht="30" hidden="false" customHeight="true" outlineLevel="0" collapsed="false">
      <c r="A420" s="12" t="s">
        <v>4472</v>
      </c>
      <c r="B420" s="12" t="s">
        <v>4473</v>
      </c>
      <c r="C420" s="12" t="s">
        <v>4430</v>
      </c>
      <c r="D420" s="12" t="s">
        <v>2984</v>
      </c>
      <c r="E420" s="12" t="s">
        <v>2056</v>
      </c>
      <c r="F420" s="12" t="s">
        <v>2057</v>
      </c>
      <c r="G420" s="13" t="s">
        <v>3039</v>
      </c>
      <c r="H420" s="12" t="s">
        <v>2986</v>
      </c>
      <c r="I420" s="12" t="s">
        <v>2987</v>
      </c>
      <c r="J420" s="13" t="s">
        <v>1212</v>
      </c>
      <c r="K420" s="13" t="s">
        <v>433</v>
      </c>
      <c r="L420" s="12" t="s">
        <v>184</v>
      </c>
      <c r="M420" s="12" t="n">
        <v>87</v>
      </c>
      <c r="N420" s="12" t="n">
        <v>390</v>
      </c>
      <c r="O420" s="13" t="s">
        <v>2792</v>
      </c>
      <c r="P420" s="12" t="s">
        <v>2989</v>
      </c>
      <c r="Q420" s="13" t="s">
        <v>3067</v>
      </c>
      <c r="R420" s="13" t="s">
        <v>3201</v>
      </c>
      <c r="S420" s="13"/>
      <c r="T420" s="13"/>
      <c r="U420" s="12"/>
      <c r="V420" s="13"/>
      <c r="W420" s="12"/>
      <c r="X420" s="13"/>
      <c r="Y420" s="12" t="s">
        <v>2888</v>
      </c>
      <c r="Z420" s="12" t="s">
        <v>1509</v>
      </c>
      <c r="AA420" s="13" t="s">
        <v>4474</v>
      </c>
      <c r="AB420" s="13"/>
      <c r="AC420" s="12" t="s">
        <v>2995</v>
      </c>
    </row>
    <row r="421" customFormat="false" ht="30" hidden="false" customHeight="true" outlineLevel="0" collapsed="false">
      <c r="A421" s="10" t="s">
        <v>4475</v>
      </c>
      <c r="B421" s="10" t="s">
        <v>4476</v>
      </c>
      <c r="C421" s="10" t="s">
        <v>4430</v>
      </c>
      <c r="D421" s="10" t="s">
        <v>2903</v>
      </c>
      <c r="E421" s="10" t="s">
        <v>2439</v>
      </c>
      <c r="F421" s="10" t="s">
        <v>2440</v>
      </c>
      <c r="G421" s="11" t="s">
        <v>3071</v>
      </c>
      <c r="H421" s="10" t="s">
        <v>3072</v>
      </c>
      <c r="I421" s="10" t="s">
        <v>3073</v>
      </c>
      <c r="J421" s="11" t="s">
        <v>4477</v>
      </c>
      <c r="K421" s="11" t="s">
        <v>423</v>
      </c>
      <c r="L421" s="10" t="s">
        <v>170</v>
      </c>
      <c r="M421" s="10" t="n">
        <v>85</v>
      </c>
      <c r="N421" s="10" t="n">
        <v>320</v>
      </c>
      <c r="O421" s="11" t="s">
        <v>2785</v>
      </c>
      <c r="P421" s="10" t="s">
        <v>3011</v>
      </c>
      <c r="Q421" s="11"/>
      <c r="R421" s="11" t="s">
        <v>2991</v>
      </c>
      <c r="S421" s="11"/>
      <c r="T421" s="11"/>
      <c r="U421" s="10"/>
      <c r="V421" s="11" t="s">
        <v>4478</v>
      </c>
      <c r="W421" s="10"/>
      <c r="X421" s="11"/>
      <c r="Y421" s="10" t="s">
        <v>2900</v>
      </c>
      <c r="Z421" s="10" t="s">
        <v>1509</v>
      </c>
      <c r="AA421" s="11" t="s">
        <v>4479</v>
      </c>
      <c r="AB421" s="11"/>
      <c r="AC421" s="10" t="s">
        <v>3014</v>
      </c>
    </row>
    <row r="422" customFormat="false" ht="30" hidden="false" customHeight="true" outlineLevel="0" collapsed="false">
      <c r="A422" s="12" t="s">
        <v>4480</v>
      </c>
      <c r="B422" s="12" t="s">
        <v>4481</v>
      </c>
      <c r="C422" s="12" t="s">
        <v>4430</v>
      </c>
      <c r="D422" s="12" t="s">
        <v>2984</v>
      </c>
      <c r="E422" s="12" t="s">
        <v>2184</v>
      </c>
      <c r="F422" s="12" t="s">
        <v>2185</v>
      </c>
      <c r="G422" s="13" t="s">
        <v>3062</v>
      </c>
      <c r="H422" s="12" t="s">
        <v>3018</v>
      </c>
      <c r="I422" s="12" t="s">
        <v>2987</v>
      </c>
      <c r="J422" s="13" t="s">
        <v>1201</v>
      </c>
      <c r="K422" s="13" t="s">
        <v>452</v>
      </c>
      <c r="L422" s="12" t="s">
        <v>170</v>
      </c>
      <c r="M422" s="12" t="n">
        <v>82</v>
      </c>
      <c r="N422" s="12" t="n">
        <v>220</v>
      </c>
      <c r="O422" s="13" t="s">
        <v>2785</v>
      </c>
      <c r="P422" s="12" t="s">
        <v>3011</v>
      </c>
      <c r="Q422" s="13"/>
      <c r="R422" s="13" t="s">
        <v>2991</v>
      </c>
      <c r="S422" s="13"/>
      <c r="T422" s="13"/>
      <c r="U422" s="12"/>
      <c r="V422" s="13"/>
      <c r="W422" s="12"/>
      <c r="X422" s="13"/>
      <c r="Y422" s="12" t="s">
        <v>2884</v>
      </c>
      <c r="Z422" s="12" t="s">
        <v>2886</v>
      </c>
      <c r="AA422" s="13" t="s">
        <v>4482</v>
      </c>
      <c r="AB422" s="13"/>
      <c r="AC422" s="12" t="s">
        <v>2995</v>
      </c>
    </row>
    <row r="423" customFormat="false" ht="30" hidden="false" customHeight="true" outlineLevel="0" collapsed="false">
      <c r="A423" s="10" t="s">
        <v>4483</v>
      </c>
      <c r="B423" s="10" t="s">
        <v>4484</v>
      </c>
      <c r="C423" s="10" t="s">
        <v>4430</v>
      </c>
      <c r="D423" s="10" t="s">
        <v>2984</v>
      </c>
      <c r="E423" s="10" t="s">
        <v>2122</v>
      </c>
      <c r="F423" s="10" t="s">
        <v>2123</v>
      </c>
      <c r="G423" s="11" t="s">
        <v>3080</v>
      </c>
      <c r="H423" s="10" t="s">
        <v>2986</v>
      </c>
      <c r="I423" s="10" t="s">
        <v>2987</v>
      </c>
      <c r="J423" s="11" t="s">
        <v>1226</v>
      </c>
      <c r="K423" s="11" t="s">
        <v>452</v>
      </c>
      <c r="L423" s="10" t="s">
        <v>177</v>
      </c>
      <c r="M423" s="10" t="n">
        <v>79</v>
      </c>
      <c r="N423" s="10" t="n">
        <v>330</v>
      </c>
      <c r="O423" s="11" t="s">
        <v>3031</v>
      </c>
      <c r="P423" s="10" t="s">
        <v>3011</v>
      </c>
      <c r="Q423" s="11"/>
      <c r="R423" s="11" t="s">
        <v>2991</v>
      </c>
      <c r="S423" s="11"/>
      <c r="T423" s="11"/>
      <c r="U423" s="10"/>
      <c r="V423" s="11"/>
      <c r="W423" s="10"/>
      <c r="X423" s="11"/>
      <c r="Y423" s="10" t="s">
        <v>2897</v>
      </c>
      <c r="Z423" s="10" t="s">
        <v>2898</v>
      </c>
      <c r="AA423" s="11" t="s">
        <v>4485</v>
      </c>
      <c r="AB423" s="11"/>
      <c r="AC423" s="10" t="s">
        <v>2995</v>
      </c>
    </row>
    <row r="424" customFormat="false" ht="30" hidden="false" customHeight="true" outlineLevel="0" collapsed="false">
      <c r="A424" s="12" t="s">
        <v>4486</v>
      </c>
      <c r="B424" s="12" t="s">
        <v>4487</v>
      </c>
      <c r="C424" s="12" t="s">
        <v>4430</v>
      </c>
      <c r="D424" s="12" t="s">
        <v>2984</v>
      </c>
      <c r="E424" s="12" t="s">
        <v>2120</v>
      </c>
      <c r="F424" s="12" t="s">
        <v>2121</v>
      </c>
      <c r="G424" s="13" t="s">
        <v>3065</v>
      </c>
      <c r="H424" s="12" t="s">
        <v>3072</v>
      </c>
      <c r="I424" s="12" t="s">
        <v>3073</v>
      </c>
      <c r="J424" s="13" t="s">
        <v>1299</v>
      </c>
      <c r="K424" s="13" t="s">
        <v>452</v>
      </c>
      <c r="L424" s="12" t="s">
        <v>191</v>
      </c>
      <c r="M424" s="12" t="n">
        <v>50</v>
      </c>
      <c r="N424" s="12" t="n">
        <v>490</v>
      </c>
      <c r="O424" s="13" t="s">
        <v>3024</v>
      </c>
      <c r="P424" s="12" t="s">
        <v>2989</v>
      </c>
      <c r="Q424" s="13"/>
      <c r="R424" s="13" t="s">
        <v>2991</v>
      </c>
      <c r="S424" s="13"/>
      <c r="T424" s="13"/>
      <c r="U424" s="12"/>
      <c r="V424" s="13"/>
      <c r="W424" s="12"/>
      <c r="X424" s="13"/>
      <c r="Y424" s="12" t="s">
        <v>2888</v>
      </c>
      <c r="Z424" s="12" t="s">
        <v>1509</v>
      </c>
      <c r="AA424" s="13" t="s">
        <v>4226</v>
      </c>
      <c r="AB424" s="13"/>
      <c r="AC424" s="12" t="s">
        <v>2995</v>
      </c>
    </row>
    <row r="425" customFormat="false" ht="30" hidden="false" customHeight="true" outlineLevel="0" collapsed="false">
      <c r="A425" s="10" t="s">
        <v>4488</v>
      </c>
      <c r="B425" s="10" t="s">
        <v>4489</v>
      </c>
      <c r="C425" s="10" t="s">
        <v>4430</v>
      </c>
      <c r="D425" s="10" t="s">
        <v>2984</v>
      </c>
      <c r="E425" s="10" t="s">
        <v>2180</v>
      </c>
      <c r="F425" s="10" t="s">
        <v>2181</v>
      </c>
      <c r="G425" s="11" t="s">
        <v>3077</v>
      </c>
      <c r="H425" s="10" t="s">
        <v>3018</v>
      </c>
      <c r="I425" s="10" t="s">
        <v>3023</v>
      </c>
      <c r="J425" s="11" t="s">
        <v>1244</v>
      </c>
      <c r="K425" s="11" t="s">
        <v>452</v>
      </c>
      <c r="L425" s="10" t="s">
        <v>170</v>
      </c>
      <c r="M425" s="10" t="n">
        <v>70</v>
      </c>
      <c r="N425" s="10" t="n">
        <v>230</v>
      </c>
      <c r="O425" s="11" t="s">
        <v>2785</v>
      </c>
      <c r="P425" s="10" t="s">
        <v>3011</v>
      </c>
      <c r="Q425" s="11" t="s">
        <v>3025</v>
      </c>
      <c r="R425" s="11" t="s">
        <v>2991</v>
      </c>
      <c r="S425" s="11"/>
      <c r="T425" s="11" t="s">
        <v>4490</v>
      </c>
      <c r="U425" s="10"/>
      <c r="V425" s="11"/>
      <c r="W425" s="10"/>
      <c r="X425" s="11"/>
      <c r="Y425" s="10" t="s">
        <v>2888</v>
      </c>
      <c r="Z425" s="10" t="s">
        <v>1509</v>
      </c>
      <c r="AA425" s="11" t="s">
        <v>4491</v>
      </c>
      <c r="AB425" s="11"/>
      <c r="AC425" s="10" t="s">
        <v>2995</v>
      </c>
    </row>
    <row r="426" customFormat="false" ht="30" hidden="false" customHeight="true" outlineLevel="0" collapsed="false">
      <c r="A426" s="12" t="s">
        <v>4492</v>
      </c>
      <c r="B426" s="12" t="s">
        <v>4493</v>
      </c>
      <c r="C426" s="12" t="s">
        <v>4430</v>
      </c>
      <c r="D426" s="12" t="s">
        <v>2903</v>
      </c>
      <c r="E426" s="12" t="s">
        <v>2447</v>
      </c>
      <c r="F426" s="12" t="s">
        <v>2448</v>
      </c>
      <c r="G426" s="13" t="s">
        <v>3088</v>
      </c>
      <c r="H426" s="12" t="s">
        <v>3018</v>
      </c>
      <c r="I426" s="12" t="s">
        <v>2987</v>
      </c>
      <c r="J426" s="13" t="s">
        <v>874</v>
      </c>
      <c r="K426" s="13" t="s">
        <v>452</v>
      </c>
      <c r="L426" s="12" t="s">
        <v>170</v>
      </c>
      <c r="M426" s="12" t="n">
        <v>83</v>
      </c>
      <c r="N426" s="12" t="n">
        <v>255</v>
      </c>
      <c r="O426" s="13" t="s">
        <v>2785</v>
      </c>
      <c r="P426" s="12" t="s">
        <v>3011</v>
      </c>
      <c r="Q426" s="13"/>
      <c r="R426" s="13" t="s">
        <v>2991</v>
      </c>
      <c r="S426" s="13"/>
      <c r="T426" s="13"/>
      <c r="U426" s="12"/>
      <c r="V426" s="13"/>
      <c r="W426" s="12"/>
      <c r="X426" s="13"/>
      <c r="Y426" s="12" t="s">
        <v>2884</v>
      </c>
      <c r="Z426" s="12" t="s">
        <v>2886</v>
      </c>
      <c r="AA426" s="13" t="s">
        <v>4494</v>
      </c>
      <c r="AB426" s="13"/>
      <c r="AC426" s="12" t="s">
        <v>3014</v>
      </c>
    </row>
    <row r="427" customFormat="false" ht="30" hidden="false" customHeight="true" outlineLevel="0" collapsed="false">
      <c r="A427" s="10" t="s">
        <v>4495</v>
      </c>
      <c r="B427" s="10" t="s">
        <v>4496</v>
      </c>
      <c r="C427" s="10" t="s">
        <v>4430</v>
      </c>
      <c r="D427" s="10" t="s">
        <v>2984</v>
      </c>
      <c r="E427" s="10" t="s">
        <v>2164</v>
      </c>
      <c r="F427" s="10" t="s">
        <v>2165</v>
      </c>
      <c r="G427" s="11" t="s">
        <v>3058</v>
      </c>
      <c r="H427" s="10" t="s">
        <v>3072</v>
      </c>
      <c r="I427" s="10" t="s">
        <v>3073</v>
      </c>
      <c r="J427" s="11" t="s">
        <v>1299</v>
      </c>
      <c r="K427" s="11" t="s">
        <v>452</v>
      </c>
      <c r="L427" s="10" t="s">
        <v>170</v>
      </c>
      <c r="M427" s="10" t="n">
        <v>84</v>
      </c>
      <c r="N427" s="10" t="n">
        <v>240</v>
      </c>
      <c r="O427" s="11" t="s">
        <v>2785</v>
      </c>
      <c r="P427" s="10" t="s">
        <v>3011</v>
      </c>
      <c r="Q427" s="11"/>
      <c r="R427" s="11" t="s">
        <v>2991</v>
      </c>
      <c r="S427" s="11"/>
      <c r="T427" s="11"/>
      <c r="U427" s="10"/>
      <c r="V427" s="11"/>
      <c r="W427" s="10"/>
      <c r="X427" s="11"/>
      <c r="Y427" s="10" t="s">
        <v>2884</v>
      </c>
      <c r="Z427" s="10" t="s">
        <v>2886</v>
      </c>
      <c r="AA427" s="11" t="s">
        <v>4497</v>
      </c>
      <c r="AB427" s="11"/>
      <c r="AC427" s="10" t="s">
        <v>2995</v>
      </c>
    </row>
    <row r="428" customFormat="false" ht="30" hidden="false" customHeight="true" outlineLevel="0" collapsed="false">
      <c r="A428" s="12" t="s">
        <v>4498</v>
      </c>
      <c r="B428" s="12" t="s">
        <v>4499</v>
      </c>
      <c r="C428" s="12" t="s">
        <v>4430</v>
      </c>
      <c r="D428" s="12" t="s">
        <v>2903</v>
      </c>
      <c r="E428" s="12" t="s">
        <v>2422</v>
      </c>
      <c r="F428" s="12" t="s">
        <v>2423</v>
      </c>
      <c r="G428" s="13" t="s">
        <v>3007</v>
      </c>
      <c r="H428" s="12" t="s">
        <v>3018</v>
      </c>
      <c r="I428" s="12" t="s">
        <v>3023</v>
      </c>
      <c r="J428" s="13" t="s">
        <v>3601</v>
      </c>
      <c r="K428" s="13" t="s">
        <v>452</v>
      </c>
      <c r="L428" s="12" t="s">
        <v>170</v>
      </c>
      <c r="M428" s="12" t="n">
        <v>85</v>
      </c>
      <c r="N428" s="12" t="n">
        <v>260</v>
      </c>
      <c r="O428" s="13" t="s">
        <v>2785</v>
      </c>
      <c r="P428" s="12" t="s">
        <v>3011</v>
      </c>
      <c r="Q428" s="13"/>
      <c r="R428" s="13" t="s">
        <v>2991</v>
      </c>
      <c r="S428" s="13"/>
      <c r="T428" s="13"/>
      <c r="U428" s="12"/>
      <c r="V428" s="13"/>
      <c r="W428" s="12"/>
      <c r="X428" s="13"/>
      <c r="Y428" s="12" t="s">
        <v>2884</v>
      </c>
      <c r="Z428" s="12" t="s">
        <v>2886</v>
      </c>
      <c r="AA428" s="13" t="s">
        <v>4500</v>
      </c>
      <c r="AB428" s="13"/>
      <c r="AC428" s="12" t="s">
        <v>3014</v>
      </c>
    </row>
    <row r="429" customFormat="false" ht="30" hidden="false" customHeight="true" outlineLevel="0" collapsed="false">
      <c r="A429" s="10" t="s">
        <v>4501</v>
      </c>
      <c r="B429" s="10" t="s">
        <v>4502</v>
      </c>
      <c r="C429" s="10" t="s">
        <v>4430</v>
      </c>
      <c r="D429" s="10" t="s">
        <v>2984</v>
      </c>
      <c r="E429" s="10" t="s">
        <v>2132</v>
      </c>
      <c r="F429" s="10" t="s">
        <v>2133</v>
      </c>
      <c r="G429" s="11" t="s">
        <v>3034</v>
      </c>
      <c r="H429" s="10" t="s">
        <v>3018</v>
      </c>
      <c r="I429" s="10" t="s">
        <v>2987</v>
      </c>
      <c r="J429" s="11" t="s">
        <v>1231</v>
      </c>
      <c r="K429" s="11" t="s">
        <v>452</v>
      </c>
      <c r="L429" s="10" t="s">
        <v>170</v>
      </c>
      <c r="M429" s="10" t="n">
        <v>68</v>
      </c>
      <c r="N429" s="10" t="n">
        <v>220</v>
      </c>
      <c r="O429" s="11" t="s">
        <v>2785</v>
      </c>
      <c r="P429" s="10" t="s">
        <v>3011</v>
      </c>
      <c r="Q429" s="11" t="s">
        <v>3025</v>
      </c>
      <c r="R429" s="11" t="s">
        <v>2991</v>
      </c>
      <c r="S429" s="11"/>
      <c r="T429" s="11" t="s">
        <v>4503</v>
      </c>
      <c r="U429" s="10"/>
      <c r="V429" s="11"/>
      <c r="W429" s="10"/>
      <c r="X429" s="11"/>
      <c r="Y429" s="10" t="s">
        <v>2888</v>
      </c>
      <c r="Z429" s="10" t="s">
        <v>1509</v>
      </c>
      <c r="AA429" s="11" t="s">
        <v>4223</v>
      </c>
      <c r="AB429" s="11"/>
      <c r="AC429" s="10" t="s">
        <v>2995</v>
      </c>
    </row>
    <row r="430" customFormat="false" ht="30" hidden="false" customHeight="true" outlineLevel="0" collapsed="false">
      <c r="A430" s="12" t="s">
        <v>4504</v>
      </c>
      <c r="B430" s="12" t="s">
        <v>4505</v>
      </c>
      <c r="C430" s="12" t="s">
        <v>4430</v>
      </c>
      <c r="D430" s="12" t="s">
        <v>2984</v>
      </c>
      <c r="E430" s="12" t="s">
        <v>2040</v>
      </c>
      <c r="F430" s="12" t="s">
        <v>2041</v>
      </c>
      <c r="G430" s="13" t="s">
        <v>3071</v>
      </c>
      <c r="H430" s="12" t="s">
        <v>3072</v>
      </c>
      <c r="I430" s="12" t="s">
        <v>3073</v>
      </c>
      <c r="J430" s="13" t="s">
        <v>1299</v>
      </c>
      <c r="K430" s="13" t="s">
        <v>452</v>
      </c>
      <c r="L430" s="12" t="s">
        <v>170</v>
      </c>
      <c r="M430" s="12" t="n">
        <v>85</v>
      </c>
      <c r="N430" s="12" t="n">
        <v>290</v>
      </c>
      <c r="O430" s="13" t="s">
        <v>2785</v>
      </c>
      <c r="P430" s="12" t="s">
        <v>2989</v>
      </c>
      <c r="Q430" s="13" t="s">
        <v>2990</v>
      </c>
      <c r="R430" s="13" t="s">
        <v>2991</v>
      </c>
      <c r="S430" s="13"/>
      <c r="T430" s="13"/>
      <c r="U430" s="12"/>
      <c r="V430" s="13" t="s">
        <v>4506</v>
      </c>
      <c r="W430" s="12"/>
      <c r="X430" s="13"/>
      <c r="Y430" s="12" t="s">
        <v>2888</v>
      </c>
      <c r="Z430" s="12" t="s">
        <v>1509</v>
      </c>
      <c r="AA430" s="13" t="s">
        <v>4507</v>
      </c>
      <c r="AB430" s="13"/>
      <c r="AC430" s="12" t="s">
        <v>2995</v>
      </c>
    </row>
    <row r="431" customFormat="false" ht="30" hidden="false" customHeight="true" outlineLevel="0" collapsed="false">
      <c r="A431" s="10" t="s">
        <v>4508</v>
      </c>
      <c r="B431" s="10" t="s">
        <v>4509</v>
      </c>
      <c r="C431" s="10" t="s">
        <v>4430</v>
      </c>
      <c r="D431" s="10" t="s">
        <v>2984</v>
      </c>
      <c r="E431" s="10" t="s">
        <v>1989</v>
      </c>
      <c r="F431" s="10" t="s">
        <v>1990</v>
      </c>
      <c r="G431" s="11" t="s">
        <v>3062</v>
      </c>
      <c r="H431" s="10" t="s">
        <v>3072</v>
      </c>
      <c r="I431" s="10" t="s">
        <v>3073</v>
      </c>
      <c r="J431" s="11" t="s">
        <v>1291</v>
      </c>
      <c r="K431" s="11" t="s">
        <v>452</v>
      </c>
      <c r="L431" s="10" t="s">
        <v>170</v>
      </c>
      <c r="M431" s="10" t="n">
        <v>72</v>
      </c>
      <c r="N431" s="10" t="n">
        <v>240</v>
      </c>
      <c r="O431" s="11" t="s">
        <v>2785</v>
      </c>
      <c r="P431" s="10" t="s">
        <v>3011</v>
      </c>
      <c r="Q431" s="11" t="s">
        <v>3025</v>
      </c>
      <c r="R431" s="11" t="s">
        <v>2991</v>
      </c>
      <c r="S431" s="11"/>
      <c r="T431" s="11" t="s">
        <v>4510</v>
      </c>
      <c r="U431" s="10"/>
      <c r="V431" s="11"/>
      <c r="W431" s="10"/>
      <c r="X431" s="11"/>
      <c r="Y431" s="10" t="s">
        <v>2888</v>
      </c>
      <c r="Z431" s="10" t="s">
        <v>1509</v>
      </c>
      <c r="AA431" s="11" t="s">
        <v>4310</v>
      </c>
      <c r="AB431" s="11"/>
      <c r="AC431" s="10" t="s">
        <v>2995</v>
      </c>
    </row>
    <row r="432" customFormat="false" ht="30" hidden="false" customHeight="true" outlineLevel="0" collapsed="false">
      <c r="A432" s="12" t="s">
        <v>4511</v>
      </c>
      <c r="B432" s="12" t="s">
        <v>4512</v>
      </c>
      <c r="C432" s="12" t="s">
        <v>4430</v>
      </c>
      <c r="D432" s="12" t="s">
        <v>2984</v>
      </c>
      <c r="E432" s="12" t="s">
        <v>2088</v>
      </c>
      <c r="F432" s="12" t="s">
        <v>2089</v>
      </c>
      <c r="G432" s="13" t="s">
        <v>3048</v>
      </c>
      <c r="H432" s="12" t="s">
        <v>3049</v>
      </c>
      <c r="I432" s="12" t="s">
        <v>3023</v>
      </c>
      <c r="J432" s="13" t="s">
        <v>1256</v>
      </c>
      <c r="K432" s="13" t="s">
        <v>452</v>
      </c>
      <c r="L432" s="12" t="s">
        <v>170</v>
      </c>
      <c r="M432" s="12" t="n">
        <v>73</v>
      </c>
      <c r="N432" s="12" t="n">
        <v>225</v>
      </c>
      <c r="O432" s="13" t="s">
        <v>2785</v>
      </c>
      <c r="P432" s="12" t="s">
        <v>3011</v>
      </c>
      <c r="Q432" s="13" t="s">
        <v>3025</v>
      </c>
      <c r="R432" s="13" t="s">
        <v>2991</v>
      </c>
      <c r="S432" s="13"/>
      <c r="T432" s="13" t="s">
        <v>4513</v>
      </c>
      <c r="U432" s="12"/>
      <c r="V432" s="13"/>
      <c r="W432" s="12"/>
      <c r="X432" s="13"/>
      <c r="Y432" s="12" t="s">
        <v>2888</v>
      </c>
      <c r="Z432" s="12" t="s">
        <v>1509</v>
      </c>
      <c r="AA432" s="13" t="s">
        <v>4514</v>
      </c>
      <c r="AB432" s="13"/>
      <c r="AC432" s="12" t="s">
        <v>2995</v>
      </c>
    </row>
    <row r="433" customFormat="false" ht="30" hidden="false" customHeight="true" outlineLevel="0" collapsed="false">
      <c r="A433" s="10" t="s">
        <v>4515</v>
      </c>
      <c r="B433" s="10" t="s">
        <v>4516</v>
      </c>
      <c r="C433" s="10" t="s">
        <v>4430</v>
      </c>
      <c r="D433" s="10" t="s">
        <v>2984</v>
      </c>
      <c r="E433" s="10" t="s">
        <v>2004</v>
      </c>
      <c r="F433" s="10" t="s">
        <v>2005</v>
      </c>
      <c r="G433" s="11" t="s">
        <v>3080</v>
      </c>
      <c r="H433" s="10" t="s">
        <v>2986</v>
      </c>
      <c r="I433" s="10" t="s">
        <v>3023</v>
      </c>
      <c r="J433" s="11" t="s">
        <v>1256</v>
      </c>
      <c r="K433" s="11" t="s">
        <v>433</v>
      </c>
      <c r="L433" s="10" t="s">
        <v>177</v>
      </c>
      <c r="M433" s="10" t="n">
        <v>79</v>
      </c>
      <c r="N433" s="10" t="n">
        <v>320</v>
      </c>
      <c r="O433" s="11" t="s">
        <v>3031</v>
      </c>
      <c r="P433" s="10" t="s">
        <v>3011</v>
      </c>
      <c r="Q433" s="11"/>
      <c r="R433" s="11" t="s">
        <v>2991</v>
      </c>
      <c r="S433" s="11"/>
      <c r="T433" s="11"/>
      <c r="U433" s="10"/>
      <c r="V433" s="11"/>
      <c r="W433" s="10"/>
      <c r="X433" s="11"/>
      <c r="Y433" s="10" t="s">
        <v>2897</v>
      </c>
      <c r="Z433" s="10" t="s">
        <v>2898</v>
      </c>
      <c r="AA433" s="11" t="s">
        <v>4517</v>
      </c>
      <c r="AB433" s="11"/>
      <c r="AC433" s="10" t="s">
        <v>2995</v>
      </c>
    </row>
    <row r="434" customFormat="false" ht="30" hidden="false" customHeight="true" outlineLevel="0" collapsed="false">
      <c r="A434" s="12" t="s">
        <v>4518</v>
      </c>
      <c r="B434" s="12" t="s">
        <v>4519</v>
      </c>
      <c r="C434" s="12" t="s">
        <v>4430</v>
      </c>
      <c r="D434" s="12" t="s">
        <v>2984</v>
      </c>
      <c r="E434" s="12" t="s">
        <v>2232</v>
      </c>
      <c r="F434" s="12" t="s">
        <v>2233</v>
      </c>
      <c r="G434" s="13" t="s">
        <v>3092</v>
      </c>
      <c r="H434" s="12" t="s">
        <v>3018</v>
      </c>
      <c r="I434" s="12" t="s">
        <v>2987</v>
      </c>
      <c r="J434" s="13" t="s">
        <v>1212</v>
      </c>
      <c r="K434" s="13" t="s">
        <v>452</v>
      </c>
      <c r="L434" s="12" t="s">
        <v>170</v>
      </c>
      <c r="M434" s="12" t="n">
        <v>83</v>
      </c>
      <c r="N434" s="12" t="n">
        <v>210</v>
      </c>
      <c r="O434" s="13" t="s">
        <v>2785</v>
      </c>
      <c r="P434" s="12" t="s">
        <v>3011</v>
      </c>
      <c r="Q434" s="13"/>
      <c r="R434" s="13" t="s">
        <v>2991</v>
      </c>
      <c r="S434" s="13"/>
      <c r="T434" s="13"/>
      <c r="U434" s="12"/>
      <c r="V434" s="13"/>
      <c r="W434" s="12"/>
      <c r="X434" s="13"/>
      <c r="Y434" s="12" t="s">
        <v>2884</v>
      </c>
      <c r="Z434" s="12" t="s">
        <v>2886</v>
      </c>
      <c r="AA434" s="13" t="s">
        <v>4520</v>
      </c>
      <c r="AB434" s="13"/>
      <c r="AC434" s="12" t="s">
        <v>2995</v>
      </c>
    </row>
    <row r="435" customFormat="false" ht="30" hidden="false" customHeight="true" outlineLevel="0" collapsed="false">
      <c r="A435" s="10" t="s">
        <v>4521</v>
      </c>
      <c r="B435" s="10" t="s">
        <v>4522</v>
      </c>
      <c r="C435" s="10" t="s">
        <v>4430</v>
      </c>
      <c r="D435" s="10" t="s">
        <v>2984</v>
      </c>
      <c r="E435" s="10" t="s">
        <v>2148</v>
      </c>
      <c r="F435" s="10" t="s">
        <v>2149</v>
      </c>
      <c r="G435" s="11" t="s">
        <v>3088</v>
      </c>
      <c r="H435" s="10" t="s">
        <v>2999</v>
      </c>
      <c r="I435" s="10" t="s">
        <v>2987</v>
      </c>
      <c r="J435" s="11" t="s">
        <v>432</v>
      </c>
      <c r="K435" s="11" t="s">
        <v>429</v>
      </c>
      <c r="L435" s="10" t="s">
        <v>170</v>
      </c>
      <c r="M435" s="10" t="n">
        <v>82</v>
      </c>
      <c r="N435" s="10" t="n">
        <v>215</v>
      </c>
      <c r="O435" s="11" t="s">
        <v>2785</v>
      </c>
      <c r="P435" s="10" t="s">
        <v>3011</v>
      </c>
      <c r="Q435" s="11"/>
      <c r="R435" s="11" t="s">
        <v>2991</v>
      </c>
      <c r="S435" s="11"/>
      <c r="T435" s="11"/>
      <c r="U435" s="10"/>
      <c r="V435" s="11"/>
      <c r="W435" s="10"/>
      <c r="X435" s="11"/>
      <c r="Y435" s="10" t="s">
        <v>2884</v>
      </c>
      <c r="Z435" s="10" t="s">
        <v>2886</v>
      </c>
      <c r="AA435" s="11" t="s">
        <v>4523</v>
      </c>
      <c r="AB435" s="11"/>
      <c r="AC435" s="10" t="s">
        <v>2995</v>
      </c>
    </row>
    <row r="436" customFormat="false" ht="30" hidden="false" customHeight="true" outlineLevel="0" collapsed="false">
      <c r="A436" s="12" t="s">
        <v>4524</v>
      </c>
      <c r="B436" s="12" t="s">
        <v>4525</v>
      </c>
      <c r="C436" s="12" t="s">
        <v>4430</v>
      </c>
      <c r="D436" s="12" t="s">
        <v>2903</v>
      </c>
      <c r="E436" s="12" t="s">
        <v>2464</v>
      </c>
      <c r="F436" s="12" t="s">
        <v>2465</v>
      </c>
      <c r="G436" s="13" t="s">
        <v>3007</v>
      </c>
      <c r="H436" s="12" t="s">
        <v>2999</v>
      </c>
      <c r="I436" s="12" t="s">
        <v>2987</v>
      </c>
      <c r="J436" s="13" t="s">
        <v>990</v>
      </c>
      <c r="K436" s="13" t="s">
        <v>423</v>
      </c>
      <c r="L436" s="12" t="s">
        <v>170</v>
      </c>
      <c r="M436" s="12" t="n">
        <v>84</v>
      </c>
      <c r="N436" s="12" t="n">
        <v>255</v>
      </c>
      <c r="O436" s="13" t="s">
        <v>2785</v>
      </c>
      <c r="P436" s="12" t="s">
        <v>3011</v>
      </c>
      <c r="Q436" s="13"/>
      <c r="R436" s="13" t="s">
        <v>2991</v>
      </c>
      <c r="S436" s="13"/>
      <c r="T436" s="13"/>
      <c r="U436" s="12"/>
      <c r="V436" s="13"/>
      <c r="W436" s="12"/>
      <c r="X436" s="13"/>
      <c r="Y436" s="12" t="s">
        <v>2884</v>
      </c>
      <c r="Z436" s="12" t="s">
        <v>2886</v>
      </c>
      <c r="AA436" s="13" t="s">
        <v>4230</v>
      </c>
      <c r="AB436" s="13"/>
      <c r="AC436" s="12" t="s">
        <v>3655</v>
      </c>
    </row>
    <row r="437" customFormat="false" ht="30" hidden="false" customHeight="true" outlineLevel="0" collapsed="false">
      <c r="A437" s="10" t="s">
        <v>4526</v>
      </c>
      <c r="B437" s="10" t="s">
        <v>4527</v>
      </c>
      <c r="C437" s="10" t="s">
        <v>4430</v>
      </c>
      <c r="D437" s="10" t="s">
        <v>2984</v>
      </c>
      <c r="E437" s="10" t="s">
        <v>2016</v>
      </c>
      <c r="F437" s="10" t="s">
        <v>2017</v>
      </c>
      <c r="G437" s="11" t="s">
        <v>3029</v>
      </c>
      <c r="H437" s="10" t="s">
        <v>2986</v>
      </c>
      <c r="I437" s="10" t="s">
        <v>2987</v>
      </c>
      <c r="J437" s="11" t="s">
        <v>1219</v>
      </c>
      <c r="K437" s="11" t="s">
        <v>452</v>
      </c>
      <c r="L437" s="10" t="s">
        <v>170</v>
      </c>
      <c r="M437" s="10" t="n">
        <v>85</v>
      </c>
      <c r="N437" s="10" t="n">
        <v>285</v>
      </c>
      <c r="O437" s="11" t="s">
        <v>2785</v>
      </c>
      <c r="P437" s="10" t="s">
        <v>3011</v>
      </c>
      <c r="Q437" s="11"/>
      <c r="R437" s="11" t="s">
        <v>2991</v>
      </c>
      <c r="S437" s="11"/>
      <c r="T437" s="11"/>
      <c r="U437" s="10"/>
      <c r="V437" s="11" t="s">
        <v>4528</v>
      </c>
      <c r="W437" s="10"/>
      <c r="X437" s="11"/>
      <c r="Y437" s="10" t="s">
        <v>2884</v>
      </c>
      <c r="Z437" s="10" t="s">
        <v>2886</v>
      </c>
      <c r="AA437" s="11" t="s">
        <v>4529</v>
      </c>
      <c r="AB437" s="11"/>
      <c r="AC437" s="10" t="s">
        <v>2995</v>
      </c>
    </row>
    <row r="438" customFormat="false" ht="30" hidden="false" customHeight="true" outlineLevel="0" collapsed="false">
      <c r="A438" s="12" t="s">
        <v>4530</v>
      </c>
      <c r="B438" s="12" t="s">
        <v>4531</v>
      </c>
      <c r="C438" s="12" t="s">
        <v>4430</v>
      </c>
      <c r="D438" s="12" t="s">
        <v>2984</v>
      </c>
      <c r="E438" s="12" t="s">
        <v>2178</v>
      </c>
      <c r="F438" s="12" t="s">
        <v>2179</v>
      </c>
      <c r="G438" s="13" t="s">
        <v>3048</v>
      </c>
      <c r="H438" s="12" t="s">
        <v>3018</v>
      </c>
      <c r="I438" s="12" t="s">
        <v>3023</v>
      </c>
      <c r="J438" s="13" t="s">
        <v>1240</v>
      </c>
      <c r="K438" s="13" t="s">
        <v>452</v>
      </c>
      <c r="L438" s="12" t="s">
        <v>170</v>
      </c>
      <c r="M438" s="12" t="n">
        <v>82</v>
      </c>
      <c r="N438" s="12" t="n">
        <v>210</v>
      </c>
      <c r="O438" s="13" t="s">
        <v>2785</v>
      </c>
      <c r="P438" s="12" t="s">
        <v>3011</v>
      </c>
      <c r="Q438" s="13"/>
      <c r="R438" s="13" t="s">
        <v>2991</v>
      </c>
      <c r="S438" s="13"/>
      <c r="T438" s="13"/>
      <c r="U438" s="12"/>
      <c r="V438" s="13"/>
      <c r="W438" s="12"/>
      <c r="X438" s="13"/>
      <c r="Y438" s="12" t="s">
        <v>2884</v>
      </c>
      <c r="Z438" s="12" t="s">
        <v>2886</v>
      </c>
      <c r="AA438" s="13" t="s">
        <v>4532</v>
      </c>
      <c r="AB438" s="13"/>
      <c r="AC438" s="12" t="s">
        <v>2995</v>
      </c>
    </row>
    <row r="439" customFormat="false" ht="30" hidden="false" customHeight="true" outlineLevel="0" collapsed="false">
      <c r="A439" s="10" t="s">
        <v>4533</v>
      </c>
      <c r="B439" s="10" t="s">
        <v>4534</v>
      </c>
      <c r="C439" s="10" t="s">
        <v>4430</v>
      </c>
      <c r="D439" s="10" t="s">
        <v>2984</v>
      </c>
      <c r="E439" s="10" t="s">
        <v>2014</v>
      </c>
      <c r="F439" s="10" t="s">
        <v>2015</v>
      </c>
      <c r="G439" s="11" t="s">
        <v>3062</v>
      </c>
      <c r="H439" s="10" t="s">
        <v>2986</v>
      </c>
      <c r="I439" s="10" t="s">
        <v>2987</v>
      </c>
      <c r="J439" s="11" t="s">
        <v>1226</v>
      </c>
      <c r="K439" s="11" t="s">
        <v>452</v>
      </c>
      <c r="L439" s="10" t="s">
        <v>170</v>
      </c>
      <c r="M439" s="10" t="n">
        <v>83</v>
      </c>
      <c r="N439" s="10" t="n">
        <v>230</v>
      </c>
      <c r="O439" s="11" t="s">
        <v>2785</v>
      </c>
      <c r="P439" s="10" t="s">
        <v>3011</v>
      </c>
      <c r="Q439" s="11"/>
      <c r="R439" s="11" t="s">
        <v>2991</v>
      </c>
      <c r="S439" s="11"/>
      <c r="T439" s="11"/>
      <c r="U439" s="10"/>
      <c r="V439" s="11"/>
      <c r="W439" s="10"/>
      <c r="X439" s="11"/>
      <c r="Y439" s="10" t="s">
        <v>2884</v>
      </c>
      <c r="Z439" s="10" t="s">
        <v>2886</v>
      </c>
      <c r="AA439" s="11" t="s">
        <v>4535</v>
      </c>
      <c r="AB439" s="11"/>
      <c r="AC439" s="10" t="s">
        <v>2995</v>
      </c>
    </row>
    <row r="440" customFormat="false" ht="30" hidden="false" customHeight="true" outlineLevel="0" collapsed="false">
      <c r="A440" s="12" t="s">
        <v>4536</v>
      </c>
      <c r="B440" s="12" t="s">
        <v>4537</v>
      </c>
      <c r="C440" s="12" t="s">
        <v>4430</v>
      </c>
      <c r="D440" s="12" t="s">
        <v>2984</v>
      </c>
      <c r="E440" s="12" t="s">
        <v>2026</v>
      </c>
      <c r="F440" s="12" t="s">
        <v>2027</v>
      </c>
      <c r="G440" s="13" t="s">
        <v>3092</v>
      </c>
      <c r="H440" s="12" t="s">
        <v>3049</v>
      </c>
      <c r="I440" s="12" t="s">
        <v>3023</v>
      </c>
      <c r="J440" s="13" t="s">
        <v>1259</v>
      </c>
      <c r="K440" s="13" t="s">
        <v>452</v>
      </c>
      <c r="L440" s="12" t="s">
        <v>170</v>
      </c>
      <c r="M440" s="12" t="n">
        <v>83</v>
      </c>
      <c r="N440" s="12" t="n">
        <v>210</v>
      </c>
      <c r="O440" s="13" t="s">
        <v>2785</v>
      </c>
      <c r="P440" s="12" t="s">
        <v>3011</v>
      </c>
      <c r="Q440" s="13"/>
      <c r="R440" s="13" t="s">
        <v>2991</v>
      </c>
      <c r="S440" s="13"/>
      <c r="T440" s="13"/>
      <c r="U440" s="12"/>
      <c r="V440" s="13"/>
      <c r="W440" s="12"/>
      <c r="X440" s="13"/>
      <c r="Y440" s="12" t="s">
        <v>2884</v>
      </c>
      <c r="Z440" s="12" t="s">
        <v>2886</v>
      </c>
      <c r="AA440" s="13" t="s">
        <v>4538</v>
      </c>
      <c r="AB440" s="13"/>
      <c r="AC440" s="12" t="s">
        <v>2995</v>
      </c>
    </row>
    <row r="441" customFormat="false" ht="30" hidden="false" customHeight="true" outlineLevel="0" collapsed="false">
      <c r="A441" s="10" t="s">
        <v>4539</v>
      </c>
      <c r="B441" s="10" t="s">
        <v>4540</v>
      </c>
      <c r="C441" s="10" t="s">
        <v>4430</v>
      </c>
      <c r="D441" s="10" t="s">
        <v>2984</v>
      </c>
      <c r="E441" s="10" t="s">
        <v>2220</v>
      </c>
      <c r="F441" s="10" t="s">
        <v>2221</v>
      </c>
      <c r="G441" s="11" t="s">
        <v>3088</v>
      </c>
      <c r="H441" s="10" t="s">
        <v>3018</v>
      </c>
      <c r="I441" s="10" t="s">
        <v>3023</v>
      </c>
      <c r="J441" s="11" t="s">
        <v>1249</v>
      </c>
      <c r="K441" s="11" t="s">
        <v>452</v>
      </c>
      <c r="L441" s="10" t="s">
        <v>170</v>
      </c>
      <c r="M441" s="10" t="n">
        <v>82</v>
      </c>
      <c r="N441" s="10" t="n">
        <v>220</v>
      </c>
      <c r="O441" s="11" t="s">
        <v>2785</v>
      </c>
      <c r="P441" s="10" t="s">
        <v>3011</v>
      </c>
      <c r="Q441" s="11"/>
      <c r="R441" s="11" t="s">
        <v>2991</v>
      </c>
      <c r="S441" s="11"/>
      <c r="T441" s="11"/>
      <c r="U441" s="10"/>
      <c r="V441" s="11"/>
      <c r="W441" s="10"/>
      <c r="X441" s="11"/>
      <c r="Y441" s="10" t="s">
        <v>2884</v>
      </c>
      <c r="Z441" s="10" t="s">
        <v>2886</v>
      </c>
      <c r="AA441" s="11" t="s">
        <v>4541</v>
      </c>
      <c r="AB441" s="11"/>
      <c r="AC441" s="10" t="s">
        <v>2995</v>
      </c>
    </row>
    <row r="442" customFormat="false" ht="30" hidden="false" customHeight="true" outlineLevel="0" collapsed="false">
      <c r="A442" s="12" t="s">
        <v>4542</v>
      </c>
      <c r="B442" s="12" t="s">
        <v>4543</v>
      </c>
      <c r="C442" s="12" t="s">
        <v>4430</v>
      </c>
      <c r="D442" s="12" t="s">
        <v>2984</v>
      </c>
      <c r="E442" s="12" t="s">
        <v>2244</v>
      </c>
      <c r="F442" s="12" t="s">
        <v>2245</v>
      </c>
      <c r="G442" s="13" t="s">
        <v>3080</v>
      </c>
      <c r="H442" s="12" t="s">
        <v>3018</v>
      </c>
      <c r="I442" s="12" t="s">
        <v>2987</v>
      </c>
      <c r="J442" s="13" t="s">
        <v>892</v>
      </c>
      <c r="K442" s="13" t="s">
        <v>452</v>
      </c>
      <c r="L442" s="12" t="s">
        <v>177</v>
      </c>
      <c r="M442" s="12" t="n">
        <v>79</v>
      </c>
      <c r="N442" s="12" t="n">
        <v>310</v>
      </c>
      <c r="O442" s="13" t="s">
        <v>3031</v>
      </c>
      <c r="P442" s="12" t="s">
        <v>3011</v>
      </c>
      <c r="Q442" s="13"/>
      <c r="R442" s="13" t="s">
        <v>2991</v>
      </c>
      <c r="S442" s="13"/>
      <c r="T442" s="13"/>
      <c r="U442" s="12"/>
      <c r="V442" s="13"/>
      <c r="W442" s="12"/>
      <c r="X442" s="13"/>
      <c r="Y442" s="12" t="s">
        <v>2884</v>
      </c>
      <c r="Z442" s="12" t="s">
        <v>2886</v>
      </c>
      <c r="AA442" s="13" t="s">
        <v>4544</v>
      </c>
      <c r="AB442" s="13"/>
      <c r="AC442" s="12" t="s">
        <v>2995</v>
      </c>
    </row>
    <row r="443" customFormat="false" ht="30" hidden="false" customHeight="true" outlineLevel="0" collapsed="false">
      <c r="A443" s="10" t="s">
        <v>4545</v>
      </c>
      <c r="B443" s="10" t="s">
        <v>4546</v>
      </c>
      <c r="C443" s="10" t="s">
        <v>4430</v>
      </c>
      <c r="D443" s="10" t="s">
        <v>2984</v>
      </c>
      <c r="E443" s="10" t="s">
        <v>2112</v>
      </c>
      <c r="F443" s="10" t="s">
        <v>2113</v>
      </c>
      <c r="G443" s="11" t="s">
        <v>3112</v>
      </c>
      <c r="H443" s="10" t="s">
        <v>3049</v>
      </c>
      <c r="I443" s="10" t="s">
        <v>2987</v>
      </c>
      <c r="J443" s="11" t="s">
        <v>1168</v>
      </c>
      <c r="K443" s="11" t="s">
        <v>452</v>
      </c>
      <c r="L443" s="10" t="s">
        <v>191</v>
      </c>
      <c r="M443" s="10" t="n">
        <v>50</v>
      </c>
      <c r="N443" s="10" t="n">
        <v>480</v>
      </c>
      <c r="O443" s="11" t="s">
        <v>3024</v>
      </c>
      <c r="P443" s="10" t="s">
        <v>3177</v>
      </c>
      <c r="Q443" s="11"/>
      <c r="R443" s="11" t="s">
        <v>2991</v>
      </c>
      <c r="S443" s="11"/>
      <c r="T443" s="11"/>
      <c r="U443" s="10"/>
      <c r="V443" s="11"/>
      <c r="W443" s="10"/>
      <c r="X443" s="11"/>
      <c r="Y443" s="10" t="s">
        <v>2897</v>
      </c>
      <c r="Z443" s="10" t="s">
        <v>2898</v>
      </c>
      <c r="AA443" s="11" t="s">
        <v>4547</v>
      </c>
      <c r="AB443" s="11"/>
      <c r="AC443" s="10" t="s">
        <v>2995</v>
      </c>
    </row>
    <row r="444" customFormat="false" ht="30" hidden="false" customHeight="true" outlineLevel="0" collapsed="false">
      <c r="A444" s="12" t="s">
        <v>4548</v>
      </c>
      <c r="B444" s="12" t="s">
        <v>4549</v>
      </c>
      <c r="C444" s="12" t="s">
        <v>4430</v>
      </c>
      <c r="D444" s="12" t="s">
        <v>2984</v>
      </c>
      <c r="E444" s="12" t="s">
        <v>2110</v>
      </c>
      <c r="F444" s="12" t="s">
        <v>2111</v>
      </c>
      <c r="G444" s="13" t="s">
        <v>3017</v>
      </c>
      <c r="H444" s="12" t="s">
        <v>3049</v>
      </c>
      <c r="I444" s="12" t="s">
        <v>3093</v>
      </c>
      <c r="J444" s="13" t="s">
        <v>1272</v>
      </c>
      <c r="K444" s="13" t="s">
        <v>452</v>
      </c>
      <c r="L444" s="12" t="s">
        <v>170</v>
      </c>
      <c r="M444" s="12" t="n">
        <v>66</v>
      </c>
      <c r="N444" s="12" t="n">
        <v>225</v>
      </c>
      <c r="O444" s="13" t="s">
        <v>2785</v>
      </c>
      <c r="P444" s="12" t="s">
        <v>3011</v>
      </c>
      <c r="Q444" s="13" t="s">
        <v>3025</v>
      </c>
      <c r="R444" s="13" t="s">
        <v>2991</v>
      </c>
      <c r="S444" s="13"/>
      <c r="T444" s="13" t="s">
        <v>3573</v>
      </c>
      <c r="U444" s="12"/>
      <c r="V444" s="13"/>
      <c r="W444" s="12"/>
      <c r="X444" s="13"/>
      <c r="Y444" s="12" t="s">
        <v>2888</v>
      </c>
      <c r="Z444" s="12" t="s">
        <v>1509</v>
      </c>
      <c r="AA444" s="13" t="s">
        <v>4157</v>
      </c>
      <c r="AB444" s="13"/>
      <c r="AC444" s="12" t="s">
        <v>2995</v>
      </c>
    </row>
    <row r="445" customFormat="false" ht="30" hidden="false" customHeight="true" outlineLevel="0" collapsed="false">
      <c r="A445" s="10" t="s">
        <v>4550</v>
      </c>
      <c r="B445" s="10" t="s">
        <v>4551</v>
      </c>
      <c r="C445" s="10" t="s">
        <v>4430</v>
      </c>
      <c r="D445" s="10" t="s">
        <v>2984</v>
      </c>
      <c r="E445" s="10" t="s">
        <v>2054</v>
      </c>
      <c r="F445" s="10" t="s">
        <v>2055</v>
      </c>
      <c r="G445" s="11" t="s">
        <v>3092</v>
      </c>
      <c r="H445" s="10" t="s">
        <v>3018</v>
      </c>
      <c r="I445" s="10" t="s">
        <v>3093</v>
      </c>
      <c r="J445" s="11" t="s">
        <v>1280</v>
      </c>
      <c r="K445" s="11" t="s">
        <v>452</v>
      </c>
      <c r="L445" s="10" t="s">
        <v>170</v>
      </c>
      <c r="M445" s="10" t="n">
        <v>83</v>
      </c>
      <c r="N445" s="10" t="n">
        <v>210</v>
      </c>
      <c r="O445" s="11" t="s">
        <v>2785</v>
      </c>
      <c r="P445" s="10" t="s">
        <v>3011</v>
      </c>
      <c r="Q445" s="11"/>
      <c r="R445" s="11" t="s">
        <v>2991</v>
      </c>
      <c r="S445" s="11"/>
      <c r="T445" s="11"/>
      <c r="U445" s="10"/>
      <c r="V445" s="11"/>
      <c r="W445" s="10"/>
      <c r="X445" s="11"/>
      <c r="Y445" s="10" t="s">
        <v>2884</v>
      </c>
      <c r="Z445" s="10" t="s">
        <v>2886</v>
      </c>
      <c r="AA445" s="11" t="s">
        <v>4552</v>
      </c>
      <c r="AB445" s="11"/>
      <c r="AC445" s="10" t="s">
        <v>2995</v>
      </c>
    </row>
    <row r="446" customFormat="false" ht="30" hidden="false" customHeight="true" outlineLevel="0" collapsed="false">
      <c r="A446" s="12" t="s">
        <v>4553</v>
      </c>
      <c r="B446" s="12" t="s">
        <v>4554</v>
      </c>
      <c r="C446" s="12" t="s">
        <v>4430</v>
      </c>
      <c r="D446" s="12" t="s">
        <v>2984</v>
      </c>
      <c r="E446" s="12" t="s">
        <v>2156</v>
      </c>
      <c r="F446" s="12" t="s">
        <v>2157</v>
      </c>
      <c r="G446" s="13" t="s">
        <v>2985</v>
      </c>
      <c r="H446" s="12" t="s">
        <v>2986</v>
      </c>
      <c r="I446" s="12" t="s">
        <v>3093</v>
      </c>
      <c r="J446" s="13" t="s">
        <v>1280</v>
      </c>
      <c r="K446" s="13" t="s">
        <v>433</v>
      </c>
      <c r="L446" s="12" t="s">
        <v>184</v>
      </c>
      <c r="M446" s="12" t="n">
        <v>88</v>
      </c>
      <c r="N446" s="12" t="n">
        <v>390</v>
      </c>
      <c r="O446" s="13" t="s">
        <v>2792</v>
      </c>
      <c r="P446" s="12" t="s">
        <v>3177</v>
      </c>
      <c r="Q446" s="13" t="s">
        <v>3067</v>
      </c>
      <c r="R446" s="13" t="s">
        <v>3201</v>
      </c>
      <c r="S446" s="13"/>
      <c r="T446" s="13"/>
      <c r="U446" s="12"/>
      <c r="V446" s="13"/>
      <c r="W446" s="12"/>
      <c r="X446" s="13"/>
      <c r="Y446" s="12" t="s">
        <v>2897</v>
      </c>
      <c r="Z446" s="12" t="s">
        <v>2898</v>
      </c>
      <c r="AA446" s="13" t="s">
        <v>4555</v>
      </c>
      <c r="AB446" s="13"/>
      <c r="AC446" s="12" t="s">
        <v>2995</v>
      </c>
    </row>
    <row r="447" customFormat="false" ht="30" hidden="false" customHeight="true" outlineLevel="0" collapsed="false">
      <c r="A447" s="10" t="s">
        <v>4556</v>
      </c>
      <c r="B447" s="10" t="s">
        <v>4557</v>
      </c>
      <c r="C447" s="10" t="s">
        <v>4430</v>
      </c>
      <c r="D447" s="10" t="s">
        <v>2984</v>
      </c>
      <c r="E447" s="10" t="s">
        <v>2078</v>
      </c>
      <c r="F447" s="10" t="s">
        <v>2079</v>
      </c>
      <c r="G447" s="11" t="s">
        <v>3034</v>
      </c>
      <c r="H447" s="10" t="s">
        <v>3018</v>
      </c>
      <c r="I447" s="10" t="s">
        <v>3023</v>
      </c>
      <c r="J447" s="11" t="s">
        <v>1240</v>
      </c>
      <c r="K447" s="11" t="s">
        <v>452</v>
      </c>
      <c r="L447" s="10" t="s">
        <v>170</v>
      </c>
      <c r="M447" s="10" t="n">
        <v>69</v>
      </c>
      <c r="N447" s="10" t="n">
        <v>210</v>
      </c>
      <c r="O447" s="11" t="s">
        <v>2785</v>
      </c>
      <c r="P447" s="10" t="s">
        <v>3011</v>
      </c>
      <c r="Q447" s="11" t="s">
        <v>3025</v>
      </c>
      <c r="R447" s="11" t="s">
        <v>2991</v>
      </c>
      <c r="S447" s="11"/>
      <c r="T447" s="11" t="s">
        <v>4558</v>
      </c>
      <c r="U447" s="10"/>
      <c r="V447" s="11"/>
      <c r="W447" s="10"/>
      <c r="X447" s="11"/>
      <c r="Y447" s="10" t="s">
        <v>2888</v>
      </c>
      <c r="Z447" s="10" t="s">
        <v>1509</v>
      </c>
      <c r="AA447" s="11" t="s">
        <v>3548</v>
      </c>
      <c r="AB447" s="11"/>
      <c r="AC447" s="10" t="s">
        <v>2995</v>
      </c>
    </row>
    <row r="448" customFormat="false" ht="30" hidden="false" customHeight="true" outlineLevel="0" collapsed="false">
      <c r="A448" s="12" t="s">
        <v>4559</v>
      </c>
      <c r="B448" s="12" t="s">
        <v>4560</v>
      </c>
      <c r="C448" s="12" t="s">
        <v>4430</v>
      </c>
      <c r="D448" s="12" t="s">
        <v>2984</v>
      </c>
      <c r="E448" s="12" t="s">
        <v>2204</v>
      </c>
      <c r="F448" s="12" t="s">
        <v>2205</v>
      </c>
      <c r="G448" s="13" t="s">
        <v>3062</v>
      </c>
      <c r="H448" s="12" t="s">
        <v>3018</v>
      </c>
      <c r="I448" s="12" t="s">
        <v>2987</v>
      </c>
      <c r="J448" s="13" t="s">
        <v>1207</v>
      </c>
      <c r="K448" s="13" t="s">
        <v>452</v>
      </c>
      <c r="L448" s="12" t="s">
        <v>170</v>
      </c>
      <c r="M448" s="12" t="n">
        <v>82</v>
      </c>
      <c r="N448" s="12" t="n">
        <v>215</v>
      </c>
      <c r="O448" s="13" t="s">
        <v>2785</v>
      </c>
      <c r="P448" s="12" t="s">
        <v>3011</v>
      </c>
      <c r="Q448" s="13"/>
      <c r="R448" s="13" t="s">
        <v>2991</v>
      </c>
      <c r="S448" s="13"/>
      <c r="T448" s="13"/>
      <c r="U448" s="12"/>
      <c r="V448" s="13"/>
      <c r="W448" s="12"/>
      <c r="X448" s="13"/>
      <c r="Y448" s="12" t="s">
        <v>2884</v>
      </c>
      <c r="Z448" s="12" t="s">
        <v>2886</v>
      </c>
      <c r="AA448" s="13" t="s">
        <v>4561</v>
      </c>
      <c r="AB448" s="13"/>
      <c r="AC448" s="12" t="s">
        <v>2995</v>
      </c>
    </row>
    <row r="449" customFormat="false" ht="30" hidden="false" customHeight="true" outlineLevel="0" collapsed="false">
      <c r="A449" s="10" t="s">
        <v>4562</v>
      </c>
      <c r="B449" s="10" t="s">
        <v>4563</v>
      </c>
      <c r="C449" s="10" t="s">
        <v>4430</v>
      </c>
      <c r="D449" s="10" t="s">
        <v>2903</v>
      </c>
      <c r="E449" s="10" t="s">
        <v>2456</v>
      </c>
      <c r="F449" s="10" t="s">
        <v>2457</v>
      </c>
      <c r="G449" s="11" t="s">
        <v>3022</v>
      </c>
      <c r="H449" s="10" t="s">
        <v>3072</v>
      </c>
      <c r="I449" s="10" t="s">
        <v>3073</v>
      </c>
      <c r="J449" s="11" t="s">
        <v>3427</v>
      </c>
      <c r="K449" s="11" t="s">
        <v>452</v>
      </c>
      <c r="L449" s="10" t="s">
        <v>191</v>
      </c>
      <c r="M449" s="10" t="n">
        <v>50</v>
      </c>
      <c r="N449" s="10" t="n">
        <v>495</v>
      </c>
      <c r="O449" s="11" t="s">
        <v>3024</v>
      </c>
      <c r="P449" s="10" t="s">
        <v>2989</v>
      </c>
      <c r="Q449" s="11"/>
      <c r="R449" s="11" t="s">
        <v>2991</v>
      </c>
      <c r="S449" s="11"/>
      <c r="T449" s="11"/>
      <c r="U449" s="10"/>
      <c r="V449" s="11"/>
      <c r="W449" s="10"/>
      <c r="X449" s="11"/>
      <c r="Y449" s="10" t="s">
        <v>2888</v>
      </c>
      <c r="Z449" s="10" t="s">
        <v>1509</v>
      </c>
      <c r="AA449" s="11" t="s">
        <v>4564</v>
      </c>
      <c r="AB449" s="11"/>
      <c r="AC449" s="10" t="s">
        <v>3014</v>
      </c>
    </row>
    <row r="450" customFormat="false" ht="30" hidden="false" customHeight="true" outlineLevel="0" collapsed="false">
      <c r="A450" s="12" t="s">
        <v>4565</v>
      </c>
      <c r="B450" s="12" t="s">
        <v>4566</v>
      </c>
      <c r="C450" s="12" t="s">
        <v>4430</v>
      </c>
      <c r="D450" s="12" t="s">
        <v>2984</v>
      </c>
      <c r="E450" s="12" t="s">
        <v>2240</v>
      </c>
      <c r="F450" s="12" t="s">
        <v>2241</v>
      </c>
      <c r="G450" s="13" t="s">
        <v>3088</v>
      </c>
      <c r="H450" s="12" t="s">
        <v>3018</v>
      </c>
      <c r="I450" s="12" t="s">
        <v>2987</v>
      </c>
      <c r="J450" s="13" t="s">
        <v>1201</v>
      </c>
      <c r="K450" s="13" t="s">
        <v>452</v>
      </c>
      <c r="L450" s="12" t="s">
        <v>170</v>
      </c>
      <c r="M450" s="12" t="n">
        <v>82</v>
      </c>
      <c r="N450" s="12" t="n">
        <v>210</v>
      </c>
      <c r="O450" s="13" t="s">
        <v>2785</v>
      </c>
      <c r="P450" s="12" t="s">
        <v>3011</v>
      </c>
      <c r="Q450" s="13"/>
      <c r="R450" s="13" t="s">
        <v>2991</v>
      </c>
      <c r="S450" s="13"/>
      <c r="T450" s="13"/>
      <c r="U450" s="12"/>
      <c r="V450" s="13"/>
      <c r="W450" s="12"/>
      <c r="X450" s="13"/>
      <c r="Y450" s="12" t="s">
        <v>2884</v>
      </c>
      <c r="Z450" s="12" t="s">
        <v>2886</v>
      </c>
      <c r="AA450" s="13" t="s">
        <v>4219</v>
      </c>
      <c r="AB450" s="13"/>
      <c r="AC450" s="12" t="s">
        <v>2995</v>
      </c>
    </row>
    <row r="451" customFormat="false" ht="30" hidden="false" customHeight="true" outlineLevel="0" collapsed="false">
      <c r="A451" s="10" t="s">
        <v>4567</v>
      </c>
      <c r="B451" s="10" t="s">
        <v>4568</v>
      </c>
      <c r="C451" s="10" t="s">
        <v>4430</v>
      </c>
      <c r="D451" s="10" t="s">
        <v>2984</v>
      </c>
      <c r="E451" s="10" t="s">
        <v>2108</v>
      </c>
      <c r="F451" s="10" t="s">
        <v>2109</v>
      </c>
      <c r="G451" s="11" t="s">
        <v>3080</v>
      </c>
      <c r="H451" s="10" t="s">
        <v>3049</v>
      </c>
      <c r="I451" s="10" t="s">
        <v>2987</v>
      </c>
      <c r="J451" s="11" t="s">
        <v>1168</v>
      </c>
      <c r="K451" s="11" t="s">
        <v>452</v>
      </c>
      <c r="L451" s="10" t="s">
        <v>177</v>
      </c>
      <c r="M451" s="10" t="n">
        <v>78</v>
      </c>
      <c r="N451" s="10" t="n">
        <v>320</v>
      </c>
      <c r="O451" s="11" t="s">
        <v>3031</v>
      </c>
      <c r="P451" s="10" t="s">
        <v>3011</v>
      </c>
      <c r="Q451" s="11"/>
      <c r="R451" s="11" t="s">
        <v>2991</v>
      </c>
      <c r="S451" s="11"/>
      <c r="T451" s="11"/>
      <c r="U451" s="10"/>
      <c r="V451" s="11"/>
      <c r="W451" s="10"/>
      <c r="X451" s="11"/>
      <c r="Y451" s="10" t="s">
        <v>2897</v>
      </c>
      <c r="Z451" s="10" t="s">
        <v>2898</v>
      </c>
      <c r="AA451" s="11" t="s">
        <v>4547</v>
      </c>
      <c r="AB451" s="11"/>
      <c r="AC451" s="10" t="s">
        <v>2995</v>
      </c>
    </row>
    <row r="452" customFormat="false" ht="30" hidden="false" customHeight="true" outlineLevel="0" collapsed="false">
      <c r="A452" s="12" t="s">
        <v>4569</v>
      </c>
      <c r="B452" s="12" t="s">
        <v>4570</v>
      </c>
      <c r="C452" s="12" t="s">
        <v>4430</v>
      </c>
      <c r="D452" s="12" t="s">
        <v>2984</v>
      </c>
      <c r="E452" s="12" t="s">
        <v>2134</v>
      </c>
      <c r="F452" s="12" t="s">
        <v>2135</v>
      </c>
      <c r="G452" s="13" t="s">
        <v>3007</v>
      </c>
      <c r="H452" s="12" t="s">
        <v>3018</v>
      </c>
      <c r="I452" s="12" t="s">
        <v>3023</v>
      </c>
      <c r="J452" s="13" t="s">
        <v>1244</v>
      </c>
      <c r="K452" s="13" t="s">
        <v>452</v>
      </c>
      <c r="L452" s="12" t="s">
        <v>170</v>
      </c>
      <c r="M452" s="12" t="n">
        <v>85</v>
      </c>
      <c r="N452" s="12" t="n">
        <v>270</v>
      </c>
      <c r="O452" s="13" t="s">
        <v>2785</v>
      </c>
      <c r="P452" s="12" t="s">
        <v>3011</v>
      </c>
      <c r="Q452" s="13"/>
      <c r="R452" s="13" t="s">
        <v>2991</v>
      </c>
      <c r="S452" s="13"/>
      <c r="T452" s="13"/>
      <c r="U452" s="12"/>
      <c r="V452" s="13" t="s">
        <v>4571</v>
      </c>
      <c r="W452" s="12"/>
      <c r="X452" s="13"/>
      <c r="Y452" s="12" t="s">
        <v>2884</v>
      </c>
      <c r="Z452" s="12" t="s">
        <v>2886</v>
      </c>
      <c r="AA452" s="13" t="s">
        <v>4572</v>
      </c>
      <c r="AB452" s="13"/>
      <c r="AC452" s="12" t="s">
        <v>2995</v>
      </c>
    </row>
    <row r="453" customFormat="false" ht="30" hidden="false" customHeight="true" outlineLevel="0" collapsed="false">
      <c r="A453" s="10" t="s">
        <v>4573</v>
      </c>
      <c r="B453" s="10" t="s">
        <v>4574</v>
      </c>
      <c r="C453" s="10" t="s">
        <v>4430</v>
      </c>
      <c r="D453" s="10" t="s">
        <v>2984</v>
      </c>
      <c r="E453" s="10" t="s">
        <v>2192</v>
      </c>
      <c r="F453" s="10" t="s">
        <v>2193</v>
      </c>
      <c r="G453" s="11" t="s">
        <v>3017</v>
      </c>
      <c r="H453" s="10" t="s">
        <v>3049</v>
      </c>
      <c r="I453" s="10" t="s">
        <v>2987</v>
      </c>
      <c r="J453" s="11" t="s">
        <v>1168</v>
      </c>
      <c r="K453" s="11" t="s">
        <v>452</v>
      </c>
      <c r="L453" s="10" t="s">
        <v>170</v>
      </c>
      <c r="M453" s="10" t="n">
        <v>66</v>
      </c>
      <c r="N453" s="10" t="n">
        <v>220</v>
      </c>
      <c r="O453" s="11" t="s">
        <v>2785</v>
      </c>
      <c r="P453" s="10" t="s">
        <v>3011</v>
      </c>
      <c r="Q453" s="11" t="s">
        <v>3025</v>
      </c>
      <c r="R453" s="11" t="s">
        <v>2991</v>
      </c>
      <c r="S453" s="11"/>
      <c r="T453" s="11" t="s">
        <v>4575</v>
      </c>
      <c r="U453" s="10"/>
      <c r="V453" s="11"/>
      <c r="W453" s="10"/>
      <c r="X453" s="11"/>
      <c r="Y453" s="10" t="s">
        <v>2888</v>
      </c>
      <c r="Z453" s="10" t="s">
        <v>1509</v>
      </c>
      <c r="AA453" s="11" t="s">
        <v>4576</v>
      </c>
      <c r="AB453" s="11"/>
      <c r="AC453" s="10" t="s">
        <v>2995</v>
      </c>
    </row>
    <row r="454" customFormat="false" ht="30" hidden="false" customHeight="true" outlineLevel="0" collapsed="false">
      <c r="A454" s="12" t="s">
        <v>4577</v>
      </c>
      <c r="B454" s="12" t="s">
        <v>4578</v>
      </c>
      <c r="C454" s="12" t="s">
        <v>4430</v>
      </c>
      <c r="D454" s="12" t="s">
        <v>2984</v>
      </c>
      <c r="E454" s="12" t="s">
        <v>2130</v>
      </c>
      <c r="F454" s="12" t="s">
        <v>2131</v>
      </c>
      <c r="G454" s="13" t="s">
        <v>3048</v>
      </c>
      <c r="H454" s="12" t="s">
        <v>3018</v>
      </c>
      <c r="I454" s="12" t="s">
        <v>2987</v>
      </c>
      <c r="J454" s="13" t="s">
        <v>1201</v>
      </c>
      <c r="K454" s="13" t="s">
        <v>452</v>
      </c>
      <c r="L454" s="12" t="s">
        <v>170</v>
      </c>
      <c r="M454" s="12" t="n">
        <v>82</v>
      </c>
      <c r="N454" s="12" t="n">
        <v>210</v>
      </c>
      <c r="O454" s="13" t="s">
        <v>2785</v>
      </c>
      <c r="P454" s="12" t="s">
        <v>3011</v>
      </c>
      <c r="Q454" s="13"/>
      <c r="R454" s="13" t="s">
        <v>2991</v>
      </c>
      <c r="S454" s="13"/>
      <c r="T454" s="13"/>
      <c r="U454" s="12"/>
      <c r="V454" s="13"/>
      <c r="W454" s="12"/>
      <c r="X454" s="13"/>
      <c r="Y454" s="12" t="s">
        <v>2884</v>
      </c>
      <c r="Z454" s="12" t="s">
        <v>2886</v>
      </c>
      <c r="AA454" s="13" t="s">
        <v>4579</v>
      </c>
      <c r="AB454" s="13"/>
      <c r="AC454" s="12" t="s">
        <v>2995</v>
      </c>
    </row>
    <row r="455" customFormat="false" ht="30" hidden="false" customHeight="true" outlineLevel="0" collapsed="false">
      <c r="A455" s="10" t="s">
        <v>4580</v>
      </c>
      <c r="B455" s="10" t="s">
        <v>4581</v>
      </c>
      <c r="C455" s="10" t="s">
        <v>4582</v>
      </c>
      <c r="D455" s="10" t="s">
        <v>2984</v>
      </c>
      <c r="E455" s="10" t="s">
        <v>2288</v>
      </c>
      <c r="F455" s="10" t="s">
        <v>2289</v>
      </c>
      <c r="G455" s="11" t="s">
        <v>3065</v>
      </c>
      <c r="H455" s="10" t="s">
        <v>3072</v>
      </c>
      <c r="I455" s="10" t="s">
        <v>3073</v>
      </c>
      <c r="J455" s="11" t="s">
        <v>1303</v>
      </c>
      <c r="K455" s="11" t="s">
        <v>452</v>
      </c>
      <c r="L455" s="10" t="s">
        <v>191</v>
      </c>
      <c r="M455" s="10" t="n">
        <v>50</v>
      </c>
      <c r="N455" s="10" t="n">
        <v>510</v>
      </c>
      <c r="O455" s="11" t="s">
        <v>3024</v>
      </c>
      <c r="P455" s="10" t="s">
        <v>2989</v>
      </c>
      <c r="Q455" s="11"/>
      <c r="R455" s="11" t="s">
        <v>2991</v>
      </c>
      <c r="S455" s="11"/>
      <c r="T455" s="11"/>
      <c r="U455" s="10"/>
      <c r="V455" s="11"/>
      <c r="W455" s="10"/>
      <c r="X455" s="11"/>
      <c r="Y455" s="10" t="s">
        <v>2888</v>
      </c>
      <c r="Z455" s="10" t="s">
        <v>1509</v>
      </c>
      <c r="AA455" s="11" t="s">
        <v>4583</v>
      </c>
      <c r="AB455" s="11"/>
      <c r="AC455" s="10" t="s">
        <v>2995</v>
      </c>
    </row>
    <row r="456" customFormat="false" ht="30" hidden="false" customHeight="true" outlineLevel="0" collapsed="false">
      <c r="A456" s="12" t="s">
        <v>4584</v>
      </c>
      <c r="B456" s="12" t="s">
        <v>4585</v>
      </c>
      <c r="C456" s="12" t="s">
        <v>4582</v>
      </c>
      <c r="D456" s="12" t="s">
        <v>2984</v>
      </c>
      <c r="E456" s="12" t="s">
        <v>2226</v>
      </c>
      <c r="F456" s="12" t="s">
        <v>2227</v>
      </c>
      <c r="G456" s="13" t="s">
        <v>3022</v>
      </c>
      <c r="H456" s="12" t="s">
        <v>2986</v>
      </c>
      <c r="I456" s="12" t="s">
        <v>2987</v>
      </c>
      <c r="J456" s="13" t="s">
        <v>1212</v>
      </c>
      <c r="K456" s="13" t="s">
        <v>433</v>
      </c>
      <c r="L456" s="12" t="s">
        <v>191</v>
      </c>
      <c r="M456" s="12" t="n">
        <v>46</v>
      </c>
      <c r="N456" s="12" t="n">
        <v>520</v>
      </c>
      <c r="O456" s="13" t="s">
        <v>3024</v>
      </c>
      <c r="P456" s="12" t="s">
        <v>2989</v>
      </c>
      <c r="Q456" s="13" t="s">
        <v>3054</v>
      </c>
      <c r="R456" s="13" t="s">
        <v>3055</v>
      </c>
      <c r="S456" s="13"/>
      <c r="T456" s="13"/>
      <c r="U456" s="12"/>
      <c r="V456" s="13"/>
      <c r="W456" s="12"/>
      <c r="X456" s="13"/>
      <c r="Y456" s="12" t="s">
        <v>2888</v>
      </c>
      <c r="Z456" s="12" t="s">
        <v>1509</v>
      </c>
      <c r="AA456" s="13" t="s">
        <v>4586</v>
      </c>
      <c r="AB456" s="13"/>
      <c r="AC456" s="12" t="s">
        <v>2995</v>
      </c>
    </row>
    <row r="457" customFormat="false" ht="30" hidden="false" customHeight="true" outlineLevel="0" collapsed="false">
      <c r="A457" s="10" t="s">
        <v>4587</v>
      </c>
      <c r="B457" s="10" t="s">
        <v>4588</v>
      </c>
      <c r="C457" s="10" t="s">
        <v>4582</v>
      </c>
      <c r="D457" s="10" t="s">
        <v>2984</v>
      </c>
      <c r="E457" s="10" t="s">
        <v>2344</v>
      </c>
      <c r="F457" s="10" t="s">
        <v>2345</v>
      </c>
      <c r="G457" s="11" t="s">
        <v>3088</v>
      </c>
      <c r="H457" s="10" t="s">
        <v>3018</v>
      </c>
      <c r="I457" s="10" t="s">
        <v>3023</v>
      </c>
      <c r="J457" s="11" t="s">
        <v>1244</v>
      </c>
      <c r="K457" s="11" t="s">
        <v>452</v>
      </c>
      <c r="L457" s="10" t="s">
        <v>170</v>
      </c>
      <c r="M457" s="10" t="n">
        <v>72</v>
      </c>
      <c r="N457" s="10" t="n">
        <v>210</v>
      </c>
      <c r="O457" s="11" t="s">
        <v>2785</v>
      </c>
      <c r="P457" s="10" t="s">
        <v>3011</v>
      </c>
      <c r="Q457" s="11" t="s">
        <v>3025</v>
      </c>
      <c r="R457" s="11" t="s">
        <v>2991</v>
      </c>
      <c r="S457" s="11"/>
      <c r="T457" s="11" t="s">
        <v>4589</v>
      </c>
      <c r="U457" s="10"/>
      <c r="V457" s="11"/>
      <c r="W457" s="10"/>
      <c r="X457" s="11"/>
      <c r="Y457" s="10" t="s">
        <v>2888</v>
      </c>
      <c r="Z457" s="10" t="s">
        <v>1509</v>
      </c>
      <c r="AA457" s="11" t="s">
        <v>4121</v>
      </c>
      <c r="AB457" s="11"/>
      <c r="AC457" s="10" t="s">
        <v>2995</v>
      </c>
    </row>
    <row r="458" customFormat="false" ht="30" hidden="false" customHeight="true" outlineLevel="0" collapsed="false">
      <c r="A458" s="12" t="s">
        <v>4590</v>
      </c>
      <c r="B458" s="12" t="s">
        <v>4591</v>
      </c>
      <c r="C458" s="12" t="s">
        <v>4582</v>
      </c>
      <c r="D458" s="12" t="s">
        <v>2984</v>
      </c>
      <c r="E458" s="12" t="s">
        <v>2268</v>
      </c>
      <c r="F458" s="12" t="s">
        <v>2269</v>
      </c>
      <c r="G458" s="13" t="s">
        <v>3048</v>
      </c>
      <c r="H458" s="12" t="s">
        <v>3018</v>
      </c>
      <c r="I458" s="12" t="s">
        <v>2987</v>
      </c>
      <c r="J458" s="13" t="s">
        <v>1201</v>
      </c>
      <c r="K458" s="13" t="s">
        <v>452</v>
      </c>
      <c r="L458" s="12" t="s">
        <v>170</v>
      </c>
      <c r="M458" s="12" t="n">
        <v>83</v>
      </c>
      <c r="N458" s="12" t="n">
        <v>200</v>
      </c>
      <c r="O458" s="13" t="s">
        <v>2785</v>
      </c>
      <c r="P458" s="12" t="s">
        <v>3011</v>
      </c>
      <c r="Q458" s="13"/>
      <c r="R458" s="13" t="s">
        <v>2991</v>
      </c>
      <c r="S458" s="13"/>
      <c r="T458" s="13"/>
      <c r="U458" s="12"/>
      <c r="V458" s="13"/>
      <c r="W458" s="12"/>
      <c r="X458" s="13"/>
      <c r="Y458" s="12" t="s">
        <v>2884</v>
      </c>
      <c r="Z458" s="12" t="s">
        <v>2886</v>
      </c>
      <c r="AA458" s="13" t="s">
        <v>4356</v>
      </c>
      <c r="AB458" s="13"/>
      <c r="AC458" s="12" t="s">
        <v>2995</v>
      </c>
    </row>
    <row r="459" customFormat="false" ht="30" hidden="false" customHeight="true" outlineLevel="0" collapsed="false">
      <c r="A459" s="10" t="s">
        <v>4592</v>
      </c>
      <c r="B459" s="10" t="s">
        <v>4593</v>
      </c>
      <c r="C459" s="10" t="s">
        <v>4582</v>
      </c>
      <c r="D459" s="10" t="s">
        <v>2903</v>
      </c>
      <c r="E459" s="10" t="s">
        <v>2468</v>
      </c>
      <c r="F459" s="10" t="s">
        <v>1930</v>
      </c>
      <c r="G459" s="11" t="s">
        <v>3007</v>
      </c>
      <c r="H459" s="10" t="s">
        <v>2999</v>
      </c>
      <c r="I459" s="10" t="s">
        <v>2987</v>
      </c>
      <c r="J459" s="11" t="s">
        <v>985</v>
      </c>
      <c r="K459" s="11" t="s">
        <v>423</v>
      </c>
      <c r="L459" s="10" t="s">
        <v>170</v>
      </c>
      <c r="M459" s="10" t="n">
        <v>84</v>
      </c>
      <c r="N459" s="10" t="n">
        <v>240</v>
      </c>
      <c r="O459" s="11" t="s">
        <v>2785</v>
      </c>
      <c r="P459" s="10" t="s">
        <v>3011</v>
      </c>
      <c r="Q459" s="11"/>
      <c r="R459" s="11" t="s">
        <v>2991</v>
      </c>
      <c r="S459" s="11"/>
      <c r="T459" s="11"/>
      <c r="U459" s="10"/>
      <c r="V459" s="11"/>
      <c r="W459" s="10"/>
      <c r="X459" s="11"/>
      <c r="Y459" s="10" t="s">
        <v>2884</v>
      </c>
      <c r="Z459" s="10" t="s">
        <v>2886</v>
      </c>
      <c r="AA459" s="11" t="s">
        <v>4594</v>
      </c>
      <c r="AB459" s="11"/>
      <c r="AC459" s="10" t="s">
        <v>2995</v>
      </c>
    </row>
    <row r="460" customFormat="false" ht="30" hidden="false" customHeight="true" outlineLevel="0" collapsed="false">
      <c r="A460" s="12" t="s">
        <v>4595</v>
      </c>
      <c r="B460" s="12" t="s">
        <v>4593</v>
      </c>
      <c r="C460" s="12" t="s">
        <v>4582</v>
      </c>
      <c r="D460" s="12" t="s">
        <v>2984</v>
      </c>
      <c r="E460" s="12" t="s">
        <v>2270</v>
      </c>
      <c r="F460" s="12" t="s">
        <v>2271</v>
      </c>
      <c r="G460" s="13" t="s">
        <v>3062</v>
      </c>
      <c r="H460" s="12" t="s">
        <v>3018</v>
      </c>
      <c r="I460" s="12" t="s">
        <v>3023</v>
      </c>
      <c r="J460" s="13" t="s">
        <v>1240</v>
      </c>
      <c r="K460" s="13" t="s">
        <v>452</v>
      </c>
      <c r="L460" s="12" t="s">
        <v>170</v>
      </c>
      <c r="M460" s="12" t="n">
        <v>66</v>
      </c>
      <c r="N460" s="12" t="n">
        <v>220</v>
      </c>
      <c r="O460" s="13" t="s">
        <v>2785</v>
      </c>
      <c r="P460" s="12" t="s">
        <v>3011</v>
      </c>
      <c r="Q460" s="13" t="s">
        <v>3124</v>
      </c>
      <c r="R460" s="13" t="s">
        <v>2991</v>
      </c>
      <c r="S460" s="13" t="s">
        <v>3002</v>
      </c>
      <c r="T460" s="13"/>
      <c r="U460" s="12"/>
      <c r="V460" s="13"/>
      <c r="W460" s="12"/>
      <c r="X460" s="13"/>
      <c r="Y460" s="12" t="s">
        <v>2888</v>
      </c>
      <c r="Z460" s="12" t="s">
        <v>1509</v>
      </c>
      <c r="AA460" s="13" t="s">
        <v>4450</v>
      </c>
      <c r="AB460" s="13"/>
      <c r="AC460" s="12" t="s">
        <v>2995</v>
      </c>
    </row>
    <row r="461" customFormat="false" ht="30" hidden="false" customHeight="true" outlineLevel="0" collapsed="false">
      <c r="A461" s="10" t="s">
        <v>4596</v>
      </c>
      <c r="B461" s="10" t="s">
        <v>4597</v>
      </c>
      <c r="C461" s="10" t="s">
        <v>4582</v>
      </c>
      <c r="D461" s="10" t="s">
        <v>2984</v>
      </c>
      <c r="E461" s="10" t="s">
        <v>2262</v>
      </c>
      <c r="F461" s="10" t="s">
        <v>2263</v>
      </c>
      <c r="G461" s="11" t="s">
        <v>3112</v>
      </c>
      <c r="H461" s="10" t="s">
        <v>2986</v>
      </c>
      <c r="I461" s="10" t="s">
        <v>3023</v>
      </c>
      <c r="J461" s="11" t="s">
        <v>1249</v>
      </c>
      <c r="K461" s="11" t="s">
        <v>433</v>
      </c>
      <c r="L461" s="10" t="s">
        <v>191</v>
      </c>
      <c r="M461" s="10" t="n">
        <v>51</v>
      </c>
      <c r="N461" s="10" t="n">
        <v>490</v>
      </c>
      <c r="O461" s="11" t="s">
        <v>3024</v>
      </c>
      <c r="P461" s="10" t="s">
        <v>2989</v>
      </c>
      <c r="Q461" s="11"/>
      <c r="R461" s="11" t="s">
        <v>2991</v>
      </c>
      <c r="S461" s="11"/>
      <c r="T461" s="11"/>
      <c r="U461" s="10"/>
      <c r="V461" s="11"/>
      <c r="W461" s="10"/>
      <c r="X461" s="11"/>
      <c r="Y461" s="10" t="s">
        <v>2888</v>
      </c>
      <c r="Z461" s="10" t="s">
        <v>1509</v>
      </c>
      <c r="AA461" s="11" t="s">
        <v>4598</v>
      </c>
      <c r="AB461" s="11"/>
      <c r="AC461" s="10" t="s">
        <v>2995</v>
      </c>
    </row>
    <row r="462" customFormat="false" ht="30" hidden="false" customHeight="true" outlineLevel="0" collapsed="false">
      <c r="A462" s="12" t="s">
        <v>4599</v>
      </c>
      <c r="B462" s="12" t="s">
        <v>4600</v>
      </c>
      <c r="C462" s="12" t="s">
        <v>4582</v>
      </c>
      <c r="D462" s="12" t="s">
        <v>2903</v>
      </c>
      <c r="E462" s="12" t="s">
        <v>2586</v>
      </c>
      <c r="F462" s="12" t="s">
        <v>2587</v>
      </c>
      <c r="G462" s="13" t="s">
        <v>3065</v>
      </c>
      <c r="H462" s="12" t="s">
        <v>2999</v>
      </c>
      <c r="I462" s="12" t="s">
        <v>2987</v>
      </c>
      <c r="J462" s="13" t="s">
        <v>876</v>
      </c>
      <c r="K462" s="13" t="s">
        <v>423</v>
      </c>
      <c r="L462" s="12" t="s">
        <v>191</v>
      </c>
      <c r="M462" s="12" t="n">
        <v>50</v>
      </c>
      <c r="N462" s="12" t="n">
        <v>510</v>
      </c>
      <c r="O462" s="13" t="s">
        <v>3024</v>
      </c>
      <c r="P462" s="12" t="s">
        <v>2989</v>
      </c>
      <c r="Q462" s="13"/>
      <c r="R462" s="13" t="s">
        <v>2991</v>
      </c>
      <c r="S462" s="13"/>
      <c r="T462" s="13"/>
      <c r="U462" s="12"/>
      <c r="V462" s="13"/>
      <c r="W462" s="12"/>
      <c r="X462" s="13"/>
      <c r="Y462" s="12" t="s">
        <v>2888</v>
      </c>
      <c r="Z462" s="12" t="s">
        <v>1509</v>
      </c>
      <c r="AA462" s="13" t="s">
        <v>4601</v>
      </c>
      <c r="AB462" s="13"/>
      <c r="AC462" s="12" t="s">
        <v>3014</v>
      </c>
    </row>
    <row r="463" customFormat="false" ht="30" hidden="false" customHeight="true" outlineLevel="0" collapsed="false">
      <c r="A463" s="10" t="s">
        <v>4602</v>
      </c>
      <c r="B463" s="10" t="s">
        <v>4603</v>
      </c>
      <c r="C463" s="10" t="s">
        <v>4582</v>
      </c>
      <c r="D463" s="10" t="s">
        <v>2903</v>
      </c>
      <c r="E463" s="10" t="s">
        <v>2429</v>
      </c>
      <c r="F463" s="10" t="s">
        <v>2430</v>
      </c>
      <c r="G463" s="11" t="s">
        <v>3029</v>
      </c>
      <c r="H463" s="10" t="s">
        <v>2999</v>
      </c>
      <c r="I463" s="10" t="s">
        <v>2987</v>
      </c>
      <c r="J463" s="11" t="s">
        <v>936</v>
      </c>
      <c r="K463" s="11" t="s">
        <v>423</v>
      </c>
      <c r="L463" s="10" t="s">
        <v>170</v>
      </c>
      <c r="M463" s="10" t="n">
        <v>85</v>
      </c>
      <c r="N463" s="10" t="n">
        <v>270</v>
      </c>
      <c r="O463" s="11" t="s">
        <v>2785</v>
      </c>
      <c r="P463" s="10" t="s">
        <v>3011</v>
      </c>
      <c r="Q463" s="11" t="s">
        <v>4604</v>
      </c>
      <c r="R463" s="11" t="s">
        <v>2991</v>
      </c>
      <c r="S463" s="11"/>
      <c r="T463" s="11"/>
      <c r="U463" s="10"/>
      <c r="V463" s="11"/>
      <c r="W463" s="10" t="s">
        <v>4408</v>
      </c>
      <c r="X463" s="11"/>
      <c r="Y463" s="10" t="s">
        <v>2884</v>
      </c>
      <c r="Z463" s="10" t="s">
        <v>2886</v>
      </c>
      <c r="AA463" s="11" t="s">
        <v>4605</v>
      </c>
      <c r="AB463" s="11"/>
      <c r="AC463" s="10" t="s">
        <v>2995</v>
      </c>
    </row>
    <row r="464" customFormat="false" ht="30" hidden="false" customHeight="true" outlineLevel="0" collapsed="false">
      <c r="A464" s="12" t="s">
        <v>4606</v>
      </c>
      <c r="B464" s="12" t="s">
        <v>4607</v>
      </c>
      <c r="C464" s="12" t="s">
        <v>4582</v>
      </c>
      <c r="D464" s="12" t="s">
        <v>2984</v>
      </c>
      <c r="E464" s="12" t="s">
        <v>2232</v>
      </c>
      <c r="F464" s="12" t="s">
        <v>2233</v>
      </c>
      <c r="G464" s="13" t="s">
        <v>3092</v>
      </c>
      <c r="H464" s="12" t="s">
        <v>3018</v>
      </c>
      <c r="I464" s="12" t="s">
        <v>2987</v>
      </c>
      <c r="J464" s="13" t="s">
        <v>1212</v>
      </c>
      <c r="K464" s="13" t="s">
        <v>452</v>
      </c>
      <c r="L464" s="12" t="s">
        <v>170</v>
      </c>
      <c r="M464" s="12" t="n">
        <v>83</v>
      </c>
      <c r="N464" s="12" t="n">
        <v>210</v>
      </c>
      <c r="O464" s="13" t="s">
        <v>2785</v>
      </c>
      <c r="P464" s="12" t="s">
        <v>3011</v>
      </c>
      <c r="Q464" s="13"/>
      <c r="R464" s="13" t="s">
        <v>2991</v>
      </c>
      <c r="S464" s="13"/>
      <c r="T464" s="13"/>
      <c r="U464" s="12"/>
      <c r="V464" s="13"/>
      <c r="W464" s="12"/>
      <c r="X464" s="13"/>
      <c r="Y464" s="12" t="s">
        <v>2884</v>
      </c>
      <c r="Z464" s="12" t="s">
        <v>2886</v>
      </c>
      <c r="AA464" s="13" t="s">
        <v>4608</v>
      </c>
      <c r="AB464" s="13"/>
      <c r="AC464" s="12" t="s">
        <v>2995</v>
      </c>
    </row>
    <row r="465" customFormat="false" ht="30" hidden="false" customHeight="true" outlineLevel="0" collapsed="false">
      <c r="A465" s="10" t="s">
        <v>4609</v>
      </c>
      <c r="B465" s="10" t="s">
        <v>4610</v>
      </c>
      <c r="C465" s="10" t="s">
        <v>4582</v>
      </c>
      <c r="D465" s="10" t="s">
        <v>2984</v>
      </c>
      <c r="E465" s="10" t="s">
        <v>2146</v>
      </c>
      <c r="F465" s="10" t="s">
        <v>2147</v>
      </c>
      <c r="G465" s="11" t="s">
        <v>3053</v>
      </c>
      <c r="H465" s="10" t="s">
        <v>2986</v>
      </c>
      <c r="I465" s="10" t="s">
        <v>2987</v>
      </c>
      <c r="J465" s="11" t="s">
        <v>1212</v>
      </c>
      <c r="K465" s="11" t="s">
        <v>452</v>
      </c>
      <c r="L465" s="10" t="s">
        <v>191</v>
      </c>
      <c r="M465" s="10" t="n">
        <v>44</v>
      </c>
      <c r="N465" s="10" t="n">
        <v>210</v>
      </c>
      <c r="O465" s="11" t="s">
        <v>3000</v>
      </c>
      <c r="P465" s="10" t="s">
        <v>2989</v>
      </c>
      <c r="Q465" s="11" t="s">
        <v>4611</v>
      </c>
      <c r="R465" s="11" t="s">
        <v>3055</v>
      </c>
      <c r="S465" s="11"/>
      <c r="T465" s="11"/>
      <c r="U465" s="10"/>
      <c r="V465" s="11"/>
      <c r="W465" s="10" t="s">
        <v>3044</v>
      </c>
      <c r="X465" s="11"/>
      <c r="Y465" s="10" t="s">
        <v>2888</v>
      </c>
      <c r="Z465" s="10" t="s">
        <v>1509</v>
      </c>
      <c r="AA465" s="11" t="s">
        <v>4612</v>
      </c>
      <c r="AB465" s="11"/>
      <c r="AC465" s="10" t="s">
        <v>2995</v>
      </c>
    </row>
    <row r="466" customFormat="false" ht="30" hidden="false" customHeight="true" outlineLevel="0" collapsed="false">
      <c r="A466" s="12" t="s">
        <v>4613</v>
      </c>
      <c r="B466" s="12" t="s">
        <v>4614</v>
      </c>
      <c r="C466" s="12" t="s">
        <v>4582</v>
      </c>
      <c r="D466" s="12" t="s">
        <v>2984</v>
      </c>
      <c r="E466" s="12" t="s">
        <v>2224</v>
      </c>
      <c r="F466" s="12" t="s">
        <v>2225</v>
      </c>
      <c r="G466" s="13" t="s">
        <v>3048</v>
      </c>
      <c r="H466" s="12" t="s">
        <v>3018</v>
      </c>
      <c r="I466" s="12" t="s">
        <v>2987</v>
      </c>
      <c r="J466" s="13" t="s">
        <v>1207</v>
      </c>
      <c r="K466" s="13" t="s">
        <v>452</v>
      </c>
      <c r="L466" s="12" t="s">
        <v>170</v>
      </c>
      <c r="M466" s="12" t="n">
        <v>83</v>
      </c>
      <c r="N466" s="12" t="n">
        <v>210</v>
      </c>
      <c r="O466" s="13" t="s">
        <v>2785</v>
      </c>
      <c r="P466" s="12" t="s">
        <v>3011</v>
      </c>
      <c r="Q466" s="13"/>
      <c r="R466" s="13" t="s">
        <v>2991</v>
      </c>
      <c r="S466" s="13"/>
      <c r="T466" s="13"/>
      <c r="U466" s="12"/>
      <c r="V466" s="13"/>
      <c r="W466" s="12"/>
      <c r="X466" s="13"/>
      <c r="Y466" s="12" t="s">
        <v>2884</v>
      </c>
      <c r="Z466" s="12" t="s">
        <v>2886</v>
      </c>
      <c r="AA466" s="13" t="s">
        <v>4615</v>
      </c>
      <c r="AB466" s="13"/>
      <c r="AC466" s="12" t="s">
        <v>2995</v>
      </c>
    </row>
    <row r="467" customFormat="false" ht="30" hidden="false" customHeight="true" outlineLevel="0" collapsed="false">
      <c r="A467" s="10" t="s">
        <v>4616</v>
      </c>
      <c r="B467" s="10" t="s">
        <v>4617</v>
      </c>
      <c r="C467" s="10" t="s">
        <v>4582</v>
      </c>
      <c r="D467" s="10" t="s">
        <v>2984</v>
      </c>
      <c r="E467" s="10" t="s">
        <v>2282</v>
      </c>
      <c r="F467" s="10" t="s">
        <v>2283</v>
      </c>
      <c r="G467" s="11" t="s">
        <v>3071</v>
      </c>
      <c r="H467" s="10" t="s">
        <v>3072</v>
      </c>
      <c r="I467" s="10" t="s">
        <v>3073</v>
      </c>
      <c r="J467" s="11" t="s">
        <v>1303</v>
      </c>
      <c r="K467" s="11" t="s">
        <v>452</v>
      </c>
      <c r="L467" s="10" t="s">
        <v>170</v>
      </c>
      <c r="M467" s="10" t="n">
        <v>84</v>
      </c>
      <c r="N467" s="10" t="n">
        <v>240</v>
      </c>
      <c r="O467" s="11" t="s">
        <v>2785</v>
      </c>
      <c r="P467" s="10" t="s">
        <v>3011</v>
      </c>
      <c r="Q467" s="11"/>
      <c r="R467" s="11" t="s">
        <v>2991</v>
      </c>
      <c r="S467" s="11"/>
      <c r="T467" s="11"/>
      <c r="U467" s="10"/>
      <c r="V467" s="11"/>
      <c r="W467" s="10"/>
      <c r="X467" s="11"/>
      <c r="Y467" s="10" t="s">
        <v>2884</v>
      </c>
      <c r="Z467" s="10" t="s">
        <v>2886</v>
      </c>
      <c r="AA467" s="11" t="s">
        <v>4618</v>
      </c>
      <c r="AB467" s="11"/>
      <c r="AC467" s="10" t="s">
        <v>2995</v>
      </c>
    </row>
    <row r="468" customFormat="false" ht="30" hidden="false" customHeight="true" outlineLevel="0" collapsed="false">
      <c r="A468" s="12" t="s">
        <v>4619</v>
      </c>
      <c r="B468" s="12" t="s">
        <v>4620</v>
      </c>
      <c r="C468" s="12" t="s">
        <v>4582</v>
      </c>
      <c r="D468" s="12" t="s">
        <v>2903</v>
      </c>
      <c r="E468" s="12" t="s">
        <v>2449</v>
      </c>
      <c r="F468" s="12" t="s">
        <v>1804</v>
      </c>
      <c r="G468" s="13" t="s">
        <v>3039</v>
      </c>
      <c r="H468" s="12" t="s">
        <v>3018</v>
      </c>
      <c r="I468" s="12" t="s">
        <v>3023</v>
      </c>
      <c r="J468" s="13" t="s">
        <v>1253</v>
      </c>
      <c r="K468" s="13" t="s">
        <v>452</v>
      </c>
      <c r="L468" s="12" t="s">
        <v>170</v>
      </c>
      <c r="M468" s="12" t="n">
        <v>84</v>
      </c>
      <c r="N468" s="12" t="n">
        <v>250</v>
      </c>
      <c r="O468" s="13" t="s">
        <v>2785</v>
      </c>
      <c r="P468" s="12" t="s">
        <v>3011</v>
      </c>
      <c r="Q468" s="13"/>
      <c r="R468" s="13" t="s">
        <v>2991</v>
      </c>
      <c r="S468" s="13"/>
      <c r="T468" s="13"/>
      <c r="U468" s="12"/>
      <c r="V468" s="13"/>
      <c r="W468" s="12"/>
      <c r="X468" s="13"/>
      <c r="Y468" s="12" t="s">
        <v>2884</v>
      </c>
      <c r="Z468" s="12" t="s">
        <v>2886</v>
      </c>
      <c r="AA468" s="13" t="s">
        <v>4621</v>
      </c>
      <c r="AB468" s="13"/>
      <c r="AC468" s="12" t="s">
        <v>3014</v>
      </c>
    </row>
    <row r="469" customFormat="false" ht="30" hidden="false" customHeight="true" outlineLevel="0" collapsed="false">
      <c r="A469" s="10" t="s">
        <v>4622</v>
      </c>
      <c r="B469" s="10" t="s">
        <v>4623</v>
      </c>
      <c r="C469" s="10" t="s">
        <v>4582</v>
      </c>
      <c r="D469" s="10" t="s">
        <v>2903</v>
      </c>
      <c r="E469" s="10" t="s">
        <v>2418</v>
      </c>
      <c r="F469" s="10" t="s">
        <v>2419</v>
      </c>
      <c r="G469" s="11" t="s">
        <v>3017</v>
      </c>
      <c r="H469" s="10" t="s">
        <v>3018</v>
      </c>
      <c r="I469" s="10" t="s">
        <v>3023</v>
      </c>
      <c r="J469" s="11" t="s">
        <v>1240</v>
      </c>
      <c r="K469" s="11" t="s">
        <v>452</v>
      </c>
      <c r="L469" s="10" t="s">
        <v>170</v>
      </c>
      <c r="M469" s="10" t="n">
        <v>68</v>
      </c>
      <c r="N469" s="10" t="n">
        <v>220</v>
      </c>
      <c r="O469" s="11" t="s">
        <v>2785</v>
      </c>
      <c r="P469" s="10" t="s">
        <v>3011</v>
      </c>
      <c r="Q469" s="11" t="s">
        <v>3025</v>
      </c>
      <c r="R469" s="11" t="s">
        <v>2991</v>
      </c>
      <c r="S469" s="11"/>
      <c r="T469" s="11" t="s">
        <v>4558</v>
      </c>
      <c r="U469" s="10"/>
      <c r="V469" s="11"/>
      <c r="W469" s="10"/>
      <c r="X469" s="11"/>
      <c r="Y469" s="10" t="s">
        <v>2888</v>
      </c>
      <c r="Z469" s="10" t="s">
        <v>1509</v>
      </c>
      <c r="AA469" s="11" t="s">
        <v>3548</v>
      </c>
      <c r="AB469" s="11"/>
      <c r="AC469" s="10" t="s">
        <v>3014</v>
      </c>
    </row>
    <row r="470" customFormat="false" ht="30" hidden="false" customHeight="true" outlineLevel="0" collapsed="false">
      <c r="A470" s="12" t="s">
        <v>4624</v>
      </c>
      <c r="B470" s="12" t="s">
        <v>4625</v>
      </c>
      <c r="C470" s="12" t="s">
        <v>4582</v>
      </c>
      <c r="D470" s="12" t="s">
        <v>2984</v>
      </c>
      <c r="E470" s="12" t="s">
        <v>2346</v>
      </c>
      <c r="F470" s="12" t="s">
        <v>2347</v>
      </c>
      <c r="G470" s="13" t="s">
        <v>3062</v>
      </c>
      <c r="H470" s="12" t="s">
        <v>2999</v>
      </c>
      <c r="I470" s="12" t="s">
        <v>2987</v>
      </c>
      <c r="J470" s="13" t="s">
        <v>432</v>
      </c>
      <c r="K470" s="13" t="s">
        <v>429</v>
      </c>
      <c r="L470" s="12" t="s">
        <v>170</v>
      </c>
      <c r="M470" s="12" t="n">
        <v>83</v>
      </c>
      <c r="N470" s="12" t="n">
        <v>200</v>
      </c>
      <c r="O470" s="13" t="s">
        <v>2785</v>
      </c>
      <c r="P470" s="12" t="s">
        <v>3011</v>
      </c>
      <c r="Q470" s="13"/>
      <c r="R470" s="13" t="s">
        <v>2991</v>
      </c>
      <c r="S470" s="13"/>
      <c r="T470" s="13"/>
      <c r="U470" s="12"/>
      <c r="V470" s="13"/>
      <c r="W470" s="12"/>
      <c r="X470" s="13"/>
      <c r="Y470" s="12" t="s">
        <v>2884</v>
      </c>
      <c r="Z470" s="12" t="s">
        <v>2886</v>
      </c>
      <c r="AA470" s="13" t="s">
        <v>4626</v>
      </c>
      <c r="AB470" s="13"/>
      <c r="AC470" s="12" t="s">
        <v>2995</v>
      </c>
    </row>
    <row r="471" customFormat="false" ht="30" hidden="false" customHeight="true" outlineLevel="0" collapsed="false">
      <c r="A471" s="10" t="s">
        <v>4627</v>
      </c>
      <c r="B471" s="10" t="s">
        <v>4628</v>
      </c>
      <c r="C471" s="10" t="s">
        <v>4582</v>
      </c>
      <c r="D471" s="10" t="s">
        <v>2984</v>
      </c>
      <c r="E471" s="10" t="s">
        <v>2218</v>
      </c>
      <c r="F471" s="10" t="s">
        <v>2219</v>
      </c>
      <c r="G471" s="11" t="s">
        <v>3077</v>
      </c>
      <c r="H471" s="10" t="s">
        <v>3018</v>
      </c>
      <c r="I471" s="10" t="s">
        <v>3023</v>
      </c>
      <c r="J471" s="11" t="s">
        <v>1253</v>
      </c>
      <c r="K471" s="11" t="s">
        <v>452</v>
      </c>
      <c r="L471" s="10" t="s">
        <v>170</v>
      </c>
      <c r="M471" s="10" t="n">
        <v>58</v>
      </c>
      <c r="N471" s="10" t="n">
        <v>210</v>
      </c>
      <c r="O471" s="11" t="s">
        <v>2785</v>
      </c>
      <c r="P471" s="10" t="s">
        <v>3011</v>
      </c>
      <c r="Q471" s="11" t="s">
        <v>3035</v>
      </c>
      <c r="R471" s="11" t="s">
        <v>2991</v>
      </c>
      <c r="S471" s="11" t="s">
        <v>3036</v>
      </c>
      <c r="T471" s="11"/>
      <c r="U471" s="10"/>
      <c r="V471" s="11"/>
      <c r="W471" s="10"/>
      <c r="X471" s="11"/>
      <c r="Y471" s="10" t="s">
        <v>2888</v>
      </c>
      <c r="Z471" s="10" t="s">
        <v>1509</v>
      </c>
      <c r="AA471" s="11" t="s">
        <v>4051</v>
      </c>
      <c r="AB471" s="11"/>
      <c r="AC471" s="10" t="s">
        <v>2995</v>
      </c>
    </row>
    <row r="472" customFormat="false" ht="30" hidden="false" customHeight="true" outlineLevel="0" collapsed="false">
      <c r="A472" s="12" t="s">
        <v>4629</v>
      </c>
      <c r="B472" s="12" t="s">
        <v>4630</v>
      </c>
      <c r="C472" s="12" t="s">
        <v>4582</v>
      </c>
      <c r="D472" s="12" t="s">
        <v>2984</v>
      </c>
      <c r="E472" s="12" t="s">
        <v>2216</v>
      </c>
      <c r="F472" s="12" t="s">
        <v>2217</v>
      </c>
      <c r="G472" s="13" t="s">
        <v>3084</v>
      </c>
      <c r="H472" s="12" t="s">
        <v>2986</v>
      </c>
      <c r="I472" s="12" t="s">
        <v>2987</v>
      </c>
      <c r="J472" s="13" t="s">
        <v>1212</v>
      </c>
      <c r="K472" s="13" t="s">
        <v>452</v>
      </c>
      <c r="L472" s="12" t="s">
        <v>191</v>
      </c>
      <c r="M472" s="12" t="n">
        <v>48</v>
      </c>
      <c r="N472" s="12" t="n">
        <v>200</v>
      </c>
      <c r="O472" s="13" t="s">
        <v>3000</v>
      </c>
      <c r="P472" s="12" t="s">
        <v>2989</v>
      </c>
      <c r="Q472" s="13"/>
      <c r="R472" s="13" t="s">
        <v>2991</v>
      </c>
      <c r="S472" s="13"/>
      <c r="T472" s="13"/>
      <c r="U472" s="12"/>
      <c r="V472" s="13"/>
      <c r="W472" s="12"/>
      <c r="X472" s="13"/>
      <c r="Y472" s="12" t="s">
        <v>2888</v>
      </c>
      <c r="Z472" s="12" t="s">
        <v>1509</v>
      </c>
      <c r="AA472" s="13" t="s">
        <v>4631</v>
      </c>
      <c r="AB472" s="13"/>
      <c r="AC472" s="12" t="s">
        <v>2995</v>
      </c>
    </row>
    <row r="473" customFormat="false" ht="30" hidden="false" customHeight="true" outlineLevel="0" collapsed="false">
      <c r="A473" s="10" t="s">
        <v>4632</v>
      </c>
      <c r="B473" s="10" t="s">
        <v>4633</v>
      </c>
      <c r="C473" s="10" t="s">
        <v>4582</v>
      </c>
      <c r="D473" s="10" t="s">
        <v>2984</v>
      </c>
      <c r="E473" s="10" t="s">
        <v>2184</v>
      </c>
      <c r="F473" s="10" t="s">
        <v>2185</v>
      </c>
      <c r="G473" s="11" t="s">
        <v>3022</v>
      </c>
      <c r="H473" s="10" t="s">
        <v>3049</v>
      </c>
      <c r="I473" s="10" t="s">
        <v>3023</v>
      </c>
      <c r="J473" s="11" t="s">
        <v>1259</v>
      </c>
      <c r="K473" s="11" t="s">
        <v>452</v>
      </c>
      <c r="L473" s="10" t="s">
        <v>191</v>
      </c>
      <c r="M473" s="10" t="n">
        <v>47</v>
      </c>
      <c r="N473" s="10" t="n">
        <v>500</v>
      </c>
      <c r="O473" s="11" t="s">
        <v>3024</v>
      </c>
      <c r="P473" s="10" t="s">
        <v>3177</v>
      </c>
      <c r="Q473" s="11" t="s">
        <v>4001</v>
      </c>
      <c r="R473" s="11" t="s">
        <v>3055</v>
      </c>
      <c r="S473" s="11"/>
      <c r="T473" s="11"/>
      <c r="U473" s="10"/>
      <c r="V473" s="11"/>
      <c r="W473" s="10"/>
      <c r="X473" s="11"/>
      <c r="Y473" s="10" t="s">
        <v>2897</v>
      </c>
      <c r="Z473" s="10" t="s">
        <v>2898</v>
      </c>
      <c r="AA473" s="11" t="s">
        <v>4634</v>
      </c>
      <c r="AB473" s="11"/>
      <c r="AC473" s="10" t="s">
        <v>2995</v>
      </c>
    </row>
    <row r="474" customFormat="false" ht="30" hidden="false" customHeight="true" outlineLevel="0" collapsed="false">
      <c r="A474" s="12" t="s">
        <v>4635</v>
      </c>
      <c r="B474" s="12" t="s">
        <v>4636</v>
      </c>
      <c r="C474" s="12" t="s">
        <v>4582</v>
      </c>
      <c r="D474" s="12" t="s">
        <v>2984</v>
      </c>
      <c r="E474" s="12" t="s">
        <v>2254</v>
      </c>
      <c r="F474" s="12" t="s">
        <v>2255</v>
      </c>
      <c r="G474" s="13" t="s">
        <v>3092</v>
      </c>
      <c r="H474" s="12" t="s">
        <v>3018</v>
      </c>
      <c r="I474" s="12" t="s">
        <v>3023</v>
      </c>
      <c r="J474" s="13" t="s">
        <v>1259</v>
      </c>
      <c r="K474" s="13" t="s">
        <v>452</v>
      </c>
      <c r="L474" s="12" t="s">
        <v>170</v>
      </c>
      <c r="M474" s="12" t="n">
        <v>83</v>
      </c>
      <c r="N474" s="12" t="n">
        <v>210</v>
      </c>
      <c r="O474" s="13" t="s">
        <v>2785</v>
      </c>
      <c r="P474" s="12" t="s">
        <v>3011</v>
      </c>
      <c r="Q474" s="13"/>
      <c r="R474" s="13" t="s">
        <v>2991</v>
      </c>
      <c r="S474" s="13"/>
      <c r="T474" s="13"/>
      <c r="U474" s="12"/>
      <c r="V474" s="13"/>
      <c r="W474" s="12"/>
      <c r="X474" s="13"/>
      <c r="Y474" s="12" t="s">
        <v>2884</v>
      </c>
      <c r="Z474" s="12" t="s">
        <v>2886</v>
      </c>
      <c r="AA474" s="13" t="s">
        <v>4637</v>
      </c>
      <c r="AB474" s="13"/>
      <c r="AC474" s="12" t="s">
        <v>2995</v>
      </c>
    </row>
    <row r="475" customFormat="false" ht="30" hidden="false" customHeight="true" outlineLevel="0" collapsed="false">
      <c r="A475" s="10" t="s">
        <v>4638</v>
      </c>
      <c r="B475" s="10" t="s">
        <v>4639</v>
      </c>
      <c r="C475" s="10" t="s">
        <v>4582</v>
      </c>
      <c r="D475" s="10" t="s">
        <v>2984</v>
      </c>
      <c r="E475" s="10" t="s">
        <v>2092</v>
      </c>
      <c r="F475" s="10" t="s">
        <v>2093</v>
      </c>
      <c r="G475" s="11" t="s">
        <v>3058</v>
      </c>
      <c r="H475" s="10" t="s">
        <v>3018</v>
      </c>
      <c r="I475" s="10" t="s">
        <v>3023</v>
      </c>
      <c r="J475" s="11" t="s">
        <v>1240</v>
      </c>
      <c r="K475" s="11" t="s">
        <v>452</v>
      </c>
      <c r="L475" s="10" t="s">
        <v>170</v>
      </c>
      <c r="M475" s="10" t="n">
        <v>84</v>
      </c>
      <c r="N475" s="10" t="n">
        <v>240</v>
      </c>
      <c r="O475" s="11" t="s">
        <v>2785</v>
      </c>
      <c r="P475" s="10" t="s">
        <v>3011</v>
      </c>
      <c r="Q475" s="11" t="s">
        <v>4604</v>
      </c>
      <c r="R475" s="11" t="s">
        <v>2991</v>
      </c>
      <c r="S475" s="11"/>
      <c r="T475" s="11"/>
      <c r="U475" s="10"/>
      <c r="V475" s="11"/>
      <c r="W475" s="10" t="s">
        <v>3491</v>
      </c>
      <c r="X475" s="11"/>
      <c r="Y475" s="10" t="s">
        <v>2884</v>
      </c>
      <c r="Z475" s="10" t="s">
        <v>2886</v>
      </c>
      <c r="AA475" s="11" t="s">
        <v>4466</v>
      </c>
      <c r="AB475" s="11"/>
      <c r="AC475" s="10" t="s">
        <v>2995</v>
      </c>
    </row>
    <row r="476" customFormat="false" ht="30" hidden="false" customHeight="true" outlineLevel="0" collapsed="false">
      <c r="A476" s="12" t="s">
        <v>4640</v>
      </c>
      <c r="B476" s="12" t="s">
        <v>4641</v>
      </c>
      <c r="C476" s="12" t="s">
        <v>4582</v>
      </c>
      <c r="D476" s="12" t="s">
        <v>2903</v>
      </c>
      <c r="E476" s="12" t="s">
        <v>2437</v>
      </c>
      <c r="F476" s="12" t="s">
        <v>2438</v>
      </c>
      <c r="G476" s="13" t="s">
        <v>3080</v>
      </c>
      <c r="H476" s="12" t="s">
        <v>3018</v>
      </c>
      <c r="I476" s="12" t="s">
        <v>3023</v>
      </c>
      <c r="J476" s="13" t="s">
        <v>1244</v>
      </c>
      <c r="K476" s="13" t="s">
        <v>452</v>
      </c>
      <c r="L476" s="12" t="s">
        <v>170</v>
      </c>
      <c r="M476" s="12" t="n">
        <v>66</v>
      </c>
      <c r="N476" s="12" t="n">
        <v>220</v>
      </c>
      <c r="O476" s="13" t="s">
        <v>2785</v>
      </c>
      <c r="P476" s="12" t="s">
        <v>3011</v>
      </c>
      <c r="Q476" s="13" t="s">
        <v>3124</v>
      </c>
      <c r="R476" s="13" t="s">
        <v>2991</v>
      </c>
      <c r="S476" s="13" t="s">
        <v>3002</v>
      </c>
      <c r="T476" s="13"/>
      <c r="U476" s="12"/>
      <c r="V476" s="13"/>
      <c r="W476" s="12"/>
      <c r="X476" s="13"/>
      <c r="Y476" s="12" t="s">
        <v>2888</v>
      </c>
      <c r="Z476" s="12" t="s">
        <v>1509</v>
      </c>
      <c r="AA476" s="13" t="s">
        <v>4642</v>
      </c>
      <c r="AB476" s="13"/>
      <c r="AC476" s="12" t="s">
        <v>3014</v>
      </c>
    </row>
    <row r="477" customFormat="false" ht="30" hidden="false" customHeight="true" outlineLevel="0" collapsed="false">
      <c r="A477" s="10" t="s">
        <v>4643</v>
      </c>
      <c r="B477" s="10" t="s">
        <v>4644</v>
      </c>
      <c r="C477" s="10" t="s">
        <v>4582</v>
      </c>
      <c r="D477" s="10" t="s">
        <v>2984</v>
      </c>
      <c r="E477" s="10" t="s">
        <v>2290</v>
      </c>
      <c r="F477" s="10" t="s">
        <v>2291</v>
      </c>
      <c r="G477" s="11" t="s">
        <v>3088</v>
      </c>
      <c r="H477" s="10" t="s">
        <v>3018</v>
      </c>
      <c r="I477" s="10" t="s">
        <v>3023</v>
      </c>
      <c r="J477" s="11" t="s">
        <v>1249</v>
      </c>
      <c r="K477" s="11" t="s">
        <v>452</v>
      </c>
      <c r="L477" s="10" t="s">
        <v>170</v>
      </c>
      <c r="M477" s="10" t="n">
        <v>83</v>
      </c>
      <c r="N477" s="10" t="n">
        <v>200</v>
      </c>
      <c r="O477" s="11" t="s">
        <v>2785</v>
      </c>
      <c r="P477" s="10" t="s">
        <v>3011</v>
      </c>
      <c r="Q477" s="11"/>
      <c r="R477" s="11" t="s">
        <v>2991</v>
      </c>
      <c r="S477" s="11"/>
      <c r="T477" s="11"/>
      <c r="U477" s="10"/>
      <c r="V477" s="11"/>
      <c r="W477" s="10"/>
      <c r="X477" s="11"/>
      <c r="Y477" s="10" t="s">
        <v>2884</v>
      </c>
      <c r="Z477" s="10" t="s">
        <v>2886</v>
      </c>
      <c r="AA477" s="11" t="s">
        <v>4541</v>
      </c>
      <c r="AB477" s="11"/>
      <c r="AC477" s="10" t="s">
        <v>2995</v>
      </c>
    </row>
    <row r="478" customFormat="false" ht="30" hidden="false" customHeight="true" outlineLevel="0" collapsed="false">
      <c r="A478" s="12" t="s">
        <v>4645</v>
      </c>
      <c r="B478" s="12" t="s">
        <v>4646</v>
      </c>
      <c r="C478" s="12" t="s">
        <v>4582</v>
      </c>
      <c r="D478" s="12" t="s">
        <v>2984</v>
      </c>
      <c r="E478" s="12" t="s">
        <v>2292</v>
      </c>
      <c r="F478" s="12" t="s">
        <v>2293</v>
      </c>
      <c r="G478" s="13" t="s">
        <v>2998</v>
      </c>
      <c r="H478" s="12" t="s">
        <v>2986</v>
      </c>
      <c r="I478" s="12" t="s">
        <v>3023</v>
      </c>
      <c r="J478" s="13" t="s">
        <v>1256</v>
      </c>
      <c r="K478" s="13" t="s">
        <v>452</v>
      </c>
      <c r="L478" s="12" t="s">
        <v>191</v>
      </c>
      <c r="M478" s="12" t="n">
        <v>42</v>
      </c>
      <c r="N478" s="12" t="n">
        <v>210</v>
      </c>
      <c r="O478" s="13" t="s">
        <v>3000</v>
      </c>
      <c r="P478" s="12" t="s">
        <v>2989</v>
      </c>
      <c r="Q478" s="13" t="s">
        <v>4647</v>
      </c>
      <c r="R478" s="13" t="s">
        <v>3055</v>
      </c>
      <c r="S478" s="13" t="s">
        <v>3002</v>
      </c>
      <c r="T478" s="13"/>
      <c r="U478" s="12"/>
      <c r="V478" s="13"/>
      <c r="W478" s="12"/>
      <c r="X478" s="13"/>
      <c r="Y478" s="12" t="s">
        <v>2888</v>
      </c>
      <c r="Z478" s="12" t="s">
        <v>1509</v>
      </c>
      <c r="AA478" s="13" t="s">
        <v>4648</v>
      </c>
      <c r="AB478" s="13"/>
      <c r="AC478" s="12" t="s">
        <v>2995</v>
      </c>
    </row>
    <row r="479" customFormat="false" ht="30" hidden="false" customHeight="true" outlineLevel="0" collapsed="false">
      <c r="A479" s="10" t="s">
        <v>4649</v>
      </c>
      <c r="B479" s="10" t="s">
        <v>4650</v>
      </c>
      <c r="C479" s="10" t="s">
        <v>4582</v>
      </c>
      <c r="D479" s="10" t="s">
        <v>2984</v>
      </c>
      <c r="E479" s="10" t="s">
        <v>2104</v>
      </c>
      <c r="F479" s="10" t="s">
        <v>2105</v>
      </c>
      <c r="G479" s="11" t="s">
        <v>3062</v>
      </c>
      <c r="H479" s="10" t="s">
        <v>3018</v>
      </c>
      <c r="I479" s="10" t="s">
        <v>3023</v>
      </c>
      <c r="J479" s="11" t="s">
        <v>1253</v>
      </c>
      <c r="K479" s="11" t="s">
        <v>452</v>
      </c>
      <c r="L479" s="10" t="s">
        <v>170</v>
      </c>
      <c r="M479" s="10" t="n">
        <v>82</v>
      </c>
      <c r="N479" s="10" t="n">
        <v>210</v>
      </c>
      <c r="O479" s="11" t="s">
        <v>2785</v>
      </c>
      <c r="P479" s="10" t="s">
        <v>3011</v>
      </c>
      <c r="Q479" s="11"/>
      <c r="R479" s="11" t="s">
        <v>2991</v>
      </c>
      <c r="S479" s="11"/>
      <c r="T479" s="11"/>
      <c r="U479" s="10"/>
      <c r="V479" s="11"/>
      <c r="W479" s="10"/>
      <c r="X479" s="11"/>
      <c r="Y479" s="10" t="s">
        <v>2884</v>
      </c>
      <c r="Z479" s="10" t="s">
        <v>2886</v>
      </c>
      <c r="AA479" s="11" t="s">
        <v>4651</v>
      </c>
      <c r="AB479" s="11"/>
      <c r="AC479" s="10" t="s">
        <v>2995</v>
      </c>
    </row>
    <row r="480" customFormat="false" ht="30" hidden="false" customHeight="true" outlineLevel="0" collapsed="false">
      <c r="A480" s="12" t="s">
        <v>4652</v>
      </c>
      <c r="B480" s="12" t="s">
        <v>4653</v>
      </c>
      <c r="C480" s="12" t="s">
        <v>4582</v>
      </c>
      <c r="D480" s="12" t="s">
        <v>2984</v>
      </c>
      <c r="E480" s="12" t="s">
        <v>2080</v>
      </c>
      <c r="F480" s="12" t="s">
        <v>2081</v>
      </c>
      <c r="G480" s="13" t="s">
        <v>2998</v>
      </c>
      <c r="H480" s="12" t="s">
        <v>3018</v>
      </c>
      <c r="I480" s="12" t="s">
        <v>2987</v>
      </c>
      <c r="J480" s="13" t="s">
        <v>1231</v>
      </c>
      <c r="K480" s="13" t="s">
        <v>452</v>
      </c>
      <c r="L480" s="12" t="s">
        <v>191</v>
      </c>
      <c r="M480" s="12" t="n">
        <v>40</v>
      </c>
      <c r="N480" s="12" t="n">
        <v>200</v>
      </c>
      <c r="O480" s="13" t="s">
        <v>3000</v>
      </c>
      <c r="P480" s="12" t="s">
        <v>2989</v>
      </c>
      <c r="Q480" s="13" t="s">
        <v>3343</v>
      </c>
      <c r="R480" s="13" t="s">
        <v>2991</v>
      </c>
      <c r="S480" s="13" t="s">
        <v>3002</v>
      </c>
      <c r="T480" s="13" t="s">
        <v>4503</v>
      </c>
      <c r="U480" s="12"/>
      <c r="V480" s="13"/>
      <c r="W480" s="12"/>
      <c r="X480" s="13"/>
      <c r="Y480" s="12" t="s">
        <v>2888</v>
      </c>
      <c r="Z480" s="12" t="s">
        <v>1509</v>
      </c>
      <c r="AA480" s="13" t="s">
        <v>4223</v>
      </c>
      <c r="AB480" s="13"/>
      <c r="AC480" s="12" t="s">
        <v>2995</v>
      </c>
    </row>
    <row r="481" customFormat="false" ht="30" hidden="false" customHeight="true" outlineLevel="0" collapsed="false">
      <c r="A481" s="10" t="s">
        <v>4654</v>
      </c>
      <c r="B481" s="10" t="s">
        <v>4655</v>
      </c>
      <c r="C481" s="10" t="s">
        <v>4582</v>
      </c>
      <c r="D481" s="10" t="s">
        <v>2903</v>
      </c>
      <c r="E481" s="10" t="s">
        <v>2469</v>
      </c>
      <c r="F481" s="10" t="s">
        <v>2470</v>
      </c>
      <c r="G481" s="11" t="s">
        <v>3007</v>
      </c>
      <c r="H481" s="10" t="s">
        <v>3018</v>
      </c>
      <c r="I481" s="10" t="s">
        <v>3023</v>
      </c>
      <c r="J481" s="11" t="s">
        <v>1259</v>
      </c>
      <c r="K481" s="11" t="s">
        <v>452</v>
      </c>
      <c r="L481" s="10" t="s">
        <v>170</v>
      </c>
      <c r="M481" s="10" t="n">
        <v>84</v>
      </c>
      <c r="N481" s="10" t="n">
        <v>220</v>
      </c>
      <c r="O481" s="11" t="s">
        <v>2785</v>
      </c>
      <c r="P481" s="10" t="s">
        <v>3011</v>
      </c>
      <c r="Q481" s="11"/>
      <c r="R481" s="11" t="s">
        <v>2991</v>
      </c>
      <c r="S481" s="11"/>
      <c r="T481" s="11"/>
      <c r="U481" s="10"/>
      <c r="V481" s="11"/>
      <c r="W481" s="10"/>
      <c r="X481" s="11"/>
      <c r="Y481" s="10" t="s">
        <v>2884</v>
      </c>
      <c r="Z481" s="10" t="s">
        <v>2886</v>
      </c>
      <c r="AA481" s="11" t="s">
        <v>4656</v>
      </c>
      <c r="AB481" s="11"/>
      <c r="AC481" s="10" t="s">
        <v>3014</v>
      </c>
    </row>
    <row r="482" customFormat="false" ht="30" hidden="false" customHeight="true" outlineLevel="0" collapsed="false">
      <c r="A482" s="12" t="s">
        <v>4657</v>
      </c>
      <c r="B482" s="12" t="s">
        <v>4658</v>
      </c>
      <c r="C482" s="12" t="s">
        <v>4582</v>
      </c>
      <c r="D482" s="12" t="s">
        <v>2984</v>
      </c>
      <c r="E482" s="12" t="s">
        <v>2162</v>
      </c>
      <c r="F482" s="12" t="s">
        <v>2163</v>
      </c>
      <c r="G482" s="13" t="s">
        <v>3112</v>
      </c>
      <c r="H482" s="12" t="s">
        <v>2986</v>
      </c>
      <c r="I482" s="12" t="s">
        <v>3023</v>
      </c>
      <c r="J482" s="13" t="s">
        <v>1256</v>
      </c>
      <c r="K482" s="13" t="s">
        <v>433</v>
      </c>
      <c r="L482" s="12" t="s">
        <v>191</v>
      </c>
      <c r="M482" s="12" t="n">
        <v>50</v>
      </c>
      <c r="N482" s="12" t="n">
        <v>480</v>
      </c>
      <c r="O482" s="13" t="s">
        <v>3024</v>
      </c>
      <c r="P482" s="12" t="s">
        <v>2989</v>
      </c>
      <c r="Q482" s="13"/>
      <c r="R482" s="13" t="s">
        <v>2991</v>
      </c>
      <c r="S482" s="13"/>
      <c r="T482" s="13"/>
      <c r="U482" s="12"/>
      <c r="V482" s="13"/>
      <c r="W482" s="12"/>
      <c r="X482" s="13"/>
      <c r="Y482" s="12" t="s">
        <v>2888</v>
      </c>
      <c r="Z482" s="12" t="s">
        <v>1509</v>
      </c>
      <c r="AA482" s="13" t="s">
        <v>4659</v>
      </c>
      <c r="AB482" s="13"/>
      <c r="AC482" s="12" t="s">
        <v>2995</v>
      </c>
    </row>
    <row r="483" customFormat="false" ht="30" hidden="false" customHeight="true" outlineLevel="0" collapsed="false">
      <c r="A483" s="10" t="s">
        <v>4660</v>
      </c>
      <c r="B483" s="10" t="s">
        <v>4658</v>
      </c>
      <c r="C483" s="10" t="s">
        <v>4582</v>
      </c>
      <c r="D483" s="10" t="s">
        <v>2984</v>
      </c>
      <c r="E483" s="10" t="s">
        <v>2178</v>
      </c>
      <c r="F483" s="10" t="s">
        <v>2179</v>
      </c>
      <c r="G483" s="11" t="s">
        <v>3022</v>
      </c>
      <c r="H483" s="10" t="s">
        <v>3018</v>
      </c>
      <c r="I483" s="10" t="s">
        <v>3023</v>
      </c>
      <c r="J483" s="11" t="s">
        <v>1253</v>
      </c>
      <c r="K483" s="11" t="s">
        <v>452</v>
      </c>
      <c r="L483" s="10" t="s">
        <v>191</v>
      </c>
      <c r="M483" s="10" t="n">
        <v>45</v>
      </c>
      <c r="N483" s="10" t="n">
        <v>490</v>
      </c>
      <c r="O483" s="11" t="s">
        <v>3024</v>
      </c>
      <c r="P483" s="10" t="s">
        <v>2989</v>
      </c>
      <c r="Q483" s="11" t="s">
        <v>3285</v>
      </c>
      <c r="R483" s="11" t="s">
        <v>3055</v>
      </c>
      <c r="S483" s="11"/>
      <c r="T483" s="11" t="s">
        <v>3148</v>
      </c>
      <c r="U483" s="10"/>
      <c r="V483" s="11"/>
      <c r="W483" s="10"/>
      <c r="X483" s="11"/>
      <c r="Y483" s="10" t="s">
        <v>2888</v>
      </c>
      <c r="Z483" s="10" t="s">
        <v>1509</v>
      </c>
      <c r="AA483" s="11" t="s">
        <v>4661</v>
      </c>
      <c r="AB483" s="11"/>
      <c r="AC483" s="10" t="s">
        <v>2995</v>
      </c>
    </row>
    <row r="484" customFormat="false" ht="30" hidden="false" customHeight="true" outlineLevel="0" collapsed="false">
      <c r="A484" s="12" t="s">
        <v>4662</v>
      </c>
      <c r="B484" s="12" t="s">
        <v>4663</v>
      </c>
      <c r="C484" s="12" t="s">
        <v>4582</v>
      </c>
      <c r="D484" s="12" t="s">
        <v>2984</v>
      </c>
      <c r="E484" s="12" t="s">
        <v>2058</v>
      </c>
      <c r="F484" s="12" t="s">
        <v>2059</v>
      </c>
      <c r="G484" s="13" t="s">
        <v>3071</v>
      </c>
      <c r="H484" s="12" t="s">
        <v>3018</v>
      </c>
      <c r="I484" s="12" t="s">
        <v>3093</v>
      </c>
      <c r="J484" s="13" t="s">
        <v>1276</v>
      </c>
      <c r="K484" s="13" t="s">
        <v>452</v>
      </c>
      <c r="L484" s="12" t="s">
        <v>170</v>
      </c>
      <c r="M484" s="12" t="n">
        <v>67</v>
      </c>
      <c r="N484" s="12" t="n">
        <v>210</v>
      </c>
      <c r="O484" s="13" t="s">
        <v>2785</v>
      </c>
      <c r="P484" s="12" t="s">
        <v>3011</v>
      </c>
      <c r="Q484" s="13" t="s">
        <v>3124</v>
      </c>
      <c r="R484" s="13" t="s">
        <v>2991</v>
      </c>
      <c r="S484" s="13" t="s">
        <v>3002</v>
      </c>
      <c r="T484" s="13"/>
      <c r="U484" s="12"/>
      <c r="V484" s="13"/>
      <c r="W484" s="12"/>
      <c r="X484" s="13"/>
      <c r="Y484" s="12" t="s">
        <v>2888</v>
      </c>
      <c r="Z484" s="12" t="s">
        <v>1509</v>
      </c>
      <c r="AA484" s="13" t="s">
        <v>4664</v>
      </c>
      <c r="AB484" s="13"/>
      <c r="AC484" s="12" t="s">
        <v>2995</v>
      </c>
    </row>
    <row r="485" customFormat="false" ht="30" hidden="false" customHeight="true" outlineLevel="0" collapsed="false">
      <c r="A485" s="10" t="s">
        <v>4665</v>
      </c>
      <c r="B485" s="10" t="s">
        <v>4666</v>
      </c>
      <c r="C485" s="10" t="s">
        <v>4582</v>
      </c>
      <c r="D485" s="10" t="s">
        <v>2984</v>
      </c>
      <c r="E485" s="10" t="s">
        <v>2258</v>
      </c>
      <c r="F485" s="10" t="s">
        <v>2259</v>
      </c>
      <c r="G485" s="11" t="s">
        <v>3048</v>
      </c>
      <c r="H485" s="10" t="s">
        <v>3018</v>
      </c>
      <c r="I485" s="10" t="s">
        <v>2987</v>
      </c>
      <c r="J485" s="11" t="s">
        <v>1201</v>
      </c>
      <c r="K485" s="11" t="s">
        <v>452</v>
      </c>
      <c r="L485" s="10" t="s">
        <v>170</v>
      </c>
      <c r="M485" s="10" t="n">
        <v>83</v>
      </c>
      <c r="N485" s="10" t="n">
        <v>200</v>
      </c>
      <c r="O485" s="11" t="s">
        <v>2785</v>
      </c>
      <c r="P485" s="10" t="s">
        <v>3011</v>
      </c>
      <c r="Q485" s="11"/>
      <c r="R485" s="11" t="s">
        <v>2991</v>
      </c>
      <c r="S485" s="11"/>
      <c r="T485" s="11"/>
      <c r="U485" s="10"/>
      <c r="V485" s="11"/>
      <c r="W485" s="10"/>
      <c r="X485" s="11"/>
      <c r="Y485" s="10" t="s">
        <v>2884</v>
      </c>
      <c r="Z485" s="10" t="s">
        <v>2886</v>
      </c>
      <c r="AA485" s="11" t="s">
        <v>4579</v>
      </c>
      <c r="AB485" s="11"/>
      <c r="AC485" s="10" t="s">
        <v>2995</v>
      </c>
    </row>
    <row r="486" customFormat="false" ht="30" hidden="false" customHeight="true" outlineLevel="0" collapsed="false">
      <c r="A486" s="12" t="s">
        <v>4667</v>
      </c>
      <c r="B486" s="12" t="s">
        <v>4668</v>
      </c>
      <c r="C486" s="12" t="s">
        <v>4582</v>
      </c>
      <c r="D486" s="12" t="s">
        <v>2984</v>
      </c>
      <c r="E486" s="12" t="s">
        <v>2294</v>
      </c>
      <c r="F486" s="12" t="s">
        <v>2295</v>
      </c>
      <c r="G486" s="13" t="s">
        <v>3034</v>
      </c>
      <c r="H486" s="12" t="s">
        <v>3018</v>
      </c>
      <c r="I486" s="12" t="s">
        <v>3023</v>
      </c>
      <c r="J486" s="13" t="s">
        <v>1240</v>
      </c>
      <c r="K486" s="13" t="s">
        <v>452</v>
      </c>
      <c r="L486" s="12" t="s">
        <v>170</v>
      </c>
      <c r="M486" s="12" t="n">
        <v>60</v>
      </c>
      <c r="N486" s="12" t="n">
        <v>210</v>
      </c>
      <c r="O486" s="13" t="s">
        <v>2785</v>
      </c>
      <c r="P486" s="12" t="s">
        <v>3011</v>
      </c>
      <c r="Q486" s="13" t="s">
        <v>3035</v>
      </c>
      <c r="R486" s="13" t="s">
        <v>2991</v>
      </c>
      <c r="S486" s="13" t="s">
        <v>3036</v>
      </c>
      <c r="T486" s="13"/>
      <c r="U486" s="12"/>
      <c r="V486" s="13"/>
      <c r="W486" s="12"/>
      <c r="X486" s="13"/>
      <c r="Y486" s="12" t="s">
        <v>2888</v>
      </c>
      <c r="Z486" s="12" t="s">
        <v>1509</v>
      </c>
      <c r="AA486" s="13" t="s">
        <v>4669</v>
      </c>
      <c r="AB486" s="13"/>
      <c r="AC486" s="12" t="s">
        <v>2995</v>
      </c>
    </row>
    <row r="487" customFormat="false" ht="30" hidden="false" customHeight="true" outlineLevel="0" collapsed="false">
      <c r="A487" s="10" t="s">
        <v>4670</v>
      </c>
      <c r="B487" s="10" t="s">
        <v>4671</v>
      </c>
      <c r="C487" s="10" t="s">
        <v>4582</v>
      </c>
      <c r="D487" s="10" t="s">
        <v>2984</v>
      </c>
      <c r="E487" s="10" t="s">
        <v>2152</v>
      </c>
      <c r="F487" s="10" t="s">
        <v>2153</v>
      </c>
      <c r="G487" s="11" t="s">
        <v>3029</v>
      </c>
      <c r="H487" s="10" t="s">
        <v>3018</v>
      </c>
      <c r="I487" s="10" t="s">
        <v>2987</v>
      </c>
      <c r="J487" s="11" t="s">
        <v>1207</v>
      </c>
      <c r="K487" s="11" t="s">
        <v>414</v>
      </c>
      <c r="L487" s="10" t="s">
        <v>170</v>
      </c>
      <c r="M487" s="10" t="n">
        <v>83</v>
      </c>
      <c r="N487" s="10" t="n">
        <v>230</v>
      </c>
      <c r="O487" s="11" t="s">
        <v>2785</v>
      </c>
      <c r="P487" s="10" t="s">
        <v>3041</v>
      </c>
      <c r="Q487" s="11" t="s">
        <v>3237</v>
      </c>
      <c r="R487" s="11" t="s">
        <v>2991</v>
      </c>
      <c r="S487" s="11"/>
      <c r="T487" s="11"/>
      <c r="U487" s="10"/>
      <c r="V487" s="11"/>
      <c r="W487" s="10" t="s">
        <v>3044</v>
      </c>
      <c r="X487" s="11"/>
      <c r="Y487" s="10" t="s">
        <v>2824</v>
      </c>
      <c r="Z487" s="10" t="s">
        <v>2892</v>
      </c>
      <c r="AA487" s="11" t="s">
        <v>4396</v>
      </c>
      <c r="AB487" s="11"/>
      <c r="AC487" s="10" t="s">
        <v>2995</v>
      </c>
    </row>
    <row r="488" customFormat="false" ht="30" hidden="false" customHeight="true" outlineLevel="0" collapsed="false">
      <c r="A488" s="12" t="s">
        <v>4672</v>
      </c>
      <c r="B488" s="12" t="s">
        <v>4673</v>
      </c>
      <c r="C488" s="12" t="s">
        <v>4582</v>
      </c>
      <c r="D488" s="12" t="s">
        <v>2903</v>
      </c>
      <c r="E488" s="12" t="s">
        <v>2447</v>
      </c>
      <c r="F488" s="12" t="s">
        <v>2448</v>
      </c>
      <c r="G488" s="13" t="s">
        <v>3039</v>
      </c>
      <c r="H488" s="12" t="s">
        <v>3018</v>
      </c>
      <c r="I488" s="12" t="s">
        <v>3009</v>
      </c>
      <c r="J488" s="13" t="s">
        <v>3465</v>
      </c>
      <c r="K488" s="13" t="s">
        <v>445</v>
      </c>
      <c r="L488" s="12" t="s">
        <v>170</v>
      </c>
      <c r="M488" s="12" t="n">
        <v>85</v>
      </c>
      <c r="N488" s="12" t="n">
        <v>300</v>
      </c>
      <c r="O488" s="13" t="s">
        <v>2785</v>
      </c>
      <c r="P488" s="12" t="s">
        <v>3011</v>
      </c>
      <c r="Q488" s="13" t="s">
        <v>4085</v>
      </c>
      <c r="R488" s="13" t="s">
        <v>2991</v>
      </c>
      <c r="S488" s="13"/>
      <c r="T488" s="13"/>
      <c r="U488" s="12" t="s">
        <v>3466</v>
      </c>
      <c r="V488" s="13"/>
      <c r="W488" s="12"/>
      <c r="X488" s="13"/>
      <c r="Y488" s="12" t="s">
        <v>2884</v>
      </c>
      <c r="Z488" s="12" t="s">
        <v>2886</v>
      </c>
      <c r="AA488" s="13" t="s">
        <v>3640</v>
      </c>
      <c r="AB488" s="13"/>
      <c r="AC488" s="12" t="s">
        <v>3014</v>
      </c>
    </row>
    <row r="489" customFormat="false" ht="30" hidden="false" customHeight="true" outlineLevel="0" collapsed="false">
      <c r="A489" s="10" t="s">
        <v>4674</v>
      </c>
      <c r="B489" s="10" t="s">
        <v>4675</v>
      </c>
      <c r="C489" s="10" t="s">
        <v>4582</v>
      </c>
      <c r="D489" s="10" t="s">
        <v>2984</v>
      </c>
      <c r="E489" s="10" t="s">
        <v>2330</v>
      </c>
      <c r="F489" s="10" t="s">
        <v>2331</v>
      </c>
      <c r="G489" s="11" t="s">
        <v>3092</v>
      </c>
      <c r="H489" s="10" t="s">
        <v>3018</v>
      </c>
      <c r="I489" s="10" t="s">
        <v>3023</v>
      </c>
      <c r="J489" s="11" t="s">
        <v>1240</v>
      </c>
      <c r="K489" s="11" t="s">
        <v>452</v>
      </c>
      <c r="L489" s="10" t="s">
        <v>170</v>
      </c>
      <c r="M489" s="10" t="n">
        <v>72</v>
      </c>
      <c r="N489" s="10" t="n">
        <v>200</v>
      </c>
      <c r="O489" s="11" t="s">
        <v>2785</v>
      </c>
      <c r="P489" s="10" t="s">
        <v>3011</v>
      </c>
      <c r="Q489" s="11" t="s">
        <v>3025</v>
      </c>
      <c r="R489" s="11" t="s">
        <v>2991</v>
      </c>
      <c r="S489" s="11"/>
      <c r="T489" s="11" t="s">
        <v>4676</v>
      </c>
      <c r="U489" s="10"/>
      <c r="V489" s="11"/>
      <c r="W489" s="10"/>
      <c r="X489" s="11"/>
      <c r="Y489" s="10" t="s">
        <v>2888</v>
      </c>
      <c r="Z489" s="10" t="s">
        <v>1509</v>
      </c>
      <c r="AA489" s="11" t="s">
        <v>4368</v>
      </c>
      <c r="AB489" s="11"/>
      <c r="AC489" s="10" t="s">
        <v>2995</v>
      </c>
    </row>
    <row r="490" customFormat="false" ht="30" hidden="false" customHeight="true" outlineLevel="0" collapsed="false">
      <c r="A490" s="12" t="s">
        <v>4677</v>
      </c>
      <c r="B490" s="12" t="s">
        <v>4678</v>
      </c>
      <c r="C490" s="12" t="s">
        <v>4582</v>
      </c>
      <c r="D490" s="12" t="s">
        <v>2984</v>
      </c>
      <c r="E490" s="12" t="s">
        <v>2194</v>
      </c>
      <c r="F490" s="12" t="s">
        <v>2195</v>
      </c>
      <c r="G490" s="13" t="s">
        <v>2998</v>
      </c>
      <c r="H490" s="12" t="s">
        <v>3072</v>
      </c>
      <c r="I490" s="12" t="s">
        <v>3073</v>
      </c>
      <c r="J490" s="13" t="s">
        <v>1291</v>
      </c>
      <c r="K490" s="13" t="s">
        <v>452</v>
      </c>
      <c r="L490" s="12" t="s">
        <v>191</v>
      </c>
      <c r="M490" s="12" t="n">
        <v>41</v>
      </c>
      <c r="N490" s="12" t="n">
        <v>210</v>
      </c>
      <c r="O490" s="13" t="s">
        <v>3000</v>
      </c>
      <c r="P490" s="12" t="s">
        <v>2989</v>
      </c>
      <c r="Q490" s="13" t="s">
        <v>3343</v>
      </c>
      <c r="R490" s="13" t="s">
        <v>2991</v>
      </c>
      <c r="S490" s="13" t="s">
        <v>3002</v>
      </c>
      <c r="T490" s="13" t="s">
        <v>4679</v>
      </c>
      <c r="U490" s="12"/>
      <c r="V490" s="13"/>
      <c r="W490" s="12"/>
      <c r="X490" s="13"/>
      <c r="Y490" s="12" t="s">
        <v>2888</v>
      </c>
      <c r="Z490" s="12" t="s">
        <v>1509</v>
      </c>
      <c r="AA490" s="13" t="s">
        <v>4680</v>
      </c>
      <c r="AB490" s="13"/>
      <c r="AC490" s="12" t="s">
        <v>2995</v>
      </c>
    </row>
    <row r="491" customFormat="false" ht="30" hidden="false" customHeight="true" outlineLevel="0" collapsed="false">
      <c r="A491" s="10" t="s">
        <v>4681</v>
      </c>
      <c r="B491" s="10" t="s">
        <v>4682</v>
      </c>
      <c r="C491" s="10" t="s">
        <v>4582</v>
      </c>
      <c r="D491" s="10" t="s">
        <v>2984</v>
      </c>
      <c r="E491" s="10" t="s">
        <v>2212</v>
      </c>
      <c r="F491" s="10" t="s">
        <v>2213</v>
      </c>
      <c r="G491" s="11" t="s">
        <v>3084</v>
      </c>
      <c r="H491" s="10" t="s">
        <v>3049</v>
      </c>
      <c r="I491" s="10" t="s">
        <v>2987</v>
      </c>
      <c r="J491" s="11" t="s">
        <v>1168</v>
      </c>
      <c r="K491" s="11" t="s">
        <v>452</v>
      </c>
      <c r="L491" s="10" t="s">
        <v>191</v>
      </c>
      <c r="M491" s="10" t="n">
        <v>45</v>
      </c>
      <c r="N491" s="10" t="n">
        <v>200</v>
      </c>
      <c r="O491" s="11" t="s">
        <v>3000</v>
      </c>
      <c r="P491" s="10" t="s">
        <v>2989</v>
      </c>
      <c r="Q491" s="11" t="s">
        <v>3124</v>
      </c>
      <c r="R491" s="11" t="s">
        <v>2991</v>
      </c>
      <c r="S491" s="11" t="s">
        <v>3002</v>
      </c>
      <c r="T491" s="11"/>
      <c r="U491" s="10"/>
      <c r="V491" s="11"/>
      <c r="W491" s="10"/>
      <c r="X491" s="11"/>
      <c r="Y491" s="10" t="s">
        <v>2888</v>
      </c>
      <c r="Z491" s="10" t="s">
        <v>1509</v>
      </c>
      <c r="AA491" s="11" t="s">
        <v>3995</v>
      </c>
      <c r="AB491" s="11"/>
      <c r="AC491" s="10" t="s">
        <v>2995</v>
      </c>
    </row>
    <row r="492" customFormat="false" ht="30" hidden="false" customHeight="true" outlineLevel="0" collapsed="false">
      <c r="A492" s="12" t="s">
        <v>4683</v>
      </c>
      <c r="B492" s="12" t="s">
        <v>4684</v>
      </c>
      <c r="C492" s="12" t="s">
        <v>4582</v>
      </c>
      <c r="D492" s="12" t="s">
        <v>2903</v>
      </c>
      <c r="E492" s="12" t="s">
        <v>2534</v>
      </c>
      <c r="F492" s="12" t="s">
        <v>2535</v>
      </c>
      <c r="G492" s="13" t="s">
        <v>3088</v>
      </c>
      <c r="H492" s="12" t="s">
        <v>2999</v>
      </c>
      <c r="I492" s="12" t="s">
        <v>2987</v>
      </c>
      <c r="J492" s="13" t="s">
        <v>1094</v>
      </c>
      <c r="K492" s="13" t="s">
        <v>455</v>
      </c>
      <c r="L492" s="12" t="s">
        <v>170</v>
      </c>
      <c r="M492" s="12" t="n">
        <v>67</v>
      </c>
      <c r="N492" s="12" t="n">
        <v>230</v>
      </c>
      <c r="O492" s="13" t="s">
        <v>2785</v>
      </c>
      <c r="P492" s="12" t="s">
        <v>3011</v>
      </c>
      <c r="Q492" s="13" t="s">
        <v>3124</v>
      </c>
      <c r="R492" s="13" t="s">
        <v>2991</v>
      </c>
      <c r="S492" s="13" t="s">
        <v>3002</v>
      </c>
      <c r="T492" s="13"/>
      <c r="U492" s="12"/>
      <c r="V492" s="13"/>
      <c r="W492" s="12"/>
      <c r="X492" s="13"/>
      <c r="Y492" s="12" t="s">
        <v>2888</v>
      </c>
      <c r="Z492" s="12" t="s">
        <v>1509</v>
      </c>
      <c r="AA492" s="13" t="s">
        <v>4685</v>
      </c>
      <c r="AB492" s="13"/>
      <c r="AC492" s="12" t="s">
        <v>2995</v>
      </c>
    </row>
    <row r="493" customFormat="false" ht="30" hidden="false" customHeight="true" outlineLevel="0" collapsed="false">
      <c r="A493" s="10" t="s">
        <v>4686</v>
      </c>
      <c r="B493" s="10" t="s">
        <v>4687</v>
      </c>
      <c r="C493" s="10" t="s">
        <v>4582</v>
      </c>
      <c r="D493" s="10" t="s">
        <v>2984</v>
      </c>
      <c r="E493" s="10" t="s">
        <v>2266</v>
      </c>
      <c r="F493" s="10" t="s">
        <v>2267</v>
      </c>
      <c r="G493" s="11" t="s">
        <v>3034</v>
      </c>
      <c r="H493" s="10" t="s">
        <v>3018</v>
      </c>
      <c r="I493" s="10" t="s">
        <v>2987</v>
      </c>
      <c r="J493" s="11" t="s">
        <v>1216</v>
      </c>
      <c r="K493" s="11" t="s">
        <v>452</v>
      </c>
      <c r="L493" s="10" t="s">
        <v>170</v>
      </c>
      <c r="M493" s="10" t="n">
        <v>70</v>
      </c>
      <c r="N493" s="10" t="n">
        <v>200</v>
      </c>
      <c r="O493" s="11" t="s">
        <v>2785</v>
      </c>
      <c r="P493" s="10" t="s">
        <v>3011</v>
      </c>
      <c r="Q493" s="11" t="s">
        <v>3025</v>
      </c>
      <c r="R493" s="11" t="s">
        <v>2991</v>
      </c>
      <c r="S493" s="11"/>
      <c r="T493" s="11" t="s">
        <v>4688</v>
      </c>
      <c r="U493" s="10"/>
      <c r="V493" s="11"/>
      <c r="W493" s="10"/>
      <c r="X493" s="11"/>
      <c r="Y493" s="10" t="s">
        <v>2888</v>
      </c>
      <c r="Z493" s="10" t="s">
        <v>1509</v>
      </c>
      <c r="AA493" s="11" t="s">
        <v>4689</v>
      </c>
      <c r="AB493" s="11"/>
      <c r="AC493" s="10" t="s">
        <v>2995</v>
      </c>
    </row>
    <row r="494" customFormat="false" ht="30" hidden="false" customHeight="true" outlineLevel="0" collapsed="false">
      <c r="A494" s="12" t="s">
        <v>4690</v>
      </c>
      <c r="B494" s="12" t="s">
        <v>4691</v>
      </c>
      <c r="C494" s="12" t="s">
        <v>4582</v>
      </c>
      <c r="D494" s="12" t="s">
        <v>2984</v>
      </c>
      <c r="E494" s="12" t="s">
        <v>2186</v>
      </c>
      <c r="F494" s="12" t="s">
        <v>2187</v>
      </c>
      <c r="G494" s="13" t="s">
        <v>3048</v>
      </c>
      <c r="H494" s="12" t="s">
        <v>3018</v>
      </c>
      <c r="I494" s="12" t="s">
        <v>3023</v>
      </c>
      <c r="J494" s="13" t="s">
        <v>1253</v>
      </c>
      <c r="K494" s="13" t="s">
        <v>452</v>
      </c>
      <c r="L494" s="12" t="s">
        <v>170</v>
      </c>
      <c r="M494" s="12" t="n">
        <v>61</v>
      </c>
      <c r="N494" s="12" t="n">
        <v>210</v>
      </c>
      <c r="O494" s="13" t="s">
        <v>2785</v>
      </c>
      <c r="P494" s="12" t="s">
        <v>3011</v>
      </c>
      <c r="Q494" s="13" t="s">
        <v>3035</v>
      </c>
      <c r="R494" s="13" t="s">
        <v>2991</v>
      </c>
      <c r="S494" s="13" t="s">
        <v>3036</v>
      </c>
      <c r="T494" s="13"/>
      <c r="U494" s="12"/>
      <c r="V494" s="13"/>
      <c r="W494" s="12"/>
      <c r="X494" s="13"/>
      <c r="Y494" s="12" t="s">
        <v>2888</v>
      </c>
      <c r="Z494" s="12" t="s">
        <v>1509</v>
      </c>
      <c r="AA494" s="13" t="s">
        <v>4692</v>
      </c>
      <c r="AB494" s="13"/>
      <c r="AC494" s="12" t="s">
        <v>2995</v>
      </c>
    </row>
    <row r="495" customFormat="false" ht="30" hidden="false" customHeight="true" outlineLevel="0" collapsed="false">
      <c r="A495" s="10" t="s">
        <v>4693</v>
      </c>
      <c r="B495" s="10" t="s">
        <v>4694</v>
      </c>
      <c r="C495" s="10" t="s">
        <v>4582</v>
      </c>
      <c r="D495" s="10" t="s">
        <v>2984</v>
      </c>
      <c r="E495" s="10" t="s">
        <v>2318</v>
      </c>
      <c r="F495" s="10" t="s">
        <v>2319</v>
      </c>
      <c r="G495" s="11" t="s">
        <v>3062</v>
      </c>
      <c r="H495" s="10" t="s">
        <v>3018</v>
      </c>
      <c r="I495" s="10" t="s">
        <v>2987</v>
      </c>
      <c r="J495" s="11" t="s">
        <v>1212</v>
      </c>
      <c r="K495" s="11" t="s">
        <v>452</v>
      </c>
      <c r="L495" s="10" t="s">
        <v>170</v>
      </c>
      <c r="M495" s="10" t="n">
        <v>83</v>
      </c>
      <c r="N495" s="10" t="n">
        <v>200</v>
      </c>
      <c r="O495" s="11" t="s">
        <v>2785</v>
      </c>
      <c r="P495" s="10" t="s">
        <v>3011</v>
      </c>
      <c r="Q495" s="11"/>
      <c r="R495" s="11" t="s">
        <v>2991</v>
      </c>
      <c r="S495" s="11"/>
      <c r="T495" s="11"/>
      <c r="U495" s="10"/>
      <c r="V495" s="11"/>
      <c r="W495" s="10"/>
      <c r="X495" s="11"/>
      <c r="Y495" s="10" t="s">
        <v>2884</v>
      </c>
      <c r="Z495" s="10" t="s">
        <v>2886</v>
      </c>
      <c r="AA495" s="11" t="s">
        <v>4695</v>
      </c>
      <c r="AB495" s="11"/>
      <c r="AC495" s="10" t="s">
        <v>2995</v>
      </c>
    </row>
    <row r="496" customFormat="false" ht="30" hidden="false" customHeight="true" outlineLevel="0" collapsed="false">
      <c r="A496" s="12" t="s">
        <v>4696</v>
      </c>
      <c r="B496" s="12" t="s">
        <v>4697</v>
      </c>
      <c r="C496" s="12" t="s">
        <v>4582</v>
      </c>
      <c r="D496" s="12" t="s">
        <v>2984</v>
      </c>
      <c r="E496" s="12" t="s">
        <v>2254</v>
      </c>
      <c r="F496" s="12" t="s">
        <v>2255</v>
      </c>
      <c r="G496" s="13" t="s">
        <v>3071</v>
      </c>
      <c r="H496" s="12" t="s">
        <v>3018</v>
      </c>
      <c r="I496" s="12" t="s">
        <v>2987</v>
      </c>
      <c r="J496" s="13" t="s">
        <v>1201</v>
      </c>
      <c r="K496" s="13" t="s">
        <v>452</v>
      </c>
      <c r="L496" s="12" t="s">
        <v>170</v>
      </c>
      <c r="M496" s="12" t="n">
        <v>83</v>
      </c>
      <c r="N496" s="12" t="n">
        <v>200</v>
      </c>
      <c r="O496" s="13" t="s">
        <v>2785</v>
      </c>
      <c r="P496" s="12" t="s">
        <v>3011</v>
      </c>
      <c r="Q496" s="13"/>
      <c r="R496" s="13" t="s">
        <v>2991</v>
      </c>
      <c r="S496" s="13"/>
      <c r="T496" s="13"/>
      <c r="U496" s="12"/>
      <c r="V496" s="13"/>
      <c r="W496" s="12"/>
      <c r="X496" s="13"/>
      <c r="Y496" s="12" t="s">
        <v>2884</v>
      </c>
      <c r="Z496" s="12" t="s">
        <v>2886</v>
      </c>
      <c r="AA496" s="13" t="s">
        <v>4698</v>
      </c>
      <c r="AB496" s="13"/>
      <c r="AC496" s="12" t="s">
        <v>2995</v>
      </c>
    </row>
    <row r="497" customFormat="false" ht="30" hidden="false" customHeight="true" outlineLevel="0" collapsed="false">
      <c r="A497" s="10" t="s">
        <v>4699</v>
      </c>
      <c r="B497" s="10" t="s">
        <v>4700</v>
      </c>
      <c r="C497" s="10" t="s">
        <v>4582</v>
      </c>
      <c r="D497" s="10" t="s">
        <v>2984</v>
      </c>
      <c r="E497" s="10" t="s">
        <v>2160</v>
      </c>
      <c r="F497" s="10" t="s">
        <v>2161</v>
      </c>
      <c r="G497" s="11" t="s">
        <v>3058</v>
      </c>
      <c r="H497" s="10" t="s">
        <v>3018</v>
      </c>
      <c r="I497" s="10" t="s">
        <v>2987</v>
      </c>
      <c r="J497" s="11" t="s">
        <v>1231</v>
      </c>
      <c r="K497" s="11" t="s">
        <v>414</v>
      </c>
      <c r="L497" s="10" t="s">
        <v>170</v>
      </c>
      <c r="M497" s="10" t="n">
        <v>83</v>
      </c>
      <c r="N497" s="10" t="n">
        <v>230</v>
      </c>
      <c r="O497" s="11" t="s">
        <v>2785</v>
      </c>
      <c r="P497" s="10" t="s">
        <v>3041</v>
      </c>
      <c r="Q497" s="11" t="s">
        <v>3237</v>
      </c>
      <c r="R497" s="11" t="s">
        <v>2991</v>
      </c>
      <c r="S497" s="11"/>
      <c r="T497" s="11"/>
      <c r="U497" s="10"/>
      <c r="V497" s="11"/>
      <c r="W497" s="10" t="s">
        <v>3239</v>
      </c>
      <c r="X497" s="11"/>
      <c r="Y497" s="10" t="s">
        <v>2824</v>
      </c>
      <c r="Z497" s="10" t="s">
        <v>2892</v>
      </c>
      <c r="AA497" s="11" t="s">
        <v>4163</v>
      </c>
      <c r="AB497" s="11"/>
      <c r="AC497" s="10" t="s">
        <v>2995</v>
      </c>
    </row>
    <row r="498" customFormat="false" ht="30" hidden="false" customHeight="true" outlineLevel="0" collapsed="false">
      <c r="A498" s="12" t="s">
        <v>4701</v>
      </c>
      <c r="B498" s="12" t="s">
        <v>4702</v>
      </c>
      <c r="C498" s="12" t="s">
        <v>4582</v>
      </c>
      <c r="D498" s="12" t="s">
        <v>2903</v>
      </c>
      <c r="E498" s="12" t="s">
        <v>2481</v>
      </c>
      <c r="F498" s="12" t="s">
        <v>2482</v>
      </c>
      <c r="G498" s="13" t="s">
        <v>3007</v>
      </c>
      <c r="H498" s="12" t="s">
        <v>3008</v>
      </c>
      <c r="I498" s="12" t="s">
        <v>2987</v>
      </c>
      <c r="J498" s="13" t="s">
        <v>911</v>
      </c>
      <c r="K498" s="13" t="s">
        <v>438</v>
      </c>
      <c r="L498" s="12" t="s">
        <v>170</v>
      </c>
      <c r="M498" s="12" t="n">
        <v>84</v>
      </c>
      <c r="N498" s="12" t="n">
        <v>230</v>
      </c>
      <c r="O498" s="13" t="s">
        <v>2785</v>
      </c>
      <c r="P498" s="12" t="s">
        <v>3011</v>
      </c>
      <c r="Q498" s="13"/>
      <c r="R498" s="13" t="s">
        <v>2991</v>
      </c>
      <c r="S498" s="13"/>
      <c r="T498" s="13"/>
      <c r="U498" s="12"/>
      <c r="V498" s="13"/>
      <c r="W498" s="12"/>
      <c r="X498" s="13"/>
      <c r="Y498" s="12" t="s">
        <v>2884</v>
      </c>
      <c r="Z498" s="12" t="s">
        <v>2886</v>
      </c>
      <c r="AA498" s="13" t="s">
        <v>4703</v>
      </c>
      <c r="AB498" s="13"/>
      <c r="AC498" s="12" t="s">
        <v>3014</v>
      </c>
    </row>
    <row r="499" customFormat="false" ht="30" hidden="false" customHeight="true" outlineLevel="0" collapsed="false">
      <c r="A499" s="10" t="s">
        <v>4704</v>
      </c>
      <c r="B499" s="10" t="s">
        <v>4705</v>
      </c>
      <c r="C499" s="10" t="s">
        <v>4582</v>
      </c>
      <c r="D499" s="10" t="s">
        <v>2903</v>
      </c>
      <c r="E499" s="10" t="s">
        <v>2429</v>
      </c>
      <c r="F499" s="10" t="s">
        <v>2430</v>
      </c>
      <c r="G499" s="11" t="s">
        <v>3017</v>
      </c>
      <c r="H499" s="10" t="s">
        <v>2999</v>
      </c>
      <c r="I499" s="10" t="s">
        <v>2987</v>
      </c>
      <c r="J499" s="11" t="s">
        <v>990</v>
      </c>
      <c r="K499" s="11" t="s">
        <v>441</v>
      </c>
      <c r="L499" s="10" t="s">
        <v>191</v>
      </c>
      <c r="M499" s="10" t="n">
        <v>47</v>
      </c>
      <c r="N499" s="10" t="n">
        <v>210</v>
      </c>
      <c r="O499" s="11" t="s">
        <v>3000</v>
      </c>
      <c r="P499" s="10" t="s">
        <v>2989</v>
      </c>
      <c r="Q499" s="11"/>
      <c r="R499" s="11" t="s">
        <v>2991</v>
      </c>
      <c r="S499" s="11"/>
      <c r="T499" s="11"/>
      <c r="U499" s="10"/>
      <c r="V499" s="11"/>
      <c r="W499" s="10"/>
      <c r="X499" s="11"/>
      <c r="Y499" s="10" t="s">
        <v>2888</v>
      </c>
      <c r="Z499" s="10" t="s">
        <v>1509</v>
      </c>
      <c r="AA499" s="11" t="s">
        <v>4706</v>
      </c>
      <c r="AB499" s="11"/>
      <c r="AC499" s="10" t="s">
        <v>3655</v>
      </c>
    </row>
    <row r="500" customFormat="false" ht="30" hidden="false" customHeight="true" outlineLevel="0" collapsed="false">
      <c r="A500" s="12" t="s">
        <v>4707</v>
      </c>
      <c r="B500" s="12" t="s">
        <v>4708</v>
      </c>
      <c r="C500" s="12" t="s">
        <v>4582</v>
      </c>
      <c r="D500" s="12" t="s">
        <v>2984</v>
      </c>
      <c r="E500" s="12" t="s">
        <v>2128</v>
      </c>
      <c r="F500" s="12" t="s">
        <v>2129</v>
      </c>
      <c r="G500" s="13" t="s">
        <v>3092</v>
      </c>
      <c r="H500" s="12" t="s">
        <v>3018</v>
      </c>
      <c r="I500" s="12" t="s">
        <v>2987</v>
      </c>
      <c r="J500" s="13" t="s">
        <v>1212</v>
      </c>
      <c r="K500" s="13" t="s">
        <v>452</v>
      </c>
      <c r="L500" s="12" t="s">
        <v>170</v>
      </c>
      <c r="M500" s="12" t="n">
        <v>83</v>
      </c>
      <c r="N500" s="12" t="n">
        <v>200</v>
      </c>
      <c r="O500" s="13" t="s">
        <v>2785</v>
      </c>
      <c r="P500" s="12" t="s">
        <v>3011</v>
      </c>
      <c r="Q500" s="13"/>
      <c r="R500" s="13" t="s">
        <v>2991</v>
      </c>
      <c r="S500" s="13"/>
      <c r="T500" s="13"/>
      <c r="U500" s="12"/>
      <c r="V500" s="13"/>
      <c r="W500" s="12"/>
      <c r="X500" s="13"/>
      <c r="Y500" s="12" t="s">
        <v>2884</v>
      </c>
      <c r="Z500" s="12" t="s">
        <v>2886</v>
      </c>
      <c r="AA500" s="13" t="s">
        <v>4709</v>
      </c>
      <c r="AB500" s="13"/>
      <c r="AC500" s="12" t="s">
        <v>2995</v>
      </c>
    </row>
    <row r="501" customFormat="false" ht="30" hidden="false" customHeight="true" outlineLevel="0" collapsed="false">
      <c r="A501" s="10" t="s">
        <v>4710</v>
      </c>
      <c r="B501" s="10" t="s">
        <v>4711</v>
      </c>
      <c r="C501" s="10" t="s">
        <v>4582</v>
      </c>
      <c r="D501" s="10" t="s">
        <v>2984</v>
      </c>
      <c r="E501" s="10" t="s">
        <v>2228</v>
      </c>
      <c r="F501" s="10" t="s">
        <v>2229</v>
      </c>
      <c r="G501" s="11" t="s">
        <v>3080</v>
      </c>
      <c r="H501" s="10" t="s">
        <v>3018</v>
      </c>
      <c r="I501" s="10" t="s">
        <v>3093</v>
      </c>
      <c r="J501" s="11" t="s">
        <v>1280</v>
      </c>
      <c r="K501" s="11" t="s">
        <v>452</v>
      </c>
      <c r="L501" s="10" t="s">
        <v>170</v>
      </c>
      <c r="M501" s="10" t="n">
        <v>83</v>
      </c>
      <c r="N501" s="10" t="n">
        <v>220</v>
      </c>
      <c r="O501" s="11" t="s">
        <v>2785</v>
      </c>
      <c r="P501" s="10" t="s">
        <v>3011</v>
      </c>
      <c r="Q501" s="11"/>
      <c r="R501" s="11" t="s">
        <v>2991</v>
      </c>
      <c r="S501" s="11"/>
      <c r="T501" s="11"/>
      <c r="U501" s="10"/>
      <c r="V501" s="11"/>
      <c r="W501" s="10"/>
      <c r="X501" s="11"/>
      <c r="Y501" s="10" t="s">
        <v>2884</v>
      </c>
      <c r="Z501" s="10" t="s">
        <v>2886</v>
      </c>
      <c r="AA501" s="11" t="s">
        <v>4712</v>
      </c>
      <c r="AB501" s="11"/>
      <c r="AC501" s="10" t="s">
        <v>2995</v>
      </c>
    </row>
    <row r="502" customFormat="false" ht="30" hidden="false" customHeight="true" outlineLevel="0" collapsed="false">
      <c r="A502" s="12" t="s">
        <v>4713</v>
      </c>
      <c r="B502" s="12" t="s">
        <v>4714</v>
      </c>
      <c r="C502" s="12" t="s">
        <v>4582</v>
      </c>
      <c r="D502" s="12" t="s">
        <v>2903</v>
      </c>
      <c r="E502" s="12" t="s">
        <v>2487</v>
      </c>
      <c r="F502" s="12" t="s">
        <v>2488</v>
      </c>
      <c r="G502" s="13" t="s">
        <v>2985</v>
      </c>
      <c r="H502" s="12" t="s">
        <v>3072</v>
      </c>
      <c r="I502" s="12" t="s">
        <v>3009</v>
      </c>
      <c r="J502" s="13" t="s">
        <v>4084</v>
      </c>
      <c r="K502" s="13" t="s">
        <v>445</v>
      </c>
      <c r="L502" s="12" t="s">
        <v>170</v>
      </c>
      <c r="M502" s="12" t="n">
        <v>86</v>
      </c>
      <c r="N502" s="12" t="n">
        <v>300</v>
      </c>
      <c r="O502" s="13" t="s">
        <v>2785</v>
      </c>
      <c r="P502" s="12" t="s">
        <v>3011</v>
      </c>
      <c r="Q502" s="13" t="s">
        <v>4085</v>
      </c>
      <c r="R502" s="13" t="s">
        <v>2991</v>
      </c>
      <c r="S502" s="13"/>
      <c r="T502" s="13"/>
      <c r="U502" s="12" t="s">
        <v>3466</v>
      </c>
      <c r="V502" s="13"/>
      <c r="W502" s="12"/>
      <c r="X502" s="13"/>
      <c r="Y502" s="12" t="s">
        <v>2884</v>
      </c>
      <c r="Z502" s="12" t="s">
        <v>2886</v>
      </c>
      <c r="AA502" s="13" t="s">
        <v>4237</v>
      </c>
      <c r="AB502" s="13"/>
      <c r="AC502" s="12" t="s">
        <v>3014</v>
      </c>
    </row>
    <row r="503" customFormat="false" ht="30" hidden="false" customHeight="true" outlineLevel="0" collapsed="false">
      <c r="A503" s="10" t="s">
        <v>4715</v>
      </c>
      <c r="B503" s="10" t="s">
        <v>4716</v>
      </c>
      <c r="C503" s="10" t="s">
        <v>4582</v>
      </c>
      <c r="D503" s="10" t="s">
        <v>2984</v>
      </c>
      <c r="E503" s="10" t="s">
        <v>2260</v>
      </c>
      <c r="F503" s="10" t="s">
        <v>2261</v>
      </c>
      <c r="G503" s="11" t="s">
        <v>3088</v>
      </c>
      <c r="H503" s="10" t="s">
        <v>3018</v>
      </c>
      <c r="I503" s="10" t="s">
        <v>3093</v>
      </c>
      <c r="J503" s="11" t="s">
        <v>1287</v>
      </c>
      <c r="K503" s="11" t="s">
        <v>452</v>
      </c>
      <c r="L503" s="10" t="s">
        <v>170</v>
      </c>
      <c r="M503" s="10" t="n">
        <v>83</v>
      </c>
      <c r="N503" s="10" t="n">
        <v>200</v>
      </c>
      <c r="O503" s="11" t="s">
        <v>2785</v>
      </c>
      <c r="P503" s="10" t="s">
        <v>3011</v>
      </c>
      <c r="Q503" s="11"/>
      <c r="R503" s="11" t="s">
        <v>2991</v>
      </c>
      <c r="S503" s="11"/>
      <c r="T503" s="11"/>
      <c r="U503" s="10"/>
      <c r="V503" s="11"/>
      <c r="W503" s="10"/>
      <c r="X503" s="11"/>
      <c r="Y503" s="10" t="s">
        <v>2884</v>
      </c>
      <c r="Z503" s="10" t="s">
        <v>2886</v>
      </c>
      <c r="AA503" s="11" t="s">
        <v>4717</v>
      </c>
      <c r="AB503" s="11"/>
      <c r="AC503" s="10" t="s">
        <v>2995</v>
      </c>
    </row>
    <row r="504" customFormat="false" ht="30" hidden="false" customHeight="true" outlineLevel="0" collapsed="false">
      <c r="A504" s="12" t="s">
        <v>4718</v>
      </c>
      <c r="B504" s="12" t="s">
        <v>4719</v>
      </c>
      <c r="C504" s="12" t="s">
        <v>4582</v>
      </c>
      <c r="D504" s="12" t="s">
        <v>2984</v>
      </c>
      <c r="E504" s="12" t="s">
        <v>2272</v>
      </c>
      <c r="F504" s="12" t="s">
        <v>2273</v>
      </c>
      <c r="G504" s="13" t="s">
        <v>3017</v>
      </c>
      <c r="H504" s="12" t="s">
        <v>3072</v>
      </c>
      <c r="I504" s="12" t="s">
        <v>3073</v>
      </c>
      <c r="J504" s="13" t="s">
        <v>1303</v>
      </c>
      <c r="K504" s="13" t="s">
        <v>452</v>
      </c>
      <c r="L504" s="12" t="s">
        <v>170</v>
      </c>
      <c r="M504" s="12" t="n">
        <v>69</v>
      </c>
      <c r="N504" s="12" t="n">
        <v>210</v>
      </c>
      <c r="O504" s="13" t="s">
        <v>2785</v>
      </c>
      <c r="P504" s="12" t="s">
        <v>3011</v>
      </c>
      <c r="Q504" s="13" t="s">
        <v>3025</v>
      </c>
      <c r="R504" s="13" t="s">
        <v>2991</v>
      </c>
      <c r="S504" s="13"/>
      <c r="T504" s="13" t="s">
        <v>4720</v>
      </c>
      <c r="U504" s="12"/>
      <c r="V504" s="13"/>
      <c r="W504" s="12"/>
      <c r="X504" s="13"/>
      <c r="Y504" s="12" t="s">
        <v>2888</v>
      </c>
      <c r="Z504" s="12" t="s">
        <v>1509</v>
      </c>
      <c r="AA504" s="13" t="s">
        <v>4721</v>
      </c>
      <c r="AB504" s="13"/>
      <c r="AC504" s="12" t="s">
        <v>2995</v>
      </c>
    </row>
    <row r="505" customFormat="false" ht="30" hidden="false" customHeight="true" outlineLevel="0" collapsed="false">
      <c r="A505" s="10" t="s">
        <v>4722</v>
      </c>
      <c r="B505" s="10" t="s">
        <v>4723</v>
      </c>
      <c r="C505" s="10" t="s">
        <v>4582</v>
      </c>
      <c r="D505" s="10" t="s">
        <v>2984</v>
      </c>
      <c r="E505" s="10" t="s">
        <v>2018</v>
      </c>
      <c r="F505" s="10" t="s">
        <v>2019</v>
      </c>
      <c r="G505" s="11" t="s">
        <v>3029</v>
      </c>
      <c r="H505" s="10" t="s">
        <v>2986</v>
      </c>
      <c r="I505" s="10" t="s">
        <v>2987</v>
      </c>
      <c r="J505" s="11" t="s">
        <v>1226</v>
      </c>
      <c r="K505" s="11" t="s">
        <v>452</v>
      </c>
      <c r="L505" s="10" t="s">
        <v>170</v>
      </c>
      <c r="M505" s="10" t="n">
        <v>86</v>
      </c>
      <c r="N505" s="10" t="n">
        <v>270</v>
      </c>
      <c r="O505" s="11" t="s">
        <v>2785</v>
      </c>
      <c r="P505" s="10" t="s">
        <v>3011</v>
      </c>
      <c r="Q505" s="11"/>
      <c r="R505" s="11" t="s">
        <v>2991</v>
      </c>
      <c r="S505" s="11"/>
      <c r="T505" s="11"/>
      <c r="U505" s="10"/>
      <c r="V505" s="11"/>
      <c r="W505" s="10"/>
      <c r="X505" s="11" t="s">
        <v>4724</v>
      </c>
      <c r="Y505" s="10" t="s">
        <v>2884</v>
      </c>
      <c r="Z505" s="10" t="s">
        <v>2886</v>
      </c>
      <c r="AA505" s="11" t="s">
        <v>4725</v>
      </c>
      <c r="AB505" s="11"/>
      <c r="AC505" s="10" t="s">
        <v>2995</v>
      </c>
    </row>
    <row r="506" customFormat="false" ht="30" hidden="false" customHeight="true" outlineLevel="0" collapsed="false">
      <c r="A506" s="12" t="s">
        <v>4726</v>
      </c>
      <c r="B506" s="12" t="s">
        <v>4727</v>
      </c>
      <c r="C506" s="12" t="s">
        <v>4582</v>
      </c>
      <c r="D506" s="12" t="s">
        <v>2984</v>
      </c>
      <c r="E506" s="12" t="s">
        <v>2044</v>
      </c>
      <c r="F506" s="12" t="s">
        <v>2045</v>
      </c>
      <c r="G506" s="13" t="s">
        <v>3071</v>
      </c>
      <c r="H506" s="12" t="s">
        <v>3072</v>
      </c>
      <c r="I506" s="12" t="s">
        <v>3073</v>
      </c>
      <c r="J506" s="13" t="s">
        <v>1299</v>
      </c>
      <c r="K506" s="13" t="s">
        <v>452</v>
      </c>
      <c r="L506" s="12" t="s">
        <v>170</v>
      </c>
      <c r="M506" s="12" t="n">
        <v>84</v>
      </c>
      <c r="N506" s="12" t="n">
        <v>240</v>
      </c>
      <c r="O506" s="13" t="s">
        <v>2785</v>
      </c>
      <c r="P506" s="12" t="s">
        <v>3011</v>
      </c>
      <c r="Q506" s="13"/>
      <c r="R506" s="13" t="s">
        <v>2991</v>
      </c>
      <c r="S506" s="13"/>
      <c r="T506" s="13"/>
      <c r="U506" s="12"/>
      <c r="V506" s="13"/>
      <c r="W506" s="12"/>
      <c r="X506" s="13"/>
      <c r="Y506" s="12" t="s">
        <v>2884</v>
      </c>
      <c r="Z506" s="12" t="s">
        <v>2886</v>
      </c>
      <c r="AA506" s="13" t="s">
        <v>4728</v>
      </c>
      <c r="AB506" s="13"/>
      <c r="AC506" s="12" t="s">
        <v>2995</v>
      </c>
    </row>
    <row r="507" customFormat="false" ht="30" hidden="false" customHeight="true" outlineLevel="0" collapsed="false">
      <c r="A507" s="10" t="s">
        <v>4729</v>
      </c>
      <c r="B507" s="10" t="s">
        <v>4730</v>
      </c>
      <c r="C507" s="10" t="s">
        <v>4582</v>
      </c>
      <c r="D507" s="10" t="s">
        <v>2903</v>
      </c>
      <c r="E507" s="10" t="s">
        <v>2526</v>
      </c>
      <c r="F507" s="10" t="s">
        <v>2527</v>
      </c>
      <c r="G507" s="11" t="s">
        <v>3007</v>
      </c>
      <c r="H507" s="10" t="s">
        <v>2999</v>
      </c>
      <c r="I507" s="10" t="s">
        <v>2987</v>
      </c>
      <c r="J507" s="11" t="s">
        <v>1168</v>
      </c>
      <c r="K507" s="11" t="s">
        <v>426</v>
      </c>
      <c r="L507" s="10" t="s">
        <v>170</v>
      </c>
      <c r="M507" s="10" t="n">
        <v>84</v>
      </c>
      <c r="N507" s="10" t="n">
        <v>220</v>
      </c>
      <c r="O507" s="11" t="s">
        <v>2785</v>
      </c>
      <c r="P507" s="10" t="s">
        <v>3011</v>
      </c>
      <c r="Q507" s="11"/>
      <c r="R507" s="11" t="s">
        <v>2991</v>
      </c>
      <c r="S507" s="11"/>
      <c r="T507" s="11"/>
      <c r="U507" s="10"/>
      <c r="V507" s="11"/>
      <c r="W507" s="10"/>
      <c r="X507" s="11"/>
      <c r="Y507" s="10" t="s">
        <v>2884</v>
      </c>
      <c r="Z507" s="10" t="s">
        <v>2886</v>
      </c>
      <c r="AA507" s="11" t="s">
        <v>4731</v>
      </c>
      <c r="AB507" s="11"/>
      <c r="AC507" s="10" t="s">
        <v>3014</v>
      </c>
    </row>
    <row r="508" customFormat="false" ht="30" hidden="false" customHeight="true" outlineLevel="0" collapsed="false">
      <c r="A508" s="12" t="s">
        <v>4732</v>
      </c>
      <c r="B508" s="12" t="s">
        <v>4733</v>
      </c>
      <c r="C508" s="12" t="s">
        <v>4582</v>
      </c>
      <c r="D508" s="12" t="s">
        <v>2903</v>
      </c>
      <c r="E508" s="12" t="s">
        <v>2422</v>
      </c>
      <c r="F508" s="12" t="s">
        <v>2423</v>
      </c>
      <c r="G508" s="13" t="s">
        <v>3088</v>
      </c>
      <c r="H508" s="12" t="s">
        <v>3018</v>
      </c>
      <c r="I508" s="12" t="s">
        <v>2987</v>
      </c>
      <c r="J508" s="13" t="s">
        <v>874</v>
      </c>
      <c r="K508" s="13" t="s">
        <v>452</v>
      </c>
      <c r="L508" s="12" t="s">
        <v>170</v>
      </c>
      <c r="M508" s="12" t="n">
        <v>71</v>
      </c>
      <c r="N508" s="12" t="n">
        <v>260</v>
      </c>
      <c r="O508" s="13" t="s">
        <v>2785</v>
      </c>
      <c r="P508" s="12" t="s">
        <v>3011</v>
      </c>
      <c r="Q508" s="13" t="s">
        <v>3025</v>
      </c>
      <c r="R508" s="13" t="s">
        <v>2991</v>
      </c>
      <c r="S508" s="13"/>
      <c r="T508" s="13" t="s">
        <v>4734</v>
      </c>
      <c r="U508" s="12"/>
      <c r="V508" s="13"/>
      <c r="W508" s="12" t="s">
        <v>3351</v>
      </c>
      <c r="X508" s="13"/>
      <c r="Y508" s="12" t="s">
        <v>2888</v>
      </c>
      <c r="Z508" s="12" t="s">
        <v>1509</v>
      </c>
      <c r="AA508" s="13" t="s">
        <v>4735</v>
      </c>
      <c r="AB508" s="13"/>
      <c r="AC508" s="12" t="s">
        <v>3014</v>
      </c>
    </row>
    <row r="509" customFormat="false" ht="30" hidden="false" customHeight="true" outlineLevel="0" collapsed="false">
      <c r="A509" s="10" t="s">
        <v>4736</v>
      </c>
      <c r="B509" s="10" t="s">
        <v>4737</v>
      </c>
      <c r="C509" s="10" t="s">
        <v>4582</v>
      </c>
      <c r="D509" s="10" t="s">
        <v>2984</v>
      </c>
      <c r="E509" s="10" t="s">
        <v>2196</v>
      </c>
      <c r="F509" s="10" t="s">
        <v>2197</v>
      </c>
      <c r="G509" s="11" t="s">
        <v>3092</v>
      </c>
      <c r="H509" s="10" t="s">
        <v>3018</v>
      </c>
      <c r="I509" s="10" t="s">
        <v>3093</v>
      </c>
      <c r="J509" s="11" t="s">
        <v>4455</v>
      </c>
      <c r="K509" s="11" t="s">
        <v>452</v>
      </c>
      <c r="L509" s="10" t="s">
        <v>170</v>
      </c>
      <c r="M509" s="10" t="n">
        <v>85</v>
      </c>
      <c r="N509" s="10" t="n">
        <v>240</v>
      </c>
      <c r="O509" s="11" t="s">
        <v>2785</v>
      </c>
      <c r="P509" s="10" t="s">
        <v>3011</v>
      </c>
      <c r="Q509" s="11"/>
      <c r="R509" s="11" t="s">
        <v>2991</v>
      </c>
      <c r="S509" s="11"/>
      <c r="T509" s="11"/>
      <c r="U509" s="10"/>
      <c r="V509" s="11"/>
      <c r="W509" s="10"/>
      <c r="X509" s="11" t="s">
        <v>4738</v>
      </c>
      <c r="Y509" s="10" t="s">
        <v>2884</v>
      </c>
      <c r="Z509" s="10" t="s">
        <v>2886</v>
      </c>
      <c r="AA509" s="11" t="s">
        <v>4456</v>
      </c>
      <c r="AB509" s="11"/>
      <c r="AC509" s="10" t="s">
        <v>2995</v>
      </c>
    </row>
    <row r="510" customFormat="false" ht="30" hidden="false" customHeight="true" outlineLevel="0" collapsed="false">
      <c r="A510" s="12" t="s">
        <v>4739</v>
      </c>
      <c r="B510" s="12" t="s">
        <v>4740</v>
      </c>
      <c r="C510" s="12" t="s">
        <v>4582</v>
      </c>
      <c r="D510" s="12" t="s">
        <v>2984</v>
      </c>
      <c r="E510" s="12" t="s">
        <v>2168</v>
      </c>
      <c r="F510" s="12" t="s">
        <v>2169</v>
      </c>
      <c r="G510" s="13" t="s">
        <v>3062</v>
      </c>
      <c r="H510" s="12" t="s">
        <v>3018</v>
      </c>
      <c r="I510" s="12" t="s">
        <v>2987</v>
      </c>
      <c r="J510" s="13" t="s">
        <v>1212</v>
      </c>
      <c r="K510" s="13" t="s">
        <v>452</v>
      </c>
      <c r="L510" s="12" t="s">
        <v>170</v>
      </c>
      <c r="M510" s="12" t="n">
        <v>83</v>
      </c>
      <c r="N510" s="12" t="n">
        <v>200</v>
      </c>
      <c r="O510" s="13" t="s">
        <v>2785</v>
      </c>
      <c r="P510" s="12" t="s">
        <v>3011</v>
      </c>
      <c r="Q510" s="13"/>
      <c r="R510" s="13" t="s">
        <v>2991</v>
      </c>
      <c r="S510" s="13"/>
      <c r="T510" s="13"/>
      <c r="U510" s="12"/>
      <c r="V510" s="13"/>
      <c r="W510" s="12"/>
      <c r="X510" s="13"/>
      <c r="Y510" s="12" t="s">
        <v>2884</v>
      </c>
      <c r="Z510" s="12" t="s">
        <v>2886</v>
      </c>
      <c r="AA510" s="13" t="s">
        <v>4741</v>
      </c>
      <c r="AB510" s="13"/>
      <c r="AC510" s="12" t="s">
        <v>2995</v>
      </c>
    </row>
    <row r="511" customFormat="false" ht="30" hidden="false" customHeight="true" outlineLevel="0" collapsed="false">
      <c r="A511" s="10" t="s">
        <v>4742</v>
      </c>
      <c r="B511" s="10" t="s">
        <v>4743</v>
      </c>
      <c r="C511" s="10" t="s">
        <v>4582</v>
      </c>
      <c r="D511" s="10" t="s">
        <v>2984</v>
      </c>
      <c r="E511" s="10" t="s">
        <v>2246</v>
      </c>
      <c r="F511" s="10" t="s">
        <v>2247</v>
      </c>
      <c r="G511" s="11" t="s">
        <v>3058</v>
      </c>
      <c r="H511" s="10" t="s">
        <v>3072</v>
      </c>
      <c r="I511" s="10" t="s">
        <v>3073</v>
      </c>
      <c r="J511" s="11" t="s">
        <v>1299</v>
      </c>
      <c r="K511" s="11" t="s">
        <v>452</v>
      </c>
      <c r="L511" s="10" t="s">
        <v>170</v>
      </c>
      <c r="M511" s="10" t="n">
        <v>84</v>
      </c>
      <c r="N511" s="10" t="n">
        <v>230</v>
      </c>
      <c r="O511" s="11" t="s">
        <v>2785</v>
      </c>
      <c r="P511" s="10" t="s">
        <v>3011</v>
      </c>
      <c r="Q511" s="11"/>
      <c r="R511" s="11" t="s">
        <v>2991</v>
      </c>
      <c r="S511" s="11"/>
      <c r="T511" s="11"/>
      <c r="U511" s="10"/>
      <c r="V511" s="11"/>
      <c r="W511" s="10"/>
      <c r="X511" s="11"/>
      <c r="Y511" s="10" t="s">
        <v>2884</v>
      </c>
      <c r="Z511" s="10" t="s">
        <v>2886</v>
      </c>
      <c r="AA511" s="11" t="s">
        <v>4497</v>
      </c>
      <c r="AB511" s="11"/>
      <c r="AC511" s="10" t="s">
        <v>2995</v>
      </c>
    </row>
    <row r="512" customFormat="false" ht="30" hidden="false" customHeight="true" outlineLevel="0" collapsed="false">
      <c r="A512" s="12" t="s">
        <v>4744</v>
      </c>
      <c r="B512" s="12" t="s">
        <v>4745</v>
      </c>
      <c r="C512" s="12" t="s">
        <v>4582</v>
      </c>
      <c r="D512" s="12" t="s">
        <v>2984</v>
      </c>
      <c r="E512" s="12" t="s">
        <v>2310</v>
      </c>
      <c r="F512" s="12" t="s">
        <v>2311</v>
      </c>
      <c r="G512" s="13" t="s">
        <v>3034</v>
      </c>
      <c r="H512" s="12" t="s">
        <v>3018</v>
      </c>
      <c r="I512" s="12" t="s">
        <v>2987</v>
      </c>
      <c r="J512" s="13" t="s">
        <v>1207</v>
      </c>
      <c r="K512" s="13" t="s">
        <v>452</v>
      </c>
      <c r="L512" s="12" t="s">
        <v>170</v>
      </c>
      <c r="M512" s="12" t="n">
        <v>69</v>
      </c>
      <c r="N512" s="12" t="n">
        <v>200</v>
      </c>
      <c r="O512" s="13" t="s">
        <v>2785</v>
      </c>
      <c r="P512" s="12" t="s">
        <v>3011</v>
      </c>
      <c r="Q512" s="13" t="s">
        <v>3025</v>
      </c>
      <c r="R512" s="13" t="s">
        <v>2991</v>
      </c>
      <c r="S512" s="13"/>
      <c r="T512" s="13" t="s">
        <v>4746</v>
      </c>
      <c r="U512" s="12"/>
      <c r="V512" s="13"/>
      <c r="W512" s="12"/>
      <c r="X512" s="13"/>
      <c r="Y512" s="12" t="s">
        <v>2888</v>
      </c>
      <c r="Z512" s="12" t="s">
        <v>1509</v>
      </c>
      <c r="AA512" s="13" t="s">
        <v>4747</v>
      </c>
      <c r="AB512" s="13"/>
      <c r="AC512" s="12" t="s">
        <v>2995</v>
      </c>
    </row>
    <row r="513" customFormat="false" ht="30" hidden="false" customHeight="true" outlineLevel="0" collapsed="false">
      <c r="A513" s="10" t="s">
        <v>4748</v>
      </c>
      <c r="B513" s="10" t="s">
        <v>4749</v>
      </c>
      <c r="C513" s="10" t="s">
        <v>4582</v>
      </c>
      <c r="D513" s="10" t="s">
        <v>2903</v>
      </c>
      <c r="E513" s="10" t="s">
        <v>2418</v>
      </c>
      <c r="F513" s="10" t="s">
        <v>2419</v>
      </c>
      <c r="G513" s="11" t="s">
        <v>3053</v>
      </c>
      <c r="H513" s="10" t="s">
        <v>3008</v>
      </c>
      <c r="I513" s="10" t="s">
        <v>2987</v>
      </c>
      <c r="J513" s="11" t="s">
        <v>975</v>
      </c>
      <c r="K513" s="11" t="s">
        <v>438</v>
      </c>
      <c r="L513" s="10" t="s">
        <v>191</v>
      </c>
      <c r="M513" s="10" t="n">
        <v>46</v>
      </c>
      <c r="N513" s="10" t="n">
        <v>200</v>
      </c>
      <c r="O513" s="11" t="s">
        <v>3000</v>
      </c>
      <c r="P513" s="10" t="s">
        <v>2989</v>
      </c>
      <c r="Q513" s="11"/>
      <c r="R513" s="11" t="s">
        <v>2991</v>
      </c>
      <c r="S513" s="11"/>
      <c r="T513" s="11"/>
      <c r="U513" s="10"/>
      <c r="V513" s="11"/>
      <c r="W513" s="10"/>
      <c r="X513" s="11"/>
      <c r="Y513" s="10" t="s">
        <v>2888</v>
      </c>
      <c r="Z513" s="10" t="s">
        <v>1509</v>
      </c>
      <c r="AA513" s="11" t="s">
        <v>4750</v>
      </c>
      <c r="AB513" s="11"/>
      <c r="AC513" s="10" t="s">
        <v>2995</v>
      </c>
    </row>
    <row r="514" customFormat="false" ht="30" hidden="false" customHeight="true" outlineLevel="0" collapsed="false">
      <c r="A514" s="12" t="s">
        <v>4751</v>
      </c>
      <c r="B514" s="12" t="s">
        <v>4752</v>
      </c>
      <c r="C514" s="12" t="s">
        <v>4582</v>
      </c>
      <c r="D514" s="12" t="s">
        <v>2903</v>
      </c>
      <c r="E514" s="12" t="s">
        <v>2524</v>
      </c>
      <c r="F514" s="12" t="s">
        <v>2525</v>
      </c>
      <c r="G514" s="13" t="s">
        <v>3039</v>
      </c>
      <c r="H514" s="12" t="s">
        <v>3018</v>
      </c>
      <c r="I514" s="12" t="s">
        <v>3009</v>
      </c>
      <c r="J514" s="13" t="s">
        <v>3465</v>
      </c>
      <c r="K514" s="13" t="s">
        <v>445</v>
      </c>
      <c r="L514" s="12" t="s">
        <v>170</v>
      </c>
      <c r="M514" s="12" t="n">
        <v>85</v>
      </c>
      <c r="N514" s="12" t="n">
        <v>280</v>
      </c>
      <c r="O514" s="13" t="s">
        <v>2785</v>
      </c>
      <c r="P514" s="12" t="s">
        <v>3011</v>
      </c>
      <c r="Q514" s="13" t="s">
        <v>4085</v>
      </c>
      <c r="R514" s="13" t="s">
        <v>2991</v>
      </c>
      <c r="S514" s="13"/>
      <c r="T514" s="13"/>
      <c r="U514" s="12" t="s">
        <v>3761</v>
      </c>
      <c r="V514" s="13"/>
      <c r="W514" s="12"/>
      <c r="X514" s="13"/>
      <c r="Y514" s="12" t="s">
        <v>2884</v>
      </c>
      <c r="Z514" s="12" t="s">
        <v>2886</v>
      </c>
      <c r="AA514" s="13" t="s">
        <v>3640</v>
      </c>
      <c r="AB514" s="13"/>
      <c r="AC514" s="12" t="s">
        <v>3014</v>
      </c>
    </row>
    <row r="515" customFormat="false" ht="30" hidden="false" customHeight="true" outlineLevel="0" collapsed="false">
      <c r="A515" s="10" t="s">
        <v>4753</v>
      </c>
      <c r="B515" s="10" t="s">
        <v>4754</v>
      </c>
      <c r="C515" s="10" t="s">
        <v>4582</v>
      </c>
      <c r="D515" s="10" t="s">
        <v>2984</v>
      </c>
      <c r="E515" s="10" t="s">
        <v>2138</v>
      </c>
      <c r="F515" s="10" t="s">
        <v>2139</v>
      </c>
      <c r="G515" s="11" t="s">
        <v>3048</v>
      </c>
      <c r="H515" s="10" t="s">
        <v>3018</v>
      </c>
      <c r="I515" s="10" t="s">
        <v>2987</v>
      </c>
      <c r="J515" s="11" t="s">
        <v>1212</v>
      </c>
      <c r="K515" s="11" t="s">
        <v>414</v>
      </c>
      <c r="L515" s="10" t="s">
        <v>170</v>
      </c>
      <c r="M515" s="10" t="n">
        <v>84</v>
      </c>
      <c r="N515" s="10" t="n">
        <v>230</v>
      </c>
      <c r="O515" s="11" t="s">
        <v>2785</v>
      </c>
      <c r="P515" s="10" t="s">
        <v>3011</v>
      </c>
      <c r="Q515" s="11" t="s">
        <v>4604</v>
      </c>
      <c r="R515" s="11" t="s">
        <v>2991</v>
      </c>
      <c r="S515" s="11"/>
      <c r="T515" s="11"/>
      <c r="U515" s="10"/>
      <c r="V515" s="11"/>
      <c r="W515" s="10" t="s">
        <v>4755</v>
      </c>
      <c r="X515" s="11"/>
      <c r="Y515" s="10" t="s">
        <v>2884</v>
      </c>
      <c r="Z515" s="10" t="s">
        <v>2886</v>
      </c>
      <c r="AA515" s="11" t="s">
        <v>4756</v>
      </c>
      <c r="AB515" s="11"/>
      <c r="AC515" s="10" t="s">
        <v>2995</v>
      </c>
    </row>
    <row r="516" customFormat="false" ht="30" hidden="false" customHeight="true" outlineLevel="0" collapsed="false">
      <c r="A516" s="12" t="s">
        <v>4757</v>
      </c>
      <c r="B516" s="12" t="s">
        <v>4758</v>
      </c>
      <c r="C516" s="12" t="s">
        <v>4582</v>
      </c>
      <c r="D516" s="12" t="s">
        <v>2984</v>
      </c>
      <c r="E516" s="12" t="s">
        <v>2222</v>
      </c>
      <c r="F516" s="12" t="s">
        <v>2223</v>
      </c>
      <c r="G516" s="13" t="s">
        <v>3077</v>
      </c>
      <c r="H516" s="12" t="s">
        <v>3018</v>
      </c>
      <c r="I516" s="12" t="s">
        <v>3023</v>
      </c>
      <c r="J516" s="13" t="s">
        <v>1253</v>
      </c>
      <c r="K516" s="13" t="s">
        <v>452</v>
      </c>
      <c r="L516" s="12" t="s">
        <v>170</v>
      </c>
      <c r="M516" s="12" t="n">
        <v>58</v>
      </c>
      <c r="N516" s="12" t="n">
        <v>210</v>
      </c>
      <c r="O516" s="13" t="s">
        <v>2785</v>
      </c>
      <c r="P516" s="12" t="s">
        <v>3011</v>
      </c>
      <c r="Q516" s="13" t="s">
        <v>3035</v>
      </c>
      <c r="R516" s="13" t="s">
        <v>2991</v>
      </c>
      <c r="S516" s="13" t="s">
        <v>3036</v>
      </c>
      <c r="T516" s="13"/>
      <c r="U516" s="12"/>
      <c r="V516" s="13"/>
      <c r="W516" s="12"/>
      <c r="X516" s="13"/>
      <c r="Y516" s="12" t="s">
        <v>2888</v>
      </c>
      <c r="Z516" s="12" t="s">
        <v>1509</v>
      </c>
      <c r="AA516" s="13" t="s">
        <v>4759</v>
      </c>
      <c r="AB516" s="13"/>
      <c r="AC516" s="12" t="s">
        <v>2995</v>
      </c>
    </row>
    <row r="517" customFormat="false" ht="30" hidden="false" customHeight="true" outlineLevel="0" collapsed="false">
      <c r="A517" s="10" t="s">
        <v>4760</v>
      </c>
      <c r="B517" s="10" t="s">
        <v>4761</v>
      </c>
      <c r="C517" s="10" t="s">
        <v>4582</v>
      </c>
      <c r="D517" s="10" t="s">
        <v>2984</v>
      </c>
      <c r="E517" s="10" t="s">
        <v>2230</v>
      </c>
      <c r="F517" s="10" t="s">
        <v>2231</v>
      </c>
      <c r="G517" s="11" t="s">
        <v>3088</v>
      </c>
      <c r="H517" s="10" t="s">
        <v>3018</v>
      </c>
      <c r="I517" s="10" t="s">
        <v>2987</v>
      </c>
      <c r="J517" s="11" t="s">
        <v>1201</v>
      </c>
      <c r="K517" s="11" t="s">
        <v>452</v>
      </c>
      <c r="L517" s="10" t="s">
        <v>170</v>
      </c>
      <c r="M517" s="10" t="n">
        <v>83</v>
      </c>
      <c r="N517" s="10" t="n">
        <v>200</v>
      </c>
      <c r="O517" s="11" t="s">
        <v>2785</v>
      </c>
      <c r="P517" s="10" t="s">
        <v>3011</v>
      </c>
      <c r="Q517" s="11"/>
      <c r="R517" s="11" t="s">
        <v>2991</v>
      </c>
      <c r="S517" s="11"/>
      <c r="T517" s="11"/>
      <c r="U517" s="10"/>
      <c r="V517" s="11"/>
      <c r="W517" s="10"/>
      <c r="X517" s="11"/>
      <c r="Y517" s="10" t="s">
        <v>2884</v>
      </c>
      <c r="Z517" s="10" t="s">
        <v>2886</v>
      </c>
      <c r="AA517" s="11" t="s">
        <v>4762</v>
      </c>
      <c r="AB517" s="11"/>
      <c r="AC517" s="10" t="s">
        <v>2995</v>
      </c>
    </row>
    <row r="518" customFormat="false" ht="30" hidden="false" customHeight="true" outlineLevel="0" collapsed="false">
      <c r="A518" s="12" t="s">
        <v>4763</v>
      </c>
      <c r="B518" s="12" t="s">
        <v>4764</v>
      </c>
      <c r="C518" s="12" t="s">
        <v>4582</v>
      </c>
      <c r="D518" s="12" t="s">
        <v>2984</v>
      </c>
      <c r="E518" s="12" t="s">
        <v>2326</v>
      </c>
      <c r="F518" s="12" t="s">
        <v>2327</v>
      </c>
      <c r="G518" s="13" t="s">
        <v>3092</v>
      </c>
      <c r="H518" s="12" t="s">
        <v>3018</v>
      </c>
      <c r="I518" s="12" t="s">
        <v>3023</v>
      </c>
      <c r="J518" s="13" t="s">
        <v>1240</v>
      </c>
      <c r="K518" s="13" t="s">
        <v>452</v>
      </c>
      <c r="L518" s="12" t="s">
        <v>170</v>
      </c>
      <c r="M518" s="12" t="n">
        <v>83</v>
      </c>
      <c r="N518" s="12" t="n">
        <v>200</v>
      </c>
      <c r="O518" s="13" t="s">
        <v>2785</v>
      </c>
      <c r="P518" s="12" t="s">
        <v>3011</v>
      </c>
      <c r="Q518" s="13"/>
      <c r="R518" s="13" t="s">
        <v>2991</v>
      </c>
      <c r="S518" s="13"/>
      <c r="T518" s="13"/>
      <c r="U518" s="12"/>
      <c r="V518" s="13"/>
      <c r="W518" s="12"/>
      <c r="X518" s="13"/>
      <c r="Y518" s="12" t="s">
        <v>2884</v>
      </c>
      <c r="Z518" s="12" t="s">
        <v>2886</v>
      </c>
      <c r="AA518" s="13" t="s">
        <v>4450</v>
      </c>
      <c r="AB518" s="13"/>
      <c r="AC518" s="12" t="s">
        <v>2995</v>
      </c>
    </row>
    <row r="519" customFormat="false" ht="30" hidden="false" customHeight="true" outlineLevel="0" collapsed="false">
      <c r="A519" s="10" t="s">
        <v>4765</v>
      </c>
      <c r="B519" s="10" t="s">
        <v>4766</v>
      </c>
      <c r="C519" s="10" t="s">
        <v>4582</v>
      </c>
      <c r="D519" s="10" t="s">
        <v>2903</v>
      </c>
      <c r="E519" s="10" t="s">
        <v>2418</v>
      </c>
      <c r="F519" s="10" t="s">
        <v>2419</v>
      </c>
      <c r="G519" s="11" t="s">
        <v>2998</v>
      </c>
      <c r="H519" s="10" t="s">
        <v>3008</v>
      </c>
      <c r="I519" s="10" t="s">
        <v>3023</v>
      </c>
      <c r="J519" s="11" t="s">
        <v>975</v>
      </c>
      <c r="K519" s="11" t="s">
        <v>438</v>
      </c>
      <c r="L519" s="10" t="s">
        <v>191</v>
      </c>
      <c r="M519" s="10" t="n">
        <v>40</v>
      </c>
      <c r="N519" s="10" t="n">
        <v>220</v>
      </c>
      <c r="O519" s="11" t="s">
        <v>3000</v>
      </c>
      <c r="P519" s="10" t="s">
        <v>2989</v>
      </c>
      <c r="Q519" s="11" t="s">
        <v>4767</v>
      </c>
      <c r="R519" s="11" t="s">
        <v>2991</v>
      </c>
      <c r="S519" s="11" t="s">
        <v>3002</v>
      </c>
      <c r="T519" s="11"/>
      <c r="U519" s="10" t="s">
        <v>4768</v>
      </c>
      <c r="V519" s="11"/>
      <c r="W519" s="10"/>
      <c r="X519" s="11" t="s">
        <v>4769</v>
      </c>
      <c r="Y519" s="10" t="s">
        <v>2888</v>
      </c>
      <c r="Z519" s="10" t="s">
        <v>1509</v>
      </c>
      <c r="AA519" s="11" t="s">
        <v>4770</v>
      </c>
      <c r="AB519" s="11"/>
      <c r="AC519" s="10" t="s">
        <v>2995</v>
      </c>
    </row>
    <row r="520" customFormat="false" ht="30" hidden="false" customHeight="true" outlineLevel="0" collapsed="false">
      <c r="A520" s="12" t="s">
        <v>4771</v>
      </c>
      <c r="B520" s="12" t="s">
        <v>4772</v>
      </c>
      <c r="C520" s="12" t="s">
        <v>4582</v>
      </c>
      <c r="D520" s="12" t="s">
        <v>2984</v>
      </c>
      <c r="E520" s="12" t="s">
        <v>2068</v>
      </c>
      <c r="F520" s="12" t="s">
        <v>2069</v>
      </c>
      <c r="G520" s="13" t="s">
        <v>3062</v>
      </c>
      <c r="H520" s="12" t="s">
        <v>3072</v>
      </c>
      <c r="I520" s="12" t="s">
        <v>3073</v>
      </c>
      <c r="J520" s="13" t="s">
        <v>1291</v>
      </c>
      <c r="K520" s="13" t="s">
        <v>452</v>
      </c>
      <c r="L520" s="12" t="s">
        <v>170</v>
      </c>
      <c r="M520" s="12" t="n">
        <v>60</v>
      </c>
      <c r="N520" s="12" t="n">
        <v>240</v>
      </c>
      <c r="O520" s="13" t="s">
        <v>2785</v>
      </c>
      <c r="P520" s="12" t="s">
        <v>3011</v>
      </c>
      <c r="Q520" s="13" t="s">
        <v>4300</v>
      </c>
      <c r="R520" s="13" t="s">
        <v>2991</v>
      </c>
      <c r="S520" s="13" t="s">
        <v>3036</v>
      </c>
      <c r="T520" s="13"/>
      <c r="U520" s="12"/>
      <c r="V520" s="13"/>
      <c r="W520" s="12" t="s">
        <v>3104</v>
      </c>
      <c r="X520" s="13"/>
      <c r="Y520" s="12" t="s">
        <v>2888</v>
      </c>
      <c r="Z520" s="12" t="s">
        <v>1509</v>
      </c>
      <c r="AA520" s="13" t="s">
        <v>4773</v>
      </c>
      <c r="AB520" s="13"/>
      <c r="AC520" s="12" t="s">
        <v>2995</v>
      </c>
    </row>
    <row r="521" customFormat="false" ht="30" hidden="false" customHeight="true" outlineLevel="0" collapsed="false">
      <c r="A521" s="10" t="s">
        <v>4774</v>
      </c>
      <c r="B521" s="10" t="s">
        <v>4775</v>
      </c>
      <c r="C521" s="10" t="s">
        <v>4582</v>
      </c>
      <c r="D521" s="10" t="s">
        <v>2984</v>
      </c>
      <c r="E521" s="10" t="s">
        <v>2372</v>
      </c>
      <c r="F521" s="10" t="s">
        <v>2373</v>
      </c>
      <c r="G521" s="11" t="s">
        <v>3017</v>
      </c>
      <c r="H521" s="10" t="s">
        <v>3018</v>
      </c>
      <c r="I521" s="10" t="s">
        <v>3023</v>
      </c>
      <c r="J521" s="11" t="s">
        <v>1256</v>
      </c>
      <c r="K521" s="11" t="s">
        <v>452</v>
      </c>
      <c r="L521" s="10" t="s">
        <v>170</v>
      </c>
      <c r="M521" s="10" t="n">
        <v>69</v>
      </c>
      <c r="N521" s="10" t="n">
        <v>200</v>
      </c>
      <c r="O521" s="11" t="s">
        <v>2785</v>
      </c>
      <c r="P521" s="10" t="s">
        <v>3011</v>
      </c>
      <c r="Q521" s="11" t="s">
        <v>3025</v>
      </c>
      <c r="R521" s="11" t="s">
        <v>2991</v>
      </c>
      <c r="S521" s="11"/>
      <c r="T521" s="11" t="s">
        <v>4513</v>
      </c>
      <c r="U521" s="10"/>
      <c r="V521" s="11"/>
      <c r="W521" s="10"/>
      <c r="X521" s="11"/>
      <c r="Y521" s="10" t="s">
        <v>2888</v>
      </c>
      <c r="Z521" s="10" t="s">
        <v>1509</v>
      </c>
      <c r="AA521" s="11" t="s">
        <v>4514</v>
      </c>
      <c r="AB521" s="11"/>
      <c r="AC521" s="10" t="s">
        <v>2995</v>
      </c>
    </row>
    <row r="522" customFormat="false" ht="30" hidden="false" customHeight="true" outlineLevel="0" collapsed="false">
      <c r="A522" s="12" t="s">
        <v>4776</v>
      </c>
      <c r="B522" s="12" t="s">
        <v>4777</v>
      </c>
      <c r="C522" s="12" t="s">
        <v>4582</v>
      </c>
      <c r="D522" s="12" t="s">
        <v>2903</v>
      </c>
      <c r="E522" s="12" t="s">
        <v>2426</v>
      </c>
      <c r="F522" s="12" t="s">
        <v>2427</v>
      </c>
      <c r="G522" s="13" t="s">
        <v>3084</v>
      </c>
      <c r="H522" s="12" t="s">
        <v>3049</v>
      </c>
      <c r="I522" s="12" t="s">
        <v>2987</v>
      </c>
      <c r="J522" s="13" t="s">
        <v>1267</v>
      </c>
      <c r="K522" s="13" t="s">
        <v>452</v>
      </c>
      <c r="L522" s="12" t="s">
        <v>191</v>
      </c>
      <c r="M522" s="12" t="n">
        <v>44</v>
      </c>
      <c r="N522" s="12" t="n">
        <v>240</v>
      </c>
      <c r="O522" s="13" t="s">
        <v>3000</v>
      </c>
      <c r="P522" s="12" t="s">
        <v>2989</v>
      </c>
      <c r="Q522" s="13" t="s">
        <v>4181</v>
      </c>
      <c r="R522" s="13" t="s">
        <v>3055</v>
      </c>
      <c r="S522" s="13"/>
      <c r="T522" s="13"/>
      <c r="U522" s="12" t="s">
        <v>4768</v>
      </c>
      <c r="V522" s="13"/>
      <c r="W522" s="12"/>
      <c r="X522" s="13"/>
      <c r="Y522" s="12" t="s">
        <v>2888</v>
      </c>
      <c r="Z522" s="12" t="s">
        <v>1509</v>
      </c>
      <c r="AA522" s="13" t="s">
        <v>4778</v>
      </c>
      <c r="AB522" s="13"/>
      <c r="AC522" s="12" t="s">
        <v>3987</v>
      </c>
    </row>
    <row r="523" customFormat="false" ht="30" hidden="false" customHeight="true" outlineLevel="0" collapsed="false">
      <c r="A523" s="10" t="s">
        <v>4779</v>
      </c>
      <c r="B523" s="10" t="s">
        <v>4780</v>
      </c>
      <c r="C523" s="10" t="s">
        <v>4582</v>
      </c>
      <c r="D523" s="10" t="s">
        <v>2903</v>
      </c>
      <c r="E523" s="10" t="s">
        <v>2476</v>
      </c>
      <c r="F523" s="10" t="s">
        <v>2477</v>
      </c>
      <c r="G523" s="11" t="s">
        <v>3007</v>
      </c>
      <c r="H523" s="10" t="s">
        <v>3018</v>
      </c>
      <c r="I523" s="10" t="s">
        <v>3009</v>
      </c>
      <c r="J523" s="11" t="s">
        <v>1037</v>
      </c>
      <c r="K523" s="11" t="s">
        <v>445</v>
      </c>
      <c r="L523" s="10" t="s">
        <v>170</v>
      </c>
      <c r="M523" s="10" t="n">
        <v>85</v>
      </c>
      <c r="N523" s="10" t="n">
        <v>270</v>
      </c>
      <c r="O523" s="11" t="s">
        <v>2785</v>
      </c>
      <c r="P523" s="10" t="s">
        <v>3011</v>
      </c>
      <c r="Q523" s="11" t="s">
        <v>4085</v>
      </c>
      <c r="R523" s="11" t="s">
        <v>2991</v>
      </c>
      <c r="S523" s="11"/>
      <c r="T523" s="11"/>
      <c r="U523" s="10" t="s">
        <v>3761</v>
      </c>
      <c r="V523" s="11"/>
      <c r="W523" s="10"/>
      <c r="X523" s="11"/>
      <c r="Y523" s="10" t="s">
        <v>2884</v>
      </c>
      <c r="Z523" s="10" t="s">
        <v>2886</v>
      </c>
      <c r="AA523" s="11" t="s">
        <v>3640</v>
      </c>
      <c r="AB523" s="11"/>
      <c r="AC523" s="10" t="s">
        <v>3014</v>
      </c>
    </row>
    <row r="524" customFormat="false" ht="30" hidden="false" customHeight="true" outlineLevel="0" collapsed="false">
      <c r="A524" s="12" t="s">
        <v>4781</v>
      </c>
      <c r="B524" s="12" t="s">
        <v>4782</v>
      </c>
      <c r="C524" s="12" t="s">
        <v>4582</v>
      </c>
      <c r="D524" s="12" t="s">
        <v>2903</v>
      </c>
      <c r="E524" s="12" t="s">
        <v>2424</v>
      </c>
      <c r="F524" s="12" t="s">
        <v>2425</v>
      </c>
      <c r="G524" s="13" t="s">
        <v>3029</v>
      </c>
      <c r="H524" s="12" t="s">
        <v>2999</v>
      </c>
      <c r="I524" s="12" t="s">
        <v>2987</v>
      </c>
      <c r="J524" s="13" t="s">
        <v>995</v>
      </c>
      <c r="K524" s="13" t="s">
        <v>423</v>
      </c>
      <c r="L524" s="12" t="s">
        <v>170</v>
      </c>
      <c r="M524" s="12" t="n">
        <v>84</v>
      </c>
      <c r="N524" s="12" t="n">
        <v>220</v>
      </c>
      <c r="O524" s="13" t="s">
        <v>2785</v>
      </c>
      <c r="P524" s="12" t="s">
        <v>3011</v>
      </c>
      <c r="Q524" s="13"/>
      <c r="R524" s="13" t="s">
        <v>2991</v>
      </c>
      <c r="S524" s="13"/>
      <c r="T524" s="13"/>
      <c r="U524" s="12"/>
      <c r="V524" s="13"/>
      <c r="W524" s="12"/>
      <c r="X524" s="13"/>
      <c r="Y524" s="12" t="s">
        <v>2884</v>
      </c>
      <c r="Z524" s="12" t="s">
        <v>2886</v>
      </c>
      <c r="AA524" s="13" t="s">
        <v>4783</v>
      </c>
      <c r="AB524" s="13"/>
      <c r="AC524" s="12" t="s">
        <v>2995</v>
      </c>
    </row>
    <row r="525" customFormat="false" ht="30" hidden="false" customHeight="true" outlineLevel="0" collapsed="false">
      <c r="A525" s="10" t="s">
        <v>4784</v>
      </c>
      <c r="B525" s="10" t="s">
        <v>4785</v>
      </c>
      <c r="C525" s="10" t="s">
        <v>4582</v>
      </c>
      <c r="D525" s="10" t="s">
        <v>2903</v>
      </c>
      <c r="E525" s="10" t="s">
        <v>2433</v>
      </c>
      <c r="F525" s="10" t="s">
        <v>2434</v>
      </c>
      <c r="G525" s="11" t="s">
        <v>3058</v>
      </c>
      <c r="H525" s="10" t="s">
        <v>2999</v>
      </c>
      <c r="I525" s="10" t="s">
        <v>2987</v>
      </c>
      <c r="J525" s="11" t="s">
        <v>1026</v>
      </c>
      <c r="K525" s="11" t="s">
        <v>423</v>
      </c>
      <c r="L525" s="10" t="s">
        <v>170</v>
      </c>
      <c r="M525" s="10" t="n">
        <v>84</v>
      </c>
      <c r="N525" s="10" t="n">
        <v>220</v>
      </c>
      <c r="O525" s="11" t="s">
        <v>2785</v>
      </c>
      <c r="P525" s="10" t="s">
        <v>3011</v>
      </c>
      <c r="Q525" s="11"/>
      <c r="R525" s="11" t="s">
        <v>2991</v>
      </c>
      <c r="S525" s="11"/>
      <c r="T525" s="11"/>
      <c r="U525" s="10"/>
      <c r="V525" s="11"/>
      <c r="W525" s="10"/>
      <c r="X525" s="11"/>
      <c r="Y525" s="10" t="s">
        <v>2884</v>
      </c>
      <c r="Z525" s="10" t="s">
        <v>2886</v>
      </c>
      <c r="AA525" s="11" t="s">
        <v>4786</v>
      </c>
      <c r="AB525" s="11"/>
      <c r="AC525" s="10" t="s">
        <v>2995</v>
      </c>
    </row>
    <row r="526" customFormat="false" ht="30" hidden="false" customHeight="true" outlineLevel="0" collapsed="false">
      <c r="A526" s="12" t="s">
        <v>4787</v>
      </c>
      <c r="B526" s="12" t="s">
        <v>4788</v>
      </c>
      <c r="C526" s="12" t="s">
        <v>4582</v>
      </c>
      <c r="D526" s="12" t="s">
        <v>2984</v>
      </c>
      <c r="E526" s="12" t="s">
        <v>2370</v>
      </c>
      <c r="F526" s="12" t="s">
        <v>2371</v>
      </c>
      <c r="G526" s="13" t="s">
        <v>3048</v>
      </c>
      <c r="H526" s="12" t="s">
        <v>2999</v>
      </c>
      <c r="I526" s="12" t="s">
        <v>3023</v>
      </c>
      <c r="J526" s="13" t="s">
        <v>1003</v>
      </c>
      <c r="K526" s="13" t="s">
        <v>452</v>
      </c>
      <c r="L526" s="12" t="s">
        <v>170</v>
      </c>
      <c r="M526" s="12" t="n">
        <v>83</v>
      </c>
      <c r="N526" s="12" t="n">
        <v>200</v>
      </c>
      <c r="O526" s="13" t="s">
        <v>2785</v>
      </c>
      <c r="P526" s="12" t="s">
        <v>3011</v>
      </c>
      <c r="Q526" s="13"/>
      <c r="R526" s="13" t="s">
        <v>2991</v>
      </c>
      <c r="S526" s="13"/>
      <c r="T526" s="13"/>
      <c r="U526" s="12"/>
      <c r="V526" s="13"/>
      <c r="W526" s="12"/>
      <c r="X526" s="13"/>
      <c r="Y526" s="12" t="s">
        <v>2884</v>
      </c>
      <c r="Z526" s="12" t="s">
        <v>2886</v>
      </c>
      <c r="AA526" s="13" t="s">
        <v>4789</v>
      </c>
      <c r="AB526" s="13"/>
      <c r="AC526" s="12" t="s">
        <v>2995</v>
      </c>
    </row>
    <row r="527" customFormat="false" ht="30" hidden="false" customHeight="true" outlineLevel="0" collapsed="false">
      <c r="A527" s="10" t="s">
        <v>4790</v>
      </c>
      <c r="B527" s="10" t="s">
        <v>4791</v>
      </c>
      <c r="C527" s="10" t="s">
        <v>4582</v>
      </c>
      <c r="D527" s="10" t="s">
        <v>2984</v>
      </c>
      <c r="E527" s="10" t="s">
        <v>2234</v>
      </c>
      <c r="F527" s="10" t="s">
        <v>2235</v>
      </c>
      <c r="G527" s="11" t="s">
        <v>3080</v>
      </c>
      <c r="H527" s="10" t="s">
        <v>2986</v>
      </c>
      <c r="I527" s="10" t="s">
        <v>2987</v>
      </c>
      <c r="J527" s="11" t="s">
        <v>1222</v>
      </c>
      <c r="K527" s="11" t="s">
        <v>452</v>
      </c>
      <c r="L527" s="10" t="s">
        <v>170</v>
      </c>
      <c r="M527" s="10" t="n">
        <v>70</v>
      </c>
      <c r="N527" s="10" t="n">
        <v>200</v>
      </c>
      <c r="O527" s="11" t="s">
        <v>2785</v>
      </c>
      <c r="P527" s="10" t="s">
        <v>3011</v>
      </c>
      <c r="Q527" s="11" t="s">
        <v>3025</v>
      </c>
      <c r="R527" s="11" t="s">
        <v>2991</v>
      </c>
      <c r="S527" s="11"/>
      <c r="T527" s="11" t="s">
        <v>4792</v>
      </c>
      <c r="U527" s="10"/>
      <c r="V527" s="11"/>
      <c r="W527" s="10"/>
      <c r="X527" s="11"/>
      <c r="Y527" s="10" t="s">
        <v>2888</v>
      </c>
      <c r="Z527" s="10" t="s">
        <v>1509</v>
      </c>
      <c r="AA527" s="11" t="s">
        <v>4793</v>
      </c>
      <c r="AB527" s="11"/>
      <c r="AC527" s="10" t="s">
        <v>2995</v>
      </c>
    </row>
    <row r="528" customFormat="false" ht="30" hidden="false" customHeight="true" outlineLevel="0" collapsed="false">
      <c r="A528" s="12" t="s">
        <v>4794</v>
      </c>
      <c r="B528" s="12" t="s">
        <v>4795</v>
      </c>
      <c r="C528" s="12" t="s">
        <v>4582</v>
      </c>
      <c r="D528" s="12" t="s">
        <v>2903</v>
      </c>
      <c r="E528" s="12" t="s">
        <v>2495</v>
      </c>
      <c r="F528" s="12" t="s">
        <v>2496</v>
      </c>
      <c r="G528" s="13" t="s">
        <v>3071</v>
      </c>
      <c r="H528" s="12" t="s">
        <v>3072</v>
      </c>
      <c r="I528" s="12" t="s">
        <v>3073</v>
      </c>
      <c r="J528" s="13" t="s">
        <v>1148</v>
      </c>
      <c r="K528" s="13" t="s">
        <v>455</v>
      </c>
      <c r="L528" s="12" t="s">
        <v>170</v>
      </c>
      <c r="M528" s="12" t="n">
        <v>84</v>
      </c>
      <c r="N528" s="12" t="n">
        <v>220</v>
      </c>
      <c r="O528" s="13" t="s">
        <v>2785</v>
      </c>
      <c r="P528" s="12" t="s">
        <v>3011</v>
      </c>
      <c r="Q528" s="13"/>
      <c r="R528" s="13" t="s">
        <v>2991</v>
      </c>
      <c r="S528" s="13"/>
      <c r="T528" s="13"/>
      <c r="U528" s="12"/>
      <c r="V528" s="13"/>
      <c r="W528" s="12"/>
      <c r="X528" s="13"/>
      <c r="Y528" s="12" t="s">
        <v>2884</v>
      </c>
      <c r="Z528" s="12" t="s">
        <v>2886</v>
      </c>
      <c r="AA528" s="13" t="s">
        <v>4796</v>
      </c>
      <c r="AB528" s="13"/>
      <c r="AC528" s="12" t="s">
        <v>3014</v>
      </c>
    </row>
    <row r="529" customFormat="false" ht="30" hidden="false" customHeight="true" outlineLevel="0" collapsed="false">
      <c r="A529" s="10" t="s">
        <v>4797</v>
      </c>
      <c r="B529" s="10" t="s">
        <v>4798</v>
      </c>
      <c r="C529" s="10" t="s">
        <v>4582</v>
      </c>
      <c r="D529" s="10" t="s">
        <v>2903</v>
      </c>
      <c r="E529" s="10" t="s">
        <v>2441</v>
      </c>
      <c r="F529" s="10" t="s">
        <v>2442</v>
      </c>
      <c r="G529" s="11" t="s">
        <v>3088</v>
      </c>
      <c r="H529" s="10" t="s">
        <v>3008</v>
      </c>
      <c r="I529" s="10" t="s">
        <v>2987</v>
      </c>
      <c r="J529" s="11" t="s">
        <v>1062</v>
      </c>
      <c r="K529" s="11" t="s">
        <v>438</v>
      </c>
      <c r="L529" s="10" t="s">
        <v>170</v>
      </c>
      <c r="M529" s="10" t="n">
        <v>83</v>
      </c>
      <c r="N529" s="10" t="n">
        <v>210</v>
      </c>
      <c r="O529" s="11" t="s">
        <v>2785</v>
      </c>
      <c r="P529" s="10" t="s">
        <v>3011</v>
      </c>
      <c r="Q529" s="11"/>
      <c r="R529" s="11" t="s">
        <v>2991</v>
      </c>
      <c r="S529" s="11"/>
      <c r="T529" s="11"/>
      <c r="U529" s="10"/>
      <c r="V529" s="11"/>
      <c r="W529" s="10"/>
      <c r="X529" s="11"/>
      <c r="Y529" s="10" t="s">
        <v>2884</v>
      </c>
      <c r="Z529" s="10" t="s">
        <v>2886</v>
      </c>
      <c r="AA529" s="11" t="s">
        <v>4799</v>
      </c>
      <c r="AB529" s="11"/>
      <c r="AC529" s="10" t="s">
        <v>3014</v>
      </c>
    </row>
    <row r="530" customFormat="false" ht="30" hidden="false" customHeight="true" outlineLevel="0" collapsed="false">
      <c r="A530" s="12" t="s">
        <v>4800</v>
      </c>
      <c r="B530" s="12" t="s">
        <v>4801</v>
      </c>
      <c r="C530" s="12" t="s">
        <v>4582</v>
      </c>
      <c r="D530" s="12" t="s">
        <v>2903</v>
      </c>
      <c r="E530" s="12" t="s">
        <v>2439</v>
      </c>
      <c r="F530" s="12" t="s">
        <v>2440</v>
      </c>
      <c r="G530" s="13" t="s">
        <v>3039</v>
      </c>
      <c r="H530" s="12" t="s">
        <v>2999</v>
      </c>
      <c r="I530" s="12" t="s">
        <v>2987</v>
      </c>
      <c r="J530" s="13" t="s">
        <v>951</v>
      </c>
      <c r="K530" s="13" t="s">
        <v>423</v>
      </c>
      <c r="L530" s="12" t="s">
        <v>170</v>
      </c>
      <c r="M530" s="12" t="n">
        <v>84</v>
      </c>
      <c r="N530" s="12" t="n">
        <v>230</v>
      </c>
      <c r="O530" s="13" t="s">
        <v>2785</v>
      </c>
      <c r="P530" s="12" t="s">
        <v>3011</v>
      </c>
      <c r="Q530" s="13" t="s">
        <v>4604</v>
      </c>
      <c r="R530" s="13" t="s">
        <v>2991</v>
      </c>
      <c r="S530" s="13"/>
      <c r="T530" s="13"/>
      <c r="U530" s="12"/>
      <c r="V530" s="13"/>
      <c r="W530" s="12" t="s">
        <v>4755</v>
      </c>
      <c r="X530" s="13"/>
      <c r="Y530" s="12" t="s">
        <v>2884</v>
      </c>
      <c r="Z530" s="12" t="s">
        <v>2886</v>
      </c>
      <c r="AA530" s="13" t="s">
        <v>4802</v>
      </c>
      <c r="AB530" s="13"/>
      <c r="AC530" s="12" t="s">
        <v>2995</v>
      </c>
    </row>
    <row r="531" customFormat="false" ht="30" hidden="false" customHeight="true" outlineLevel="0" collapsed="false">
      <c r="A531" s="10" t="s">
        <v>4803</v>
      </c>
      <c r="B531" s="10" t="s">
        <v>4804</v>
      </c>
      <c r="C531" s="10" t="s">
        <v>4582</v>
      </c>
      <c r="D531" s="10" t="s">
        <v>2984</v>
      </c>
      <c r="E531" s="10" t="s">
        <v>2316</v>
      </c>
      <c r="F531" s="10" t="s">
        <v>2317</v>
      </c>
      <c r="G531" s="11" t="s">
        <v>3062</v>
      </c>
      <c r="H531" s="10" t="s">
        <v>3049</v>
      </c>
      <c r="I531" s="10" t="s">
        <v>2987</v>
      </c>
      <c r="J531" s="11" t="s">
        <v>1168</v>
      </c>
      <c r="K531" s="11" t="s">
        <v>426</v>
      </c>
      <c r="L531" s="10" t="s">
        <v>170</v>
      </c>
      <c r="M531" s="10" t="n">
        <v>83</v>
      </c>
      <c r="N531" s="10" t="n">
        <v>200</v>
      </c>
      <c r="O531" s="11" t="s">
        <v>2785</v>
      </c>
      <c r="P531" s="10" t="s">
        <v>3011</v>
      </c>
      <c r="Q531" s="11"/>
      <c r="R531" s="11" t="s">
        <v>2991</v>
      </c>
      <c r="S531" s="11"/>
      <c r="T531" s="11"/>
      <c r="U531" s="10"/>
      <c r="V531" s="11"/>
      <c r="W531" s="10"/>
      <c r="X531" s="11"/>
      <c r="Y531" s="10" t="s">
        <v>2884</v>
      </c>
      <c r="Z531" s="10" t="s">
        <v>2886</v>
      </c>
      <c r="AA531" s="11" t="s">
        <v>4805</v>
      </c>
      <c r="AB531" s="11"/>
      <c r="AC531" s="10" t="s">
        <v>2995</v>
      </c>
    </row>
    <row r="532" customFormat="false" ht="30" hidden="false" customHeight="true" outlineLevel="0" collapsed="false">
      <c r="A532" s="12" t="s">
        <v>4806</v>
      </c>
      <c r="B532" s="12" t="s">
        <v>4807</v>
      </c>
      <c r="C532" s="12" t="s">
        <v>4582</v>
      </c>
      <c r="D532" s="12" t="s">
        <v>2984</v>
      </c>
      <c r="E532" s="12" t="s">
        <v>2294</v>
      </c>
      <c r="F532" s="12" t="s">
        <v>2295</v>
      </c>
      <c r="G532" s="13" t="s">
        <v>3092</v>
      </c>
      <c r="H532" s="12" t="s">
        <v>3018</v>
      </c>
      <c r="I532" s="12" t="s">
        <v>3023</v>
      </c>
      <c r="J532" s="13" t="s">
        <v>1244</v>
      </c>
      <c r="K532" s="13" t="s">
        <v>452</v>
      </c>
      <c r="L532" s="12" t="s">
        <v>170</v>
      </c>
      <c r="M532" s="12" t="n">
        <v>83</v>
      </c>
      <c r="N532" s="12" t="n">
        <v>200</v>
      </c>
      <c r="O532" s="13" t="s">
        <v>2785</v>
      </c>
      <c r="P532" s="12" t="s">
        <v>3011</v>
      </c>
      <c r="Q532" s="13"/>
      <c r="R532" s="13" t="s">
        <v>2991</v>
      </c>
      <c r="S532" s="13"/>
      <c r="T532" s="13"/>
      <c r="U532" s="12"/>
      <c r="V532" s="13"/>
      <c r="W532" s="12"/>
      <c r="X532" s="13"/>
      <c r="Y532" s="12" t="s">
        <v>2884</v>
      </c>
      <c r="Z532" s="12" t="s">
        <v>2886</v>
      </c>
      <c r="AA532" s="13" t="s">
        <v>4808</v>
      </c>
      <c r="AB532" s="13"/>
      <c r="AC532" s="12" t="s">
        <v>2995</v>
      </c>
    </row>
    <row r="533" customFormat="false" ht="30" hidden="false" customHeight="true" outlineLevel="0" collapsed="false">
      <c r="A533" s="10" t="s">
        <v>4809</v>
      </c>
      <c r="B533" s="10" t="s">
        <v>4810</v>
      </c>
      <c r="C533" s="10" t="s">
        <v>4582</v>
      </c>
      <c r="D533" s="10" t="s">
        <v>2984</v>
      </c>
      <c r="E533" s="10" t="s">
        <v>2334</v>
      </c>
      <c r="F533" s="10" t="s">
        <v>2335</v>
      </c>
      <c r="G533" s="11" t="s">
        <v>3034</v>
      </c>
      <c r="H533" s="10" t="s">
        <v>2986</v>
      </c>
      <c r="I533" s="10" t="s">
        <v>2987</v>
      </c>
      <c r="J533" s="11" t="s">
        <v>1212</v>
      </c>
      <c r="K533" s="11" t="s">
        <v>433</v>
      </c>
      <c r="L533" s="10" t="s">
        <v>170</v>
      </c>
      <c r="M533" s="10" t="n">
        <v>60</v>
      </c>
      <c r="N533" s="10" t="n">
        <v>210</v>
      </c>
      <c r="O533" s="11" t="s">
        <v>2785</v>
      </c>
      <c r="P533" s="10" t="s">
        <v>3011</v>
      </c>
      <c r="Q533" s="11" t="s">
        <v>3035</v>
      </c>
      <c r="R533" s="11" t="s">
        <v>2991</v>
      </c>
      <c r="S533" s="11" t="s">
        <v>3036</v>
      </c>
      <c r="T533" s="11"/>
      <c r="U533" s="10"/>
      <c r="V533" s="11"/>
      <c r="W533" s="10"/>
      <c r="X533" s="11"/>
      <c r="Y533" s="10" t="s">
        <v>2888</v>
      </c>
      <c r="Z533" s="10" t="s">
        <v>1509</v>
      </c>
      <c r="AA533" s="11" t="s">
        <v>4320</v>
      </c>
      <c r="AB533" s="11"/>
      <c r="AC533" s="10" t="s">
        <v>2995</v>
      </c>
    </row>
    <row r="534" customFormat="false" ht="30" hidden="false" customHeight="true" outlineLevel="0" collapsed="false">
      <c r="A534" s="12" t="s">
        <v>4811</v>
      </c>
      <c r="B534" s="12" t="s">
        <v>4812</v>
      </c>
      <c r="C534" s="12" t="s">
        <v>4582</v>
      </c>
      <c r="D534" s="12" t="s">
        <v>2984</v>
      </c>
      <c r="E534" s="12" t="s">
        <v>2174</v>
      </c>
      <c r="F534" s="12" t="s">
        <v>2175</v>
      </c>
      <c r="G534" s="13" t="s">
        <v>3048</v>
      </c>
      <c r="H534" s="12" t="s">
        <v>3018</v>
      </c>
      <c r="I534" s="12" t="s">
        <v>2987</v>
      </c>
      <c r="J534" s="13" t="s">
        <v>1201</v>
      </c>
      <c r="K534" s="13" t="s">
        <v>452</v>
      </c>
      <c r="L534" s="12" t="s">
        <v>170</v>
      </c>
      <c r="M534" s="12" t="n">
        <v>83</v>
      </c>
      <c r="N534" s="12" t="n">
        <v>200</v>
      </c>
      <c r="O534" s="13" t="s">
        <v>2785</v>
      </c>
      <c r="P534" s="12" t="s">
        <v>3011</v>
      </c>
      <c r="Q534" s="13"/>
      <c r="R534" s="13" t="s">
        <v>2991</v>
      </c>
      <c r="S534" s="13"/>
      <c r="T534" s="13"/>
      <c r="U534" s="12"/>
      <c r="V534" s="13"/>
      <c r="W534" s="12"/>
      <c r="X534" s="13"/>
      <c r="Y534" s="12" t="s">
        <v>2884</v>
      </c>
      <c r="Z534" s="12" t="s">
        <v>2886</v>
      </c>
      <c r="AA534" s="13" t="s">
        <v>4813</v>
      </c>
      <c r="AB534" s="13"/>
      <c r="AC534" s="12" t="s">
        <v>2995</v>
      </c>
    </row>
    <row r="535" customFormat="false" ht="30" hidden="false" customHeight="true" outlineLevel="0" collapsed="false">
      <c r="A535" s="10" t="s">
        <v>4814</v>
      </c>
      <c r="B535" s="10" t="s">
        <v>4815</v>
      </c>
      <c r="C535" s="10" t="s">
        <v>4582</v>
      </c>
      <c r="D535" s="10" t="s">
        <v>2984</v>
      </c>
      <c r="E535" s="10" t="s">
        <v>2238</v>
      </c>
      <c r="F535" s="10" t="s">
        <v>2239</v>
      </c>
      <c r="G535" s="11" t="s">
        <v>3080</v>
      </c>
      <c r="H535" s="10" t="s">
        <v>3018</v>
      </c>
      <c r="I535" s="10" t="s">
        <v>2987</v>
      </c>
      <c r="J535" s="11" t="s">
        <v>1207</v>
      </c>
      <c r="K535" s="11" t="s">
        <v>452</v>
      </c>
      <c r="L535" s="10" t="s">
        <v>170</v>
      </c>
      <c r="M535" s="10" t="n">
        <v>66</v>
      </c>
      <c r="N535" s="10" t="n">
        <v>210</v>
      </c>
      <c r="O535" s="11" t="s">
        <v>2785</v>
      </c>
      <c r="P535" s="10" t="s">
        <v>3011</v>
      </c>
      <c r="Q535" s="11" t="s">
        <v>3124</v>
      </c>
      <c r="R535" s="11" t="s">
        <v>2991</v>
      </c>
      <c r="S535" s="11" t="s">
        <v>3002</v>
      </c>
      <c r="T535" s="11"/>
      <c r="U535" s="10"/>
      <c r="V535" s="11"/>
      <c r="W535" s="10"/>
      <c r="X535" s="11"/>
      <c r="Y535" s="10" t="s">
        <v>2888</v>
      </c>
      <c r="Z535" s="10" t="s">
        <v>1509</v>
      </c>
      <c r="AA535" s="11" t="s">
        <v>4816</v>
      </c>
      <c r="AB535" s="11"/>
      <c r="AC535" s="10" t="s">
        <v>2995</v>
      </c>
    </row>
    <row r="536" customFormat="false" ht="30" hidden="false" customHeight="true" outlineLevel="0" collapsed="false">
      <c r="A536" s="12" t="s">
        <v>4817</v>
      </c>
      <c r="B536" s="12" t="s">
        <v>4818</v>
      </c>
      <c r="C536" s="12" t="s">
        <v>4582</v>
      </c>
      <c r="D536" s="12" t="s">
        <v>2984</v>
      </c>
      <c r="E536" s="12" t="s">
        <v>2214</v>
      </c>
      <c r="F536" s="12" t="s">
        <v>2215</v>
      </c>
      <c r="G536" s="13" t="s">
        <v>3071</v>
      </c>
      <c r="H536" s="12" t="s">
        <v>3018</v>
      </c>
      <c r="I536" s="12" t="s">
        <v>3023</v>
      </c>
      <c r="J536" s="13" t="s">
        <v>1240</v>
      </c>
      <c r="K536" s="13" t="s">
        <v>452</v>
      </c>
      <c r="L536" s="12" t="s">
        <v>170</v>
      </c>
      <c r="M536" s="12" t="n">
        <v>83</v>
      </c>
      <c r="N536" s="12" t="n">
        <v>200</v>
      </c>
      <c r="O536" s="13" t="s">
        <v>2785</v>
      </c>
      <c r="P536" s="12" t="s">
        <v>3011</v>
      </c>
      <c r="Q536" s="13"/>
      <c r="R536" s="13" t="s">
        <v>2991</v>
      </c>
      <c r="S536" s="13"/>
      <c r="T536" s="13"/>
      <c r="U536" s="12"/>
      <c r="V536" s="13"/>
      <c r="W536" s="12"/>
      <c r="X536" s="13"/>
      <c r="Y536" s="12" t="s">
        <v>2884</v>
      </c>
      <c r="Z536" s="12" t="s">
        <v>2886</v>
      </c>
      <c r="AA536" s="13" t="s">
        <v>4450</v>
      </c>
      <c r="AB536" s="13"/>
      <c r="AC536" s="12" t="s">
        <v>2995</v>
      </c>
    </row>
    <row r="537" customFormat="false" ht="30" hidden="false" customHeight="true" outlineLevel="0" collapsed="false">
      <c r="A537" s="10" t="s">
        <v>4819</v>
      </c>
      <c r="B537" s="10" t="s">
        <v>4820</v>
      </c>
      <c r="C537" s="10" t="s">
        <v>4582</v>
      </c>
      <c r="D537" s="10" t="s">
        <v>2903</v>
      </c>
      <c r="E537" s="10" t="s">
        <v>2468</v>
      </c>
      <c r="F537" s="10" t="s">
        <v>1930</v>
      </c>
      <c r="G537" s="11" t="s">
        <v>3007</v>
      </c>
      <c r="H537" s="10" t="s">
        <v>2999</v>
      </c>
      <c r="I537" s="10" t="s">
        <v>2987</v>
      </c>
      <c r="J537" s="11" t="s">
        <v>985</v>
      </c>
      <c r="K537" s="11" t="s">
        <v>423</v>
      </c>
      <c r="L537" s="10" t="s">
        <v>170</v>
      </c>
      <c r="M537" s="10" t="n">
        <v>84</v>
      </c>
      <c r="N537" s="10" t="n">
        <v>220</v>
      </c>
      <c r="O537" s="11" t="s">
        <v>2785</v>
      </c>
      <c r="P537" s="10" t="s">
        <v>3011</v>
      </c>
      <c r="Q537" s="11"/>
      <c r="R537" s="11" t="s">
        <v>2991</v>
      </c>
      <c r="S537" s="11"/>
      <c r="T537" s="11"/>
      <c r="U537" s="10"/>
      <c r="V537" s="11"/>
      <c r="W537" s="10"/>
      <c r="X537" s="11"/>
      <c r="Y537" s="10" t="s">
        <v>2884</v>
      </c>
      <c r="Z537" s="10" t="s">
        <v>2886</v>
      </c>
      <c r="AA537" s="11" t="s">
        <v>4821</v>
      </c>
      <c r="AB537" s="11"/>
      <c r="AC537" s="10" t="s">
        <v>2995</v>
      </c>
    </row>
    <row r="538" customFormat="false" ht="30" hidden="false" customHeight="true" outlineLevel="0" collapsed="false">
      <c r="A538" s="12" t="s">
        <v>4822</v>
      </c>
      <c r="B538" s="12" t="s">
        <v>4823</v>
      </c>
      <c r="C538" s="12" t="s">
        <v>4582</v>
      </c>
      <c r="D538" s="12" t="s">
        <v>2903</v>
      </c>
      <c r="E538" s="12" t="s">
        <v>2510</v>
      </c>
      <c r="F538" s="12" t="s">
        <v>2511</v>
      </c>
      <c r="G538" s="13" t="s">
        <v>3088</v>
      </c>
      <c r="H538" s="12" t="s">
        <v>3018</v>
      </c>
      <c r="I538" s="12" t="s">
        <v>3023</v>
      </c>
      <c r="J538" s="13" t="s">
        <v>1240</v>
      </c>
      <c r="K538" s="13" t="s">
        <v>452</v>
      </c>
      <c r="L538" s="12" t="s">
        <v>170</v>
      </c>
      <c r="M538" s="12" t="n">
        <v>83</v>
      </c>
      <c r="N538" s="12" t="n">
        <v>210</v>
      </c>
      <c r="O538" s="13" t="s">
        <v>2785</v>
      </c>
      <c r="P538" s="12" t="s">
        <v>3011</v>
      </c>
      <c r="Q538" s="13"/>
      <c r="R538" s="13" t="s">
        <v>2991</v>
      </c>
      <c r="S538" s="13"/>
      <c r="T538" s="13"/>
      <c r="U538" s="12"/>
      <c r="V538" s="13"/>
      <c r="W538" s="12"/>
      <c r="X538" s="13"/>
      <c r="Y538" s="12" t="s">
        <v>2884</v>
      </c>
      <c r="Z538" s="12" t="s">
        <v>2886</v>
      </c>
      <c r="AA538" s="13" t="s">
        <v>4532</v>
      </c>
      <c r="AB538" s="13"/>
      <c r="AC538" s="12" t="s">
        <v>3014</v>
      </c>
    </row>
    <row r="539" customFormat="false" ht="30" hidden="false" customHeight="true" outlineLevel="0" collapsed="false">
      <c r="A539" s="10" t="s">
        <v>4824</v>
      </c>
      <c r="B539" s="10" t="s">
        <v>4825</v>
      </c>
      <c r="C539" s="10" t="s">
        <v>4582</v>
      </c>
      <c r="D539" s="10" t="s">
        <v>2984</v>
      </c>
      <c r="E539" s="10" t="s">
        <v>2220</v>
      </c>
      <c r="F539" s="10" t="s">
        <v>2221</v>
      </c>
      <c r="G539" s="11" t="s">
        <v>3062</v>
      </c>
      <c r="H539" s="10" t="s">
        <v>3018</v>
      </c>
      <c r="I539" s="10" t="s">
        <v>2987</v>
      </c>
      <c r="J539" s="11" t="s">
        <v>1212</v>
      </c>
      <c r="K539" s="11" t="s">
        <v>452</v>
      </c>
      <c r="L539" s="10" t="s">
        <v>170</v>
      </c>
      <c r="M539" s="10" t="n">
        <v>83</v>
      </c>
      <c r="N539" s="10" t="n">
        <v>200</v>
      </c>
      <c r="O539" s="11" t="s">
        <v>2785</v>
      </c>
      <c r="P539" s="10" t="s">
        <v>3011</v>
      </c>
      <c r="Q539" s="11"/>
      <c r="R539" s="11" t="s">
        <v>2991</v>
      </c>
      <c r="S539" s="11"/>
      <c r="T539" s="11"/>
      <c r="U539" s="10"/>
      <c r="V539" s="11"/>
      <c r="W539" s="10"/>
      <c r="X539" s="11"/>
      <c r="Y539" s="10" t="s">
        <v>2884</v>
      </c>
      <c r="Z539" s="10" t="s">
        <v>2886</v>
      </c>
      <c r="AA539" s="11" t="s">
        <v>4520</v>
      </c>
      <c r="AB539" s="11"/>
      <c r="AC539" s="10" t="s">
        <v>2995</v>
      </c>
    </row>
    <row r="540" customFormat="false" ht="30" hidden="false" customHeight="true" outlineLevel="0" collapsed="false">
      <c r="A540" s="12" t="s">
        <v>4826</v>
      </c>
      <c r="B540" s="12" t="s">
        <v>4827</v>
      </c>
      <c r="C540" s="12" t="s">
        <v>4582</v>
      </c>
      <c r="D540" s="12" t="s">
        <v>2903</v>
      </c>
      <c r="E540" s="12" t="s">
        <v>2452</v>
      </c>
      <c r="F540" s="12" t="s">
        <v>2453</v>
      </c>
      <c r="G540" s="13" t="s">
        <v>2985</v>
      </c>
      <c r="H540" s="12" t="s">
        <v>3072</v>
      </c>
      <c r="I540" s="12" t="s">
        <v>3073</v>
      </c>
      <c r="J540" s="13" t="s">
        <v>1296</v>
      </c>
      <c r="K540" s="13" t="s">
        <v>452</v>
      </c>
      <c r="L540" s="12" t="s">
        <v>170</v>
      </c>
      <c r="M540" s="12" t="n">
        <v>89</v>
      </c>
      <c r="N540" s="12" t="n">
        <v>330</v>
      </c>
      <c r="O540" s="13" t="s">
        <v>2785</v>
      </c>
      <c r="P540" s="12" t="s">
        <v>2989</v>
      </c>
      <c r="Q540" s="13"/>
      <c r="R540" s="13" t="s">
        <v>2991</v>
      </c>
      <c r="S540" s="13"/>
      <c r="T540" s="13"/>
      <c r="U540" s="12"/>
      <c r="V540" s="13"/>
      <c r="W540" s="12"/>
      <c r="X540" s="13" t="s">
        <v>4828</v>
      </c>
      <c r="Y540" s="12" t="s">
        <v>2888</v>
      </c>
      <c r="Z540" s="12" t="s">
        <v>1509</v>
      </c>
      <c r="AA540" s="13" t="s">
        <v>4829</v>
      </c>
      <c r="AB540" s="13"/>
      <c r="AC540" s="12" t="s">
        <v>2995</v>
      </c>
    </row>
    <row r="541" customFormat="false" ht="30" hidden="false" customHeight="true" outlineLevel="0" collapsed="false">
      <c r="A541" s="10" t="s">
        <v>4830</v>
      </c>
      <c r="B541" s="10" t="s">
        <v>4831</v>
      </c>
      <c r="C541" s="10" t="s">
        <v>4582</v>
      </c>
      <c r="D541" s="10" t="s">
        <v>2984</v>
      </c>
      <c r="E541" s="10" t="s">
        <v>2374</v>
      </c>
      <c r="F541" s="10" t="s">
        <v>2375</v>
      </c>
      <c r="G541" s="11" t="s">
        <v>3088</v>
      </c>
      <c r="H541" s="10" t="s">
        <v>3018</v>
      </c>
      <c r="I541" s="10" t="s">
        <v>2987</v>
      </c>
      <c r="J541" s="11" t="s">
        <v>892</v>
      </c>
      <c r="K541" s="11" t="s">
        <v>452</v>
      </c>
      <c r="L541" s="10" t="s">
        <v>170</v>
      </c>
      <c r="M541" s="10" t="n">
        <v>70</v>
      </c>
      <c r="N541" s="10" t="n">
        <v>200</v>
      </c>
      <c r="O541" s="11" t="s">
        <v>2785</v>
      </c>
      <c r="P541" s="10" t="s">
        <v>3011</v>
      </c>
      <c r="Q541" s="11" t="s">
        <v>3025</v>
      </c>
      <c r="R541" s="11" t="s">
        <v>2991</v>
      </c>
      <c r="S541" s="11"/>
      <c r="T541" s="11" t="s">
        <v>4832</v>
      </c>
      <c r="U541" s="10"/>
      <c r="V541" s="11"/>
      <c r="W541" s="10"/>
      <c r="X541" s="11"/>
      <c r="Y541" s="10" t="s">
        <v>2888</v>
      </c>
      <c r="Z541" s="10" t="s">
        <v>1509</v>
      </c>
      <c r="AA541" s="11" t="s">
        <v>4544</v>
      </c>
      <c r="AB541" s="11"/>
      <c r="AC541" s="10" t="s">
        <v>2995</v>
      </c>
    </row>
    <row r="542" customFormat="false" ht="30" hidden="false" customHeight="true" outlineLevel="0" collapsed="false">
      <c r="A542" s="12" t="s">
        <v>4833</v>
      </c>
      <c r="B542" s="12" t="s">
        <v>4834</v>
      </c>
      <c r="C542" s="12" t="s">
        <v>4582</v>
      </c>
      <c r="D542" s="12" t="s">
        <v>2984</v>
      </c>
      <c r="E542" s="12" t="s">
        <v>2342</v>
      </c>
      <c r="F542" s="12" t="s">
        <v>2343</v>
      </c>
      <c r="G542" s="13" t="s">
        <v>3017</v>
      </c>
      <c r="H542" s="12" t="s">
        <v>3072</v>
      </c>
      <c r="I542" s="12" t="s">
        <v>3073</v>
      </c>
      <c r="J542" s="13" t="s">
        <v>1299</v>
      </c>
      <c r="K542" s="13" t="s">
        <v>452</v>
      </c>
      <c r="L542" s="12" t="s">
        <v>170</v>
      </c>
      <c r="M542" s="12" t="n">
        <v>68</v>
      </c>
      <c r="N542" s="12" t="n">
        <v>200</v>
      </c>
      <c r="O542" s="13" t="s">
        <v>2785</v>
      </c>
      <c r="P542" s="12" t="s">
        <v>3011</v>
      </c>
      <c r="Q542" s="13" t="s">
        <v>3025</v>
      </c>
      <c r="R542" s="13" t="s">
        <v>2991</v>
      </c>
      <c r="S542" s="13"/>
      <c r="T542" s="13" t="s">
        <v>4835</v>
      </c>
      <c r="U542" s="12"/>
      <c r="V542" s="13"/>
      <c r="W542" s="12"/>
      <c r="X542" s="13"/>
      <c r="Y542" s="12" t="s">
        <v>2888</v>
      </c>
      <c r="Z542" s="12" t="s">
        <v>1509</v>
      </c>
      <c r="AA542" s="13" t="s">
        <v>4226</v>
      </c>
      <c r="AB542" s="13"/>
      <c r="AC542" s="12" t="s">
        <v>2995</v>
      </c>
    </row>
    <row r="543" customFormat="false" ht="30" hidden="false" customHeight="true" outlineLevel="0" collapsed="false">
      <c r="A543" s="10" t="s">
        <v>4836</v>
      </c>
      <c r="B543" s="10" t="s">
        <v>4837</v>
      </c>
      <c r="C543" s="10" t="s">
        <v>4582</v>
      </c>
      <c r="D543" s="10" t="s">
        <v>2903</v>
      </c>
      <c r="E543" s="10" t="s">
        <v>2431</v>
      </c>
      <c r="F543" s="10" t="s">
        <v>2432</v>
      </c>
      <c r="G543" s="11" t="s">
        <v>3084</v>
      </c>
      <c r="H543" s="10" t="s">
        <v>3018</v>
      </c>
      <c r="I543" s="10" t="s">
        <v>3023</v>
      </c>
      <c r="J543" s="11" t="s">
        <v>1253</v>
      </c>
      <c r="K543" s="11" t="s">
        <v>452</v>
      </c>
      <c r="L543" s="10" t="s">
        <v>191</v>
      </c>
      <c r="M543" s="10" t="n">
        <v>46</v>
      </c>
      <c r="N543" s="10" t="n">
        <v>200</v>
      </c>
      <c r="O543" s="11" t="s">
        <v>3000</v>
      </c>
      <c r="P543" s="10" t="s">
        <v>2989</v>
      </c>
      <c r="Q543" s="11"/>
      <c r="R543" s="11" t="s">
        <v>2991</v>
      </c>
      <c r="S543" s="11"/>
      <c r="T543" s="11"/>
      <c r="U543" s="10"/>
      <c r="V543" s="11"/>
      <c r="W543" s="10"/>
      <c r="X543" s="11"/>
      <c r="Y543" s="10" t="s">
        <v>2888</v>
      </c>
      <c r="Z543" s="10" t="s">
        <v>1509</v>
      </c>
      <c r="AA543" s="11" t="s">
        <v>4838</v>
      </c>
      <c r="AB543" s="11"/>
      <c r="AC543" s="10" t="s">
        <v>3014</v>
      </c>
    </row>
    <row r="544" customFormat="false" ht="30" hidden="false" customHeight="true" outlineLevel="0" collapsed="false">
      <c r="A544" s="12" t="s">
        <v>4839</v>
      </c>
      <c r="B544" s="12" t="s">
        <v>4840</v>
      </c>
      <c r="C544" s="12" t="s">
        <v>4582</v>
      </c>
      <c r="D544" s="12" t="s">
        <v>2903</v>
      </c>
      <c r="E544" s="12" t="s">
        <v>2415</v>
      </c>
      <c r="F544" s="12" t="s">
        <v>2416</v>
      </c>
      <c r="G544" s="13" t="s">
        <v>3058</v>
      </c>
      <c r="H544" s="12" t="s">
        <v>2999</v>
      </c>
      <c r="I544" s="12" t="s">
        <v>2987</v>
      </c>
      <c r="J544" s="13" t="s">
        <v>961</v>
      </c>
      <c r="K544" s="13" t="s">
        <v>441</v>
      </c>
      <c r="L544" s="12" t="s">
        <v>170</v>
      </c>
      <c r="M544" s="12" t="n">
        <v>84</v>
      </c>
      <c r="N544" s="12" t="n">
        <v>270</v>
      </c>
      <c r="O544" s="13" t="s">
        <v>2785</v>
      </c>
      <c r="P544" s="12" t="s">
        <v>3011</v>
      </c>
      <c r="Q544" s="13" t="s">
        <v>3214</v>
      </c>
      <c r="R544" s="13" t="s">
        <v>2991</v>
      </c>
      <c r="S544" s="13"/>
      <c r="T544" s="13"/>
      <c r="U544" s="12" t="s">
        <v>4768</v>
      </c>
      <c r="V544" s="13"/>
      <c r="W544" s="12"/>
      <c r="X544" s="13"/>
      <c r="Y544" s="12" t="s">
        <v>2884</v>
      </c>
      <c r="Z544" s="12" t="s">
        <v>2886</v>
      </c>
      <c r="AA544" s="13" t="s">
        <v>4841</v>
      </c>
      <c r="AB544" s="13"/>
      <c r="AC544" s="12" t="s">
        <v>3589</v>
      </c>
    </row>
    <row r="545" customFormat="false" ht="30" hidden="false" customHeight="true" outlineLevel="0" collapsed="false">
      <c r="A545" s="10" t="s">
        <v>4842</v>
      </c>
      <c r="B545" s="10" t="s">
        <v>4843</v>
      </c>
      <c r="C545" s="10" t="s">
        <v>4582</v>
      </c>
      <c r="D545" s="10" t="s">
        <v>2984</v>
      </c>
      <c r="E545" s="10" t="s">
        <v>2120</v>
      </c>
      <c r="F545" s="10" t="s">
        <v>2121</v>
      </c>
      <c r="G545" s="11" t="s">
        <v>3071</v>
      </c>
      <c r="H545" s="10" t="s">
        <v>3072</v>
      </c>
      <c r="I545" s="10" t="s">
        <v>3073</v>
      </c>
      <c r="J545" s="11" t="s">
        <v>1299</v>
      </c>
      <c r="K545" s="11" t="s">
        <v>452</v>
      </c>
      <c r="L545" s="10" t="s">
        <v>170</v>
      </c>
      <c r="M545" s="10" t="n">
        <v>86</v>
      </c>
      <c r="N545" s="10" t="n">
        <v>260</v>
      </c>
      <c r="O545" s="11" t="s">
        <v>2785</v>
      </c>
      <c r="P545" s="10" t="s">
        <v>3011</v>
      </c>
      <c r="Q545" s="11"/>
      <c r="R545" s="11" t="s">
        <v>2991</v>
      </c>
      <c r="S545" s="11"/>
      <c r="T545" s="11"/>
      <c r="U545" s="10"/>
      <c r="V545" s="11"/>
      <c r="W545" s="10"/>
      <c r="X545" s="11" t="s">
        <v>4844</v>
      </c>
      <c r="Y545" s="10" t="s">
        <v>2884</v>
      </c>
      <c r="Z545" s="10" t="s">
        <v>2886</v>
      </c>
      <c r="AA545" s="11" t="s">
        <v>4845</v>
      </c>
      <c r="AB545" s="11"/>
      <c r="AC545" s="10" t="s">
        <v>2995</v>
      </c>
    </row>
    <row r="546" customFormat="false" ht="30" hidden="false" customHeight="true" outlineLevel="0" collapsed="false">
      <c r="A546" s="12" t="s">
        <v>4846</v>
      </c>
      <c r="B546" s="12" t="s">
        <v>4847</v>
      </c>
      <c r="C546" s="12" t="s">
        <v>4582</v>
      </c>
      <c r="D546" s="12" t="s">
        <v>2984</v>
      </c>
      <c r="E546" s="12" t="s">
        <v>2274</v>
      </c>
      <c r="F546" s="12" t="s">
        <v>2275</v>
      </c>
      <c r="G546" s="13" t="s">
        <v>3092</v>
      </c>
      <c r="H546" s="12" t="s">
        <v>3018</v>
      </c>
      <c r="I546" s="12" t="s">
        <v>3093</v>
      </c>
      <c r="J546" s="13" t="s">
        <v>1276</v>
      </c>
      <c r="K546" s="13" t="s">
        <v>452</v>
      </c>
      <c r="L546" s="12" t="s">
        <v>170</v>
      </c>
      <c r="M546" s="12" t="n">
        <v>83</v>
      </c>
      <c r="N546" s="12" t="n">
        <v>200</v>
      </c>
      <c r="O546" s="13" t="s">
        <v>2785</v>
      </c>
      <c r="P546" s="12" t="s">
        <v>3011</v>
      </c>
      <c r="Q546" s="13"/>
      <c r="R546" s="13" t="s">
        <v>2991</v>
      </c>
      <c r="S546" s="13"/>
      <c r="T546" s="13"/>
      <c r="U546" s="12"/>
      <c r="V546" s="13"/>
      <c r="W546" s="12"/>
      <c r="X546" s="13"/>
      <c r="Y546" s="12" t="s">
        <v>2884</v>
      </c>
      <c r="Z546" s="12" t="s">
        <v>2886</v>
      </c>
      <c r="AA546" s="13" t="s">
        <v>4848</v>
      </c>
      <c r="AB546" s="13"/>
      <c r="AC546" s="12" t="s">
        <v>2995</v>
      </c>
    </row>
    <row r="547" customFormat="false" ht="30" hidden="false" customHeight="true" outlineLevel="0" collapsed="false">
      <c r="A547" s="10" t="s">
        <v>4849</v>
      </c>
      <c r="B547" s="10" t="s">
        <v>4850</v>
      </c>
      <c r="C547" s="10" t="s">
        <v>4582</v>
      </c>
      <c r="D547" s="10" t="s">
        <v>2984</v>
      </c>
      <c r="E547" s="10" t="s">
        <v>2262</v>
      </c>
      <c r="F547" s="10" t="s">
        <v>2263</v>
      </c>
      <c r="G547" s="11" t="s">
        <v>3053</v>
      </c>
      <c r="H547" s="10" t="s">
        <v>2986</v>
      </c>
      <c r="I547" s="10" t="s">
        <v>2987</v>
      </c>
      <c r="J547" s="11" t="s">
        <v>1212</v>
      </c>
      <c r="K547" s="11" t="s">
        <v>452</v>
      </c>
      <c r="L547" s="10" t="s">
        <v>191</v>
      </c>
      <c r="M547" s="10" t="n">
        <v>44</v>
      </c>
      <c r="N547" s="10" t="n">
        <v>210</v>
      </c>
      <c r="O547" s="11" t="s">
        <v>3000</v>
      </c>
      <c r="P547" s="10" t="s">
        <v>2989</v>
      </c>
      <c r="Q547" s="11" t="s">
        <v>3054</v>
      </c>
      <c r="R547" s="11" t="s">
        <v>3055</v>
      </c>
      <c r="S547" s="11"/>
      <c r="T547" s="11"/>
      <c r="U547" s="10"/>
      <c r="V547" s="11"/>
      <c r="W547" s="10"/>
      <c r="X547" s="11"/>
      <c r="Y547" s="10" t="s">
        <v>2888</v>
      </c>
      <c r="Z547" s="10" t="s">
        <v>1509</v>
      </c>
      <c r="AA547" s="11" t="s">
        <v>4851</v>
      </c>
      <c r="AB547" s="11"/>
      <c r="AC547" s="10" t="s">
        <v>2995</v>
      </c>
    </row>
    <row r="548" customFormat="false" ht="30" hidden="false" customHeight="true" outlineLevel="0" collapsed="false">
      <c r="A548" s="12" t="s">
        <v>4852</v>
      </c>
      <c r="B548" s="12" t="s">
        <v>4853</v>
      </c>
      <c r="C548" s="12" t="s">
        <v>4582</v>
      </c>
      <c r="D548" s="12" t="s">
        <v>2984</v>
      </c>
      <c r="E548" s="12" t="s">
        <v>2210</v>
      </c>
      <c r="F548" s="12" t="s">
        <v>2211</v>
      </c>
      <c r="G548" s="13" t="s">
        <v>3048</v>
      </c>
      <c r="H548" s="12" t="s">
        <v>3049</v>
      </c>
      <c r="I548" s="12" t="s">
        <v>2987</v>
      </c>
      <c r="J548" s="13" t="s">
        <v>1187</v>
      </c>
      <c r="K548" s="13" t="s">
        <v>452</v>
      </c>
      <c r="L548" s="12" t="s">
        <v>170</v>
      </c>
      <c r="M548" s="12" t="n">
        <v>83</v>
      </c>
      <c r="N548" s="12" t="n">
        <v>200</v>
      </c>
      <c r="O548" s="13" t="s">
        <v>2785</v>
      </c>
      <c r="P548" s="12" t="s">
        <v>3011</v>
      </c>
      <c r="Q548" s="13"/>
      <c r="R548" s="13" t="s">
        <v>2991</v>
      </c>
      <c r="S548" s="13"/>
      <c r="T548" s="13"/>
      <c r="U548" s="12"/>
      <c r="V548" s="13"/>
      <c r="W548" s="12"/>
      <c r="X548" s="13"/>
      <c r="Y548" s="12" t="s">
        <v>2884</v>
      </c>
      <c r="Z548" s="12" t="s">
        <v>2886</v>
      </c>
      <c r="AA548" s="13" t="s">
        <v>4854</v>
      </c>
      <c r="AB548" s="13"/>
      <c r="AC548" s="12" t="s">
        <v>2995</v>
      </c>
    </row>
    <row r="549" customFormat="false" ht="30" hidden="false" customHeight="true" outlineLevel="0" collapsed="false">
      <c r="A549" s="10" t="s">
        <v>4855</v>
      </c>
      <c r="B549" s="10" t="s">
        <v>4856</v>
      </c>
      <c r="C549" s="10" t="s">
        <v>4582</v>
      </c>
      <c r="D549" s="10" t="s">
        <v>2984</v>
      </c>
      <c r="E549" s="10" t="s">
        <v>2198</v>
      </c>
      <c r="F549" s="10" t="s">
        <v>2199</v>
      </c>
      <c r="G549" s="11" t="s">
        <v>3077</v>
      </c>
      <c r="H549" s="10" t="s">
        <v>2986</v>
      </c>
      <c r="I549" s="10" t="s">
        <v>2987</v>
      </c>
      <c r="J549" s="11" t="s">
        <v>1216</v>
      </c>
      <c r="K549" s="11" t="s">
        <v>452</v>
      </c>
      <c r="L549" s="10" t="s">
        <v>170</v>
      </c>
      <c r="M549" s="10" t="n">
        <v>57</v>
      </c>
      <c r="N549" s="10" t="n">
        <v>210</v>
      </c>
      <c r="O549" s="11" t="s">
        <v>2785</v>
      </c>
      <c r="P549" s="10" t="s">
        <v>3011</v>
      </c>
      <c r="Q549" s="11" t="s">
        <v>3035</v>
      </c>
      <c r="R549" s="11" t="s">
        <v>2991</v>
      </c>
      <c r="S549" s="11" t="s">
        <v>3036</v>
      </c>
      <c r="T549" s="11"/>
      <c r="U549" s="10"/>
      <c r="V549" s="11"/>
      <c r="W549" s="10"/>
      <c r="X549" s="11"/>
      <c r="Y549" s="10" t="s">
        <v>2888</v>
      </c>
      <c r="Z549" s="10" t="s">
        <v>1509</v>
      </c>
      <c r="AA549" s="11" t="s">
        <v>4399</v>
      </c>
      <c r="AB549" s="11"/>
      <c r="AC549" s="10" t="s">
        <v>2995</v>
      </c>
    </row>
    <row r="550" customFormat="false" ht="30" hidden="false" customHeight="true" outlineLevel="0" collapsed="false">
      <c r="A550" s="12" t="s">
        <v>4857</v>
      </c>
      <c r="B550" s="12" t="s">
        <v>4858</v>
      </c>
      <c r="C550" s="12" t="s">
        <v>4582</v>
      </c>
      <c r="D550" s="12" t="s">
        <v>2984</v>
      </c>
      <c r="E550" s="12" t="s">
        <v>2028</v>
      </c>
      <c r="F550" s="12" t="s">
        <v>2029</v>
      </c>
      <c r="G550" s="13" t="s">
        <v>3092</v>
      </c>
      <c r="H550" s="12" t="s">
        <v>3018</v>
      </c>
      <c r="I550" s="12" t="s">
        <v>3023</v>
      </c>
      <c r="J550" s="13" t="s">
        <v>1259</v>
      </c>
      <c r="K550" s="13" t="s">
        <v>452</v>
      </c>
      <c r="L550" s="12" t="s">
        <v>170</v>
      </c>
      <c r="M550" s="12" t="n">
        <v>83</v>
      </c>
      <c r="N550" s="12" t="n">
        <v>200</v>
      </c>
      <c r="O550" s="13" t="s">
        <v>2785</v>
      </c>
      <c r="P550" s="12" t="s">
        <v>3011</v>
      </c>
      <c r="Q550" s="13"/>
      <c r="R550" s="13" t="s">
        <v>2991</v>
      </c>
      <c r="S550" s="13"/>
      <c r="T550" s="13"/>
      <c r="U550" s="12"/>
      <c r="V550" s="13"/>
      <c r="W550" s="12"/>
      <c r="X550" s="13"/>
      <c r="Y550" s="12" t="s">
        <v>2884</v>
      </c>
      <c r="Z550" s="12" t="s">
        <v>2886</v>
      </c>
      <c r="AA550" s="13" t="s">
        <v>4859</v>
      </c>
      <c r="AB550" s="13"/>
      <c r="AC550" s="12" t="s">
        <v>2995</v>
      </c>
    </row>
    <row r="551" customFormat="false" ht="30" hidden="false" customHeight="true" outlineLevel="0" collapsed="false">
      <c r="A551" s="10" t="s">
        <v>4860</v>
      </c>
      <c r="B551" s="10" t="s">
        <v>4861</v>
      </c>
      <c r="C551" s="10" t="s">
        <v>4582</v>
      </c>
      <c r="D551" s="10" t="s">
        <v>2984</v>
      </c>
      <c r="E551" s="10" t="s">
        <v>2290</v>
      </c>
      <c r="F551" s="10" t="s">
        <v>2291</v>
      </c>
      <c r="G551" s="11" t="s">
        <v>3062</v>
      </c>
      <c r="H551" s="10" t="s">
        <v>3018</v>
      </c>
      <c r="I551" s="10" t="s">
        <v>3023</v>
      </c>
      <c r="J551" s="11" t="s">
        <v>1244</v>
      </c>
      <c r="K551" s="11" t="s">
        <v>452</v>
      </c>
      <c r="L551" s="10" t="s">
        <v>170</v>
      </c>
      <c r="M551" s="10" t="n">
        <v>83</v>
      </c>
      <c r="N551" s="10" t="n">
        <v>200</v>
      </c>
      <c r="O551" s="11" t="s">
        <v>2785</v>
      </c>
      <c r="P551" s="10" t="s">
        <v>3011</v>
      </c>
      <c r="Q551" s="11"/>
      <c r="R551" s="11" t="s">
        <v>2991</v>
      </c>
      <c r="S551" s="11"/>
      <c r="T551" s="11"/>
      <c r="U551" s="10"/>
      <c r="V551" s="11"/>
      <c r="W551" s="10"/>
      <c r="X551" s="11"/>
      <c r="Y551" s="10" t="s">
        <v>2884</v>
      </c>
      <c r="Z551" s="10" t="s">
        <v>2886</v>
      </c>
      <c r="AA551" s="11" t="s">
        <v>4862</v>
      </c>
      <c r="AB551" s="11"/>
      <c r="AC551" s="10" t="s">
        <v>2995</v>
      </c>
    </row>
    <row r="552" customFormat="false" ht="30" hidden="false" customHeight="true" outlineLevel="0" collapsed="false">
      <c r="A552" s="12" t="s">
        <v>4863</v>
      </c>
      <c r="B552" s="12" t="s">
        <v>4864</v>
      </c>
      <c r="C552" s="12" t="s">
        <v>4582</v>
      </c>
      <c r="D552" s="12" t="s">
        <v>2984</v>
      </c>
      <c r="E552" s="12" t="s">
        <v>2182</v>
      </c>
      <c r="F552" s="12" t="s">
        <v>2183</v>
      </c>
      <c r="G552" s="13" t="s">
        <v>3080</v>
      </c>
      <c r="H552" s="12" t="s">
        <v>3018</v>
      </c>
      <c r="I552" s="12" t="s">
        <v>2987</v>
      </c>
      <c r="J552" s="13" t="s">
        <v>1231</v>
      </c>
      <c r="K552" s="13" t="s">
        <v>452</v>
      </c>
      <c r="L552" s="12" t="s">
        <v>170</v>
      </c>
      <c r="M552" s="12" t="n">
        <v>66</v>
      </c>
      <c r="N552" s="12" t="n">
        <v>210</v>
      </c>
      <c r="O552" s="13" t="s">
        <v>2785</v>
      </c>
      <c r="P552" s="12" t="s">
        <v>3011</v>
      </c>
      <c r="Q552" s="13" t="s">
        <v>3124</v>
      </c>
      <c r="R552" s="13" t="s">
        <v>2991</v>
      </c>
      <c r="S552" s="13" t="s">
        <v>3002</v>
      </c>
      <c r="T552" s="13"/>
      <c r="U552" s="12"/>
      <c r="V552" s="13"/>
      <c r="W552" s="12"/>
      <c r="X552" s="13"/>
      <c r="Y552" s="12" t="s">
        <v>2888</v>
      </c>
      <c r="Z552" s="12" t="s">
        <v>1509</v>
      </c>
      <c r="AA552" s="13" t="s">
        <v>4865</v>
      </c>
      <c r="AB552" s="13"/>
      <c r="AC552" s="12" t="s">
        <v>2995</v>
      </c>
    </row>
    <row r="553" customFormat="false" ht="30" hidden="false" customHeight="true" outlineLevel="0" collapsed="false">
      <c r="A553" s="10" t="s">
        <v>4866</v>
      </c>
      <c r="B553" s="10" t="s">
        <v>4867</v>
      </c>
      <c r="C553" s="10" t="s">
        <v>4582</v>
      </c>
      <c r="D553" s="10" t="s">
        <v>2903</v>
      </c>
      <c r="E553" s="10" t="s">
        <v>2439</v>
      </c>
      <c r="F553" s="10" t="s">
        <v>2440</v>
      </c>
      <c r="G553" s="11" t="s">
        <v>3029</v>
      </c>
      <c r="H553" s="10" t="s">
        <v>3008</v>
      </c>
      <c r="I553" s="10" t="s">
        <v>2987</v>
      </c>
      <c r="J553" s="11" t="s">
        <v>1057</v>
      </c>
      <c r="K553" s="11" t="s">
        <v>438</v>
      </c>
      <c r="L553" s="10" t="s">
        <v>170</v>
      </c>
      <c r="M553" s="10" t="n">
        <v>84</v>
      </c>
      <c r="N553" s="10" t="n">
        <v>220</v>
      </c>
      <c r="O553" s="11" t="s">
        <v>2785</v>
      </c>
      <c r="P553" s="10" t="s">
        <v>3011</v>
      </c>
      <c r="Q553" s="11" t="s">
        <v>4604</v>
      </c>
      <c r="R553" s="11" t="s">
        <v>2991</v>
      </c>
      <c r="S553" s="11"/>
      <c r="T553" s="11"/>
      <c r="U553" s="10"/>
      <c r="V553" s="11"/>
      <c r="W553" s="10" t="s">
        <v>4755</v>
      </c>
      <c r="X553" s="11"/>
      <c r="Y553" s="10" t="s">
        <v>2884</v>
      </c>
      <c r="Z553" s="10" t="s">
        <v>2886</v>
      </c>
      <c r="AA553" s="11" t="s">
        <v>1058</v>
      </c>
      <c r="AB553" s="11"/>
      <c r="AC553" s="10" t="s">
        <v>3014</v>
      </c>
    </row>
    <row r="554" customFormat="false" ht="30" hidden="false" customHeight="true" outlineLevel="0" collapsed="false">
      <c r="A554" s="12" t="s">
        <v>4868</v>
      </c>
      <c r="B554" s="12" t="s">
        <v>4869</v>
      </c>
      <c r="C554" s="12" t="s">
        <v>4582</v>
      </c>
      <c r="D554" s="12" t="s">
        <v>2903</v>
      </c>
      <c r="E554" s="12" t="s">
        <v>2428</v>
      </c>
      <c r="F554" s="12" t="s">
        <v>1942</v>
      </c>
      <c r="G554" s="13" t="s">
        <v>3039</v>
      </c>
      <c r="H554" s="12" t="s">
        <v>2999</v>
      </c>
      <c r="I554" s="12" t="s">
        <v>2987</v>
      </c>
      <c r="J554" s="13" t="s">
        <v>961</v>
      </c>
      <c r="K554" s="13" t="s">
        <v>441</v>
      </c>
      <c r="L554" s="12" t="s">
        <v>170</v>
      </c>
      <c r="M554" s="12" t="n">
        <v>84</v>
      </c>
      <c r="N554" s="12" t="n">
        <v>210</v>
      </c>
      <c r="O554" s="13" t="s">
        <v>2785</v>
      </c>
      <c r="P554" s="12" t="s">
        <v>3011</v>
      </c>
      <c r="Q554" s="13"/>
      <c r="R554" s="13" t="s">
        <v>2991</v>
      </c>
      <c r="S554" s="13"/>
      <c r="T554" s="13"/>
      <c r="U554" s="12"/>
      <c r="V554" s="13"/>
      <c r="W554" s="12"/>
      <c r="X554" s="13"/>
      <c r="Y554" s="12" t="s">
        <v>2884</v>
      </c>
      <c r="Z554" s="12" t="s">
        <v>2886</v>
      </c>
      <c r="AA554" s="13" t="s">
        <v>4870</v>
      </c>
      <c r="AB554" s="13"/>
      <c r="AC554" s="12" t="s">
        <v>4871</v>
      </c>
    </row>
    <row r="555" customFormat="false" ht="30" hidden="false" customHeight="true" outlineLevel="0" collapsed="false">
      <c r="A555" s="10" t="s">
        <v>4872</v>
      </c>
      <c r="B555" s="10" t="s">
        <v>4873</v>
      </c>
      <c r="C555" s="10" t="s">
        <v>4582</v>
      </c>
      <c r="D555" s="10" t="s">
        <v>2984</v>
      </c>
      <c r="E555" s="10" t="s">
        <v>2116</v>
      </c>
      <c r="F555" s="10" t="s">
        <v>2117</v>
      </c>
      <c r="G555" s="11" t="s">
        <v>3071</v>
      </c>
      <c r="H555" s="10" t="s">
        <v>3072</v>
      </c>
      <c r="I555" s="10" t="s">
        <v>3073</v>
      </c>
      <c r="J555" s="11" t="s">
        <v>1299</v>
      </c>
      <c r="K555" s="11" t="s">
        <v>452</v>
      </c>
      <c r="L555" s="10" t="s">
        <v>170</v>
      </c>
      <c r="M555" s="10" t="n">
        <v>84</v>
      </c>
      <c r="N555" s="10" t="n">
        <v>220</v>
      </c>
      <c r="O555" s="11" t="s">
        <v>2785</v>
      </c>
      <c r="P555" s="10" t="s">
        <v>3011</v>
      </c>
      <c r="Q555" s="11"/>
      <c r="R555" s="11" t="s">
        <v>2991</v>
      </c>
      <c r="S555" s="11"/>
      <c r="T555" s="11"/>
      <c r="U555" s="10"/>
      <c r="V555" s="11"/>
      <c r="W555" s="10"/>
      <c r="X555" s="11"/>
      <c r="Y555" s="10" t="s">
        <v>2884</v>
      </c>
      <c r="Z555" s="10" t="s">
        <v>2886</v>
      </c>
      <c r="AA555" s="11" t="s">
        <v>4874</v>
      </c>
      <c r="AB555" s="11"/>
      <c r="AC555" s="10" t="s">
        <v>2995</v>
      </c>
    </row>
    <row r="556" customFormat="false" ht="30" hidden="false" customHeight="true" outlineLevel="0" collapsed="false">
      <c r="A556" s="12" t="s">
        <v>4875</v>
      </c>
      <c r="B556" s="12" t="s">
        <v>4876</v>
      </c>
      <c r="C556" s="12" t="s">
        <v>4582</v>
      </c>
      <c r="D556" s="12" t="s">
        <v>2984</v>
      </c>
      <c r="E556" s="12" t="s">
        <v>2278</v>
      </c>
      <c r="F556" s="12" t="s">
        <v>2279</v>
      </c>
      <c r="G556" s="13" t="s">
        <v>3062</v>
      </c>
      <c r="H556" s="12" t="s">
        <v>3018</v>
      </c>
      <c r="I556" s="12" t="s">
        <v>2987</v>
      </c>
      <c r="J556" s="13" t="s">
        <v>1212</v>
      </c>
      <c r="K556" s="13" t="s">
        <v>452</v>
      </c>
      <c r="L556" s="12" t="s">
        <v>170</v>
      </c>
      <c r="M556" s="12" t="n">
        <v>83</v>
      </c>
      <c r="N556" s="12" t="n">
        <v>200</v>
      </c>
      <c r="O556" s="13" t="s">
        <v>2785</v>
      </c>
      <c r="P556" s="12" t="s">
        <v>3011</v>
      </c>
      <c r="Q556" s="13"/>
      <c r="R556" s="13" t="s">
        <v>2991</v>
      </c>
      <c r="S556" s="13"/>
      <c r="T556" s="13"/>
      <c r="U556" s="12"/>
      <c r="V556" s="13"/>
      <c r="W556" s="12"/>
      <c r="X556" s="13"/>
      <c r="Y556" s="12" t="s">
        <v>2884</v>
      </c>
      <c r="Z556" s="12" t="s">
        <v>2886</v>
      </c>
      <c r="AA556" s="13" t="s">
        <v>4877</v>
      </c>
      <c r="AB556" s="13"/>
      <c r="AC556" s="12" t="s">
        <v>2995</v>
      </c>
    </row>
    <row r="557" customFormat="false" ht="30" hidden="false" customHeight="true" outlineLevel="0" collapsed="false">
      <c r="A557" s="10" t="s">
        <v>4878</v>
      </c>
      <c r="B557" s="10" t="s">
        <v>4879</v>
      </c>
      <c r="C557" s="10" t="s">
        <v>4582</v>
      </c>
      <c r="D557" s="10" t="s">
        <v>2903</v>
      </c>
      <c r="E557" s="10" t="s">
        <v>2473</v>
      </c>
      <c r="F557" s="10" t="s">
        <v>2474</v>
      </c>
      <c r="G557" s="11" t="s">
        <v>3007</v>
      </c>
      <c r="H557" s="10" t="s">
        <v>2999</v>
      </c>
      <c r="I557" s="10" t="s">
        <v>2987</v>
      </c>
      <c r="J557" s="11" t="s">
        <v>1168</v>
      </c>
      <c r="K557" s="11" t="s">
        <v>426</v>
      </c>
      <c r="L557" s="10" t="s">
        <v>170</v>
      </c>
      <c r="M557" s="10" t="n">
        <v>84</v>
      </c>
      <c r="N557" s="10" t="n">
        <v>260</v>
      </c>
      <c r="O557" s="11" t="s">
        <v>2785</v>
      </c>
      <c r="P557" s="10" t="s">
        <v>3011</v>
      </c>
      <c r="Q557" s="11" t="s">
        <v>4880</v>
      </c>
      <c r="R557" s="11" t="s">
        <v>2991</v>
      </c>
      <c r="S557" s="11"/>
      <c r="T557" s="11"/>
      <c r="U557" s="10" t="s">
        <v>4768</v>
      </c>
      <c r="V557" s="11"/>
      <c r="W557" s="10" t="s">
        <v>4881</v>
      </c>
      <c r="X557" s="11"/>
      <c r="Y557" s="10" t="s">
        <v>2884</v>
      </c>
      <c r="Z557" s="10" t="s">
        <v>2886</v>
      </c>
      <c r="AA557" s="11" t="s">
        <v>4114</v>
      </c>
      <c r="AB557" s="11"/>
      <c r="AC557" s="10" t="s">
        <v>3014</v>
      </c>
    </row>
    <row r="558" customFormat="false" ht="30" hidden="false" customHeight="true" outlineLevel="0" collapsed="false">
      <c r="A558" s="12" t="s">
        <v>4882</v>
      </c>
      <c r="B558" s="12" t="s">
        <v>4883</v>
      </c>
      <c r="C558" s="12" t="s">
        <v>4582</v>
      </c>
      <c r="D558" s="12" t="s">
        <v>2903</v>
      </c>
      <c r="E558" s="12" t="s">
        <v>2437</v>
      </c>
      <c r="F558" s="12" t="s">
        <v>2438</v>
      </c>
      <c r="G558" s="13" t="s">
        <v>3017</v>
      </c>
      <c r="H558" s="12" t="s">
        <v>2999</v>
      </c>
      <c r="I558" s="12" t="s">
        <v>2987</v>
      </c>
      <c r="J558" s="13" t="s">
        <v>990</v>
      </c>
      <c r="K558" s="13" t="s">
        <v>423</v>
      </c>
      <c r="L558" s="12" t="s">
        <v>170</v>
      </c>
      <c r="M558" s="12" t="n">
        <v>68</v>
      </c>
      <c r="N558" s="12" t="n">
        <v>210</v>
      </c>
      <c r="O558" s="13" t="s">
        <v>2785</v>
      </c>
      <c r="P558" s="12" t="s">
        <v>3011</v>
      </c>
      <c r="Q558" s="13" t="s">
        <v>3025</v>
      </c>
      <c r="R558" s="13" t="s">
        <v>2991</v>
      </c>
      <c r="S558" s="13"/>
      <c r="T558" s="13" t="s">
        <v>4884</v>
      </c>
      <c r="U558" s="12"/>
      <c r="V558" s="13"/>
      <c r="W558" s="12"/>
      <c r="X558" s="13"/>
      <c r="Y558" s="12" t="s">
        <v>2888</v>
      </c>
      <c r="Z558" s="12" t="s">
        <v>1509</v>
      </c>
      <c r="AA558" s="13" t="s">
        <v>4885</v>
      </c>
      <c r="AB558" s="13"/>
      <c r="AC558" s="12" t="s">
        <v>2995</v>
      </c>
    </row>
    <row r="559" customFormat="false" ht="30" hidden="false" customHeight="true" outlineLevel="0" collapsed="false">
      <c r="A559" s="10" t="s">
        <v>4886</v>
      </c>
      <c r="B559" s="10" t="s">
        <v>4887</v>
      </c>
      <c r="C559" s="10" t="s">
        <v>4582</v>
      </c>
      <c r="D559" s="10" t="s">
        <v>2984</v>
      </c>
      <c r="E559" s="10" t="s">
        <v>2350</v>
      </c>
      <c r="F559" s="10" t="s">
        <v>2351</v>
      </c>
      <c r="G559" s="11" t="s">
        <v>3092</v>
      </c>
      <c r="H559" s="10" t="s">
        <v>3018</v>
      </c>
      <c r="I559" s="10" t="s">
        <v>3023</v>
      </c>
      <c r="J559" s="11" t="s">
        <v>1240</v>
      </c>
      <c r="K559" s="11" t="s">
        <v>452</v>
      </c>
      <c r="L559" s="10" t="s">
        <v>170</v>
      </c>
      <c r="M559" s="10" t="n">
        <v>83</v>
      </c>
      <c r="N559" s="10" t="n">
        <v>200</v>
      </c>
      <c r="O559" s="11" t="s">
        <v>2785</v>
      </c>
      <c r="P559" s="10" t="s">
        <v>3011</v>
      </c>
      <c r="Q559" s="11"/>
      <c r="R559" s="11" t="s">
        <v>2991</v>
      </c>
      <c r="S559" s="11"/>
      <c r="T559" s="11"/>
      <c r="U559" s="10"/>
      <c r="V559" s="11"/>
      <c r="W559" s="10"/>
      <c r="X559" s="11"/>
      <c r="Y559" s="10" t="s">
        <v>2884</v>
      </c>
      <c r="Z559" s="10" t="s">
        <v>2886</v>
      </c>
      <c r="AA559" s="11" t="s">
        <v>4450</v>
      </c>
      <c r="AB559" s="11"/>
      <c r="AC559" s="10" t="s">
        <v>2995</v>
      </c>
    </row>
    <row r="560" customFormat="false" ht="30" hidden="false" customHeight="true" outlineLevel="0" collapsed="false">
      <c r="A560" s="12" t="s">
        <v>4888</v>
      </c>
      <c r="B560" s="12" t="s">
        <v>4889</v>
      </c>
      <c r="C560" s="12" t="s">
        <v>4582</v>
      </c>
      <c r="D560" s="12" t="s">
        <v>2984</v>
      </c>
      <c r="E560" s="12" t="s">
        <v>2030</v>
      </c>
      <c r="F560" s="12" t="s">
        <v>2031</v>
      </c>
      <c r="G560" s="13" t="s">
        <v>3058</v>
      </c>
      <c r="H560" s="12" t="s">
        <v>2986</v>
      </c>
      <c r="I560" s="12" t="s">
        <v>2987</v>
      </c>
      <c r="J560" s="13" t="s">
        <v>1193</v>
      </c>
      <c r="K560" s="13" t="s">
        <v>452</v>
      </c>
      <c r="L560" s="12" t="s">
        <v>170</v>
      </c>
      <c r="M560" s="12" t="n">
        <v>85</v>
      </c>
      <c r="N560" s="12" t="n">
        <v>230</v>
      </c>
      <c r="O560" s="13" t="s">
        <v>2785</v>
      </c>
      <c r="P560" s="12" t="s">
        <v>3011</v>
      </c>
      <c r="Q560" s="13" t="s">
        <v>4604</v>
      </c>
      <c r="R560" s="13" t="s">
        <v>2991</v>
      </c>
      <c r="S560" s="13"/>
      <c r="T560" s="13"/>
      <c r="U560" s="12"/>
      <c r="V560" s="13"/>
      <c r="W560" s="12" t="s">
        <v>3351</v>
      </c>
      <c r="X560" s="13"/>
      <c r="Y560" s="12" t="s">
        <v>2884</v>
      </c>
      <c r="Z560" s="12" t="s">
        <v>2886</v>
      </c>
      <c r="AA560" s="13" t="s">
        <v>3998</v>
      </c>
      <c r="AB560" s="13"/>
      <c r="AC560" s="12" t="s">
        <v>2995</v>
      </c>
    </row>
    <row r="561" customFormat="false" ht="30" hidden="false" customHeight="true" outlineLevel="0" collapsed="false">
      <c r="A561" s="10" t="s">
        <v>4890</v>
      </c>
      <c r="B561" s="10" t="s">
        <v>4891</v>
      </c>
      <c r="C561" s="10" t="s">
        <v>4582</v>
      </c>
      <c r="D561" s="10" t="s">
        <v>2984</v>
      </c>
      <c r="E561" s="10" t="s">
        <v>2250</v>
      </c>
      <c r="F561" s="10" t="s">
        <v>2251</v>
      </c>
      <c r="G561" s="11" t="s">
        <v>3048</v>
      </c>
      <c r="H561" s="10" t="s">
        <v>3018</v>
      </c>
      <c r="I561" s="10" t="s">
        <v>3023</v>
      </c>
      <c r="J561" s="11" t="s">
        <v>1249</v>
      </c>
      <c r="K561" s="11" t="s">
        <v>452</v>
      </c>
      <c r="L561" s="10" t="s">
        <v>170</v>
      </c>
      <c r="M561" s="10" t="n">
        <v>83</v>
      </c>
      <c r="N561" s="10" t="n">
        <v>200</v>
      </c>
      <c r="O561" s="11" t="s">
        <v>2785</v>
      </c>
      <c r="P561" s="10" t="s">
        <v>3011</v>
      </c>
      <c r="Q561" s="11"/>
      <c r="R561" s="11" t="s">
        <v>2991</v>
      </c>
      <c r="S561" s="11"/>
      <c r="T561" s="11"/>
      <c r="U561" s="10"/>
      <c r="V561" s="11"/>
      <c r="W561" s="10"/>
      <c r="X561" s="11"/>
      <c r="Y561" s="10" t="s">
        <v>2884</v>
      </c>
      <c r="Z561" s="10" t="s">
        <v>2886</v>
      </c>
      <c r="AA561" s="11" t="s">
        <v>4892</v>
      </c>
      <c r="AB561" s="11"/>
      <c r="AC561" s="10" t="s">
        <v>2995</v>
      </c>
    </row>
    <row r="562" customFormat="false" ht="30" hidden="false" customHeight="true" outlineLevel="0" collapsed="false">
      <c r="A562" s="12" t="s">
        <v>4893</v>
      </c>
      <c r="B562" s="12" t="s">
        <v>4894</v>
      </c>
      <c r="C562" s="12" t="s">
        <v>4582</v>
      </c>
      <c r="D562" s="12" t="s">
        <v>2984</v>
      </c>
      <c r="E562" s="12" t="s">
        <v>2202</v>
      </c>
      <c r="F562" s="12" t="s">
        <v>2203</v>
      </c>
      <c r="G562" s="13" t="s">
        <v>3053</v>
      </c>
      <c r="H562" s="12" t="s">
        <v>2986</v>
      </c>
      <c r="I562" s="12" t="s">
        <v>2987</v>
      </c>
      <c r="J562" s="13" t="s">
        <v>1212</v>
      </c>
      <c r="K562" s="13" t="s">
        <v>452</v>
      </c>
      <c r="L562" s="12" t="s">
        <v>191</v>
      </c>
      <c r="M562" s="12" t="n">
        <v>43</v>
      </c>
      <c r="N562" s="12" t="n">
        <v>210</v>
      </c>
      <c r="O562" s="13" t="s">
        <v>3000</v>
      </c>
      <c r="P562" s="12" t="s">
        <v>2989</v>
      </c>
      <c r="Q562" s="13" t="s">
        <v>3054</v>
      </c>
      <c r="R562" s="13" t="s">
        <v>3055</v>
      </c>
      <c r="S562" s="13"/>
      <c r="T562" s="13"/>
      <c r="U562" s="12"/>
      <c r="V562" s="13"/>
      <c r="W562" s="12"/>
      <c r="X562" s="13"/>
      <c r="Y562" s="12" t="s">
        <v>2888</v>
      </c>
      <c r="Z562" s="12" t="s">
        <v>1509</v>
      </c>
      <c r="AA562" s="13" t="s">
        <v>4895</v>
      </c>
      <c r="AB562" s="13"/>
      <c r="AC562" s="12" t="s">
        <v>2995</v>
      </c>
    </row>
    <row r="563" customFormat="false" ht="30" hidden="false" customHeight="true" outlineLevel="0" collapsed="false">
      <c r="A563" s="10" t="s">
        <v>4896</v>
      </c>
      <c r="B563" s="10" t="s">
        <v>4897</v>
      </c>
      <c r="C563" s="10" t="s">
        <v>4582</v>
      </c>
      <c r="D563" s="10" t="s">
        <v>2984</v>
      </c>
      <c r="E563" s="10" t="s">
        <v>2200</v>
      </c>
      <c r="F563" s="10" t="s">
        <v>2201</v>
      </c>
      <c r="G563" s="11" t="s">
        <v>3080</v>
      </c>
      <c r="H563" s="10" t="s">
        <v>3018</v>
      </c>
      <c r="I563" s="10" t="s">
        <v>3093</v>
      </c>
      <c r="J563" s="11" t="s">
        <v>1276</v>
      </c>
      <c r="K563" s="11" t="s">
        <v>414</v>
      </c>
      <c r="L563" s="10" t="s">
        <v>170</v>
      </c>
      <c r="M563" s="10" t="n">
        <v>66</v>
      </c>
      <c r="N563" s="10" t="n">
        <v>210</v>
      </c>
      <c r="O563" s="11" t="s">
        <v>2785</v>
      </c>
      <c r="P563" s="10" t="s">
        <v>3011</v>
      </c>
      <c r="Q563" s="11" t="s">
        <v>4898</v>
      </c>
      <c r="R563" s="11" t="s">
        <v>2991</v>
      </c>
      <c r="S563" s="11" t="s">
        <v>3002</v>
      </c>
      <c r="T563" s="11"/>
      <c r="U563" s="10"/>
      <c r="V563" s="11"/>
      <c r="W563" s="10" t="s">
        <v>3440</v>
      </c>
      <c r="X563" s="11"/>
      <c r="Y563" s="10" t="s">
        <v>2888</v>
      </c>
      <c r="Z563" s="10" t="s">
        <v>1509</v>
      </c>
      <c r="AA563" s="11" t="s">
        <v>4899</v>
      </c>
      <c r="AB563" s="11"/>
      <c r="AC563" s="10" t="s">
        <v>2995</v>
      </c>
    </row>
    <row r="564" customFormat="false" ht="30" hidden="false" customHeight="true" outlineLevel="0" collapsed="false">
      <c r="A564" s="12" t="s">
        <v>4900</v>
      </c>
      <c r="B564" s="12" t="s">
        <v>4901</v>
      </c>
      <c r="C564" s="12" t="s">
        <v>4582</v>
      </c>
      <c r="D564" s="12" t="s">
        <v>2984</v>
      </c>
      <c r="E564" s="12" t="s">
        <v>2176</v>
      </c>
      <c r="F564" s="12" t="s">
        <v>2177</v>
      </c>
      <c r="G564" s="13" t="s">
        <v>3088</v>
      </c>
      <c r="H564" s="12" t="s">
        <v>3018</v>
      </c>
      <c r="I564" s="12" t="s">
        <v>2987</v>
      </c>
      <c r="J564" s="13" t="s">
        <v>1201</v>
      </c>
      <c r="K564" s="13" t="s">
        <v>452</v>
      </c>
      <c r="L564" s="12" t="s">
        <v>170</v>
      </c>
      <c r="M564" s="12" t="n">
        <v>83</v>
      </c>
      <c r="N564" s="12" t="n">
        <v>200</v>
      </c>
      <c r="O564" s="13" t="s">
        <v>2785</v>
      </c>
      <c r="P564" s="12" t="s">
        <v>3011</v>
      </c>
      <c r="Q564" s="13"/>
      <c r="R564" s="13" t="s">
        <v>2991</v>
      </c>
      <c r="S564" s="13"/>
      <c r="T564" s="13"/>
      <c r="U564" s="12"/>
      <c r="V564" s="13"/>
      <c r="W564" s="12"/>
      <c r="X564" s="13"/>
      <c r="Y564" s="12" t="s">
        <v>2884</v>
      </c>
      <c r="Z564" s="12" t="s">
        <v>2886</v>
      </c>
      <c r="AA564" s="13" t="s">
        <v>4902</v>
      </c>
      <c r="AB564" s="13"/>
      <c r="AC564" s="12" t="s">
        <v>2995</v>
      </c>
    </row>
    <row r="565" customFormat="false" ht="30" hidden="false" customHeight="true" outlineLevel="0" collapsed="false">
      <c r="A565" s="10" t="s">
        <v>4903</v>
      </c>
      <c r="B565" s="10" t="s">
        <v>4904</v>
      </c>
      <c r="C565" s="10" t="s">
        <v>4582</v>
      </c>
      <c r="D565" s="10" t="s">
        <v>2984</v>
      </c>
      <c r="E565" s="10" t="s">
        <v>2188</v>
      </c>
      <c r="F565" s="10" t="s">
        <v>2189</v>
      </c>
      <c r="G565" s="11" t="s">
        <v>3065</v>
      </c>
      <c r="H565" s="10" t="s">
        <v>3018</v>
      </c>
      <c r="I565" s="10" t="s">
        <v>2987</v>
      </c>
      <c r="J565" s="11" t="s">
        <v>1207</v>
      </c>
      <c r="K565" s="11" t="s">
        <v>452</v>
      </c>
      <c r="L565" s="10" t="s">
        <v>191</v>
      </c>
      <c r="M565" s="10" t="n">
        <v>45</v>
      </c>
      <c r="N565" s="10" t="n">
        <v>500</v>
      </c>
      <c r="O565" s="11" t="s">
        <v>3024</v>
      </c>
      <c r="P565" s="10" t="s">
        <v>2989</v>
      </c>
      <c r="Q565" s="11" t="s">
        <v>3285</v>
      </c>
      <c r="R565" s="11" t="s">
        <v>3055</v>
      </c>
      <c r="S565" s="11"/>
      <c r="T565" s="11" t="s">
        <v>4905</v>
      </c>
      <c r="U565" s="10"/>
      <c r="V565" s="11"/>
      <c r="W565" s="10"/>
      <c r="X565" s="11"/>
      <c r="Y565" s="10" t="s">
        <v>2888</v>
      </c>
      <c r="Z565" s="10" t="s">
        <v>1509</v>
      </c>
      <c r="AA565" s="11" t="s">
        <v>3498</v>
      </c>
      <c r="AB565" s="11"/>
      <c r="AC565" s="10" t="s">
        <v>2995</v>
      </c>
    </row>
    <row r="566" customFormat="false" ht="30" hidden="false" customHeight="true" outlineLevel="0" collapsed="false">
      <c r="A566" s="12" t="s">
        <v>4906</v>
      </c>
      <c r="B566" s="12" t="s">
        <v>4907</v>
      </c>
      <c r="C566" s="12" t="s">
        <v>4582</v>
      </c>
      <c r="D566" s="12" t="s">
        <v>2903</v>
      </c>
      <c r="E566" s="12" t="s">
        <v>2481</v>
      </c>
      <c r="F566" s="12" t="s">
        <v>2482</v>
      </c>
      <c r="G566" s="13" t="s">
        <v>2998</v>
      </c>
      <c r="H566" s="12" t="s">
        <v>3008</v>
      </c>
      <c r="I566" s="12" t="s">
        <v>2987</v>
      </c>
      <c r="J566" s="13" t="s">
        <v>911</v>
      </c>
      <c r="K566" s="13" t="s">
        <v>438</v>
      </c>
      <c r="L566" s="12" t="s">
        <v>191</v>
      </c>
      <c r="M566" s="12" t="n">
        <v>40</v>
      </c>
      <c r="N566" s="12" t="n">
        <v>200</v>
      </c>
      <c r="O566" s="13" t="s">
        <v>3000</v>
      </c>
      <c r="P566" s="12" t="s">
        <v>2989</v>
      </c>
      <c r="Q566" s="13" t="s">
        <v>4767</v>
      </c>
      <c r="R566" s="13" t="s">
        <v>2991</v>
      </c>
      <c r="S566" s="13" t="s">
        <v>3002</v>
      </c>
      <c r="T566" s="13"/>
      <c r="U566" s="12" t="s">
        <v>4768</v>
      </c>
      <c r="V566" s="13"/>
      <c r="W566" s="12"/>
      <c r="X566" s="13"/>
      <c r="Y566" s="12" t="s">
        <v>2888</v>
      </c>
      <c r="Z566" s="12" t="s">
        <v>1509</v>
      </c>
      <c r="AA566" s="13" t="s">
        <v>4908</v>
      </c>
      <c r="AB566" s="13"/>
      <c r="AC566" s="12" t="s">
        <v>3014</v>
      </c>
    </row>
    <row r="567" customFormat="false" ht="30" hidden="false" customHeight="true" outlineLevel="0" collapsed="false">
      <c r="A567" s="10" t="s">
        <v>4909</v>
      </c>
      <c r="B567" s="10" t="s">
        <v>4910</v>
      </c>
      <c r="C567" s="10" t="s">
        <v>4582</v>
      </c>
      <c r="D567" s="10" t="s">
        <v>2984</v>
      </c>
      <c r="E567" s="10" t="s">
        <v>2274</v>
      </c>
      <c r="F567" s="10" t="s">
        <v>2275</v>
      </c>
      <c r="G567" s="11" t="s">
        <v>3092</v>
      </c>
      <c r="H567" s="10" t="s">
        <v>3018</v>
      </c>
      <c r="I567" s="10" t="s">
        <v>3023</v>
      </c>
      <c r="J567" s="11" t="s">
        <v>1253</v>
      </c>
      <c r="K567" s="11" t="s">
        <v>452</v>
      </c>
      <c r="L567" s="10" t="s">
        <v>170</v>
      </c>
      <c r="M567" s="10" t="n">
        <v>83</v>
      </c>
      <c r="N567" s="10" t="n">
        <v>200</v>
      </c>
      <c r="O567" s="11" t="s">
        <v>2785</v>
      </c>
      <c r="P567" s="10" t="s">
        <v>3011</v>
      </c>
      <c r="Q567" s="11"/>
      <c r="R567" s="11" t="s">
        <v>2991</v>
      </c>
      <c r="S567" s="11"/>
      <c r="T567" s="11"/>
      <c r="U567" s="10"/>
      <c r="V567" s="11"/>
      <c r="W567" s="10"/>
      <c r="X567" s="11"/>
      <c r="Y567" s="10" t="s">
        <v>2884</v>
      </c>
      <c r="Z567" s="10" t="s">
        <v>2886</v>
      </c>
      <c r="AA567" s="11" t="s">
        <v>4051</v>
      </c>
      <c r="AB567" s="11"/>
      <c r="AC567" s="10" t="s">
        <v>2995</v>
      </c>
    </row>
    <row r="568" customFormat="false" ht="30" hidden="false" customHeight="true" outlineLevel="0" collapsed="false">
      <c r="A568" s="12" t="s">
        <v>4911</v>
      </c>
      <c r="B568" s="12" t="s">
        <v>4912</v>
      </c>
      <c r="C568" s="12" t="s">
        <v>4582</v>
      </c>
      <c r="D568" s="12" t="s">
        <v>2984</v>
      </c>
      <c r="E568" s="12" t="s">
        <v>2248</v>
      </c>
      <c r="F568" s="12" t="s">
        <v>2249</v>
      </c>
      <c r="G568" s="13" t="s">
        <v>3071</v>
      </c>
      <c r="H568" s="12" t="s">
        <v>3072</v>
      </c>
      <c r="I568" s="12" t="s">
        <v>3073</v>
      </c>
      <c r="J568" s="13" t="s">
        <v>1303</v>
      </c>
      <c r="K568" s="13" t="s">
        <v>452</v>
      </c>
      <c r="L568" s="12" t="s">
        <v>170</v>
      </c>
      <c r="M568" s="12" t="n">
        <v>84</v>
      </c>
      <c r="N568" s="12" t="n">
        <v>220</v>
      </c>
      <c r="O568" s="13" t="s">
        <v>2785</v>
      </c>
      <c r="P568" s="12" t="s">
        <v>3011</v>
      </c>
      <c r="Q568" s="13"/>
      <c r="R568" s="13" t="s">
        <v>2991</v>
      </c>
      <c r="S568" s="13"/>
      <c r="T568" s="13"/>
      <c r="U568" s="12"/>
      <c r="V568" s="13"/>
      <c r="W568" s="12"/>
      <c r="X568" s="13"/>
      <c r="Y568" s="12" t="s">
        <v>2884</v>
      </c>
      <c r="Z568" s="12" t="s">
        <v>2886</v>
      </c>
      <c r="AA568" s="13" t="s">
        <v>4463</v>
      </c>
      <c r="AB568" s="13"/>
      <c r="AC568" s="12" t="s">
        <v>2995</v>
      </c>
    </row>
    <row r="569" customFormat="false" ht="30" hidden="false" customHeight="true" outlineLevel="0" collapsed="false">
      <c r="A569" s="10" t="s">
        <v>4913</v>
      </c>
      <c r="B569" s="10" t="s">
        <v>4914</v>
      </c>
      <c r="C569" s="10" t="s">
        <v>4582</v>
      </c>
      <c r="D569" s="10" t="s">
        <v>2903</v>
      </c>
      <c r="E569" s="10" t="s">
        <v>2420</v>
      </c>
      <c r="F569" s="10" t="s">
        <v>2421</v>
      </c>
      <c r="G569" s="11" t="s">
        <v>3039</v>
      </c>
      <c r="H569" s="10" t="s">
        <v>3008</v>
      </c>
      <c r="I569" s="10" t="s">
        <v>2987</v>
      </c>
      <c r="J569" s="11" t="s">
        <v>1062</v>
      </c>
      <c r="K569" s="11" t="s">
        <v>438</v>
      </c>
      <c r="L569" s="10" t="s">
        <v>170</v>
      </c>
      <c r="M569" s="10" t="n">
        <v>86</v>
      </c>
      <c r="N569" s="10" t="n">
        <v>270</v>
      </c>
      <c r="O569" s="11" t="s">
        <v>2785</v>
      </c>
      <c r="P569" s="10" t="s">
        <v>2989</v>
      </c>
      <c r="Q569" s="11"/>
      <c r="R569" s="11" t="s">
        <v>2991</v>
      </c>
      <c r="S569" s="11"/>
      <c r="T569" s="11"/>
      <c r="U569" s="10"/>
      <c r="V569" s="11"/>
      <c r="W569" s="10"/>
      <c r="X569" s="11" t="s">
        <v>4915</v>
      </c>
      <c r="Y569" s="10" t="s">
        <v>2903</v>
      </c>
      <c r="Z569" s="10" t="s">
        <v>2904</v>
      </c>
      <c r="AA569" s="11" t="s">
        <v>4916</v>
      </c>
      <c r="AB569" s="11"/>
      <c r="AC569" s="10" t="s">
        <v>4917</v>
      </c>
    </row>
    <row r="570" customFormat="false" ht="30" hidden="false" customHeight="true" outlineLevel="0" collapsed="false">
      <c r="A570" s="12" t="s">
        <v>4918</v>
      </c>
      <c r="B570" s="12" t="s">
        <v>4919</v>
      </c>
      <c r="C570" s="12" t="s">
        <v>4582</v>
      </c>
      <c r="D570" s="12" t="s">
        <v>2903</v>
      </c>
      <c r="E570" s="12" t="s">
        <v>2424</v>
      </c>
      <c r="F570" s="12" t="s">
        <v>2425</v>
      </c>
      <c r="G570" s="13" t="s">
        <v>3029</v>
      </c>
      <c r="H570" s="12" t="s">
        <v>2999</v>
      </c>
      <c r="I570" s="12" t="s">
        <v>2987</v>
      </c>
      <c r="J570" s="13" t="s">
        <v>936</v>
      </c>
      <c r="K570" s="13" t="s">
        <v>423</v>
      </c>
      <c r="L570" s="12" t="s">
        <v>170</v>
      </c>
      <c r="M570" s="12" t="n">
        <v>84</v>
      </c>
      <c r="N570" s="12" t="n">
        <v>210</v>
      </c>
      <c r="O570" s="13" t="s">
        <v>2785</v>
      </c>
      <c r="P570" s="12" t="s">
        <v>3011</v>
      </c>
      <c r="Q570" s="13"/>
      <c r="R570" s="13" t="s">
        <v>2991</v>
      </c>
      <c r="S570" s="13"/>
      <c r="T570" s="13"/>
      <c r="U570" s="12"/>
      <c r="V570" s="13"/>
      <c r="W570" s="12"/>
      <c r="X570" s="13"/>
      <c r="Y570" s="12" t="s">
        <v>2884</v>
      </c>
      <c r="Z570" s="12" t="s">
        <v>2886</v>
      </c>
      <c r="AA570" s="13" t="s">
        <v>3773</v>
      </c>
      <c r="AB570" s="13"/>
      <c r="AC570" s="12" t="s">
        <v>3014</v>
      </c>
    </row>
    <row r="571" customFormat="false" ht="30" hidden="false" customHeight="true" outlineLevel="0" collapsed="false">
      <c r="A571" s="10" t="s">
        <v>4920</v>
      </c>
      <c r="B571" s="10" t="s">
        <v>4921</v>
      </c>
      <c r="C571" s="10" t="s">
        <v>4582</v>
      </c>
      <c r="D571" s="10" t="s">
        <v>2903</v>
      </c>
      <c r="E571" s="10" t="s">
        <v>2493</v>
      </c>
      <c r="F571" s="10" t="s">
        <v>2494</v>
      </c>
      <c r="G571" s="11" t="s">
        <v>3007</v>
      </c>
      <c r="H571" s="10" t="s">
        <v>3018</v>
      </c>
      <c r="I571" s="10" t="s">
        <v>2987</v>
      </c>
      <c r="J571" s="11" t="s">
        <v>892</v>
      </c>
      <c r="K571" s="11" t="s">
        <v>452</v>
      </c>
      <c r="L571" s="10" t="s">
        <v>170</v>
      </c>
      <c r="M571" s="10" t="n">
        <v>84</v>
      </c>
      <c r="N571" s="10" t="n">
        <v>240</v>
      </c>
      <c r="O571" s="11" t="s">
        <v>2785</v>
      </c>
      <c r="P571" s="10" t="s">
        <v>3041</v>
      </c>
      <c r="Q571" s="11" t="s">
        <v>3237</v>
      </c>
      <c r="R571" s="11" t="s">
        <v>2991</v>
      </c>
      <c r="S571" s="11"/>
      <c r="T571" s="11"/>
      <c r="U571" s="10"/>
      <c r="V571" s="11"/>
      <c r="W571" s="10" t="s">
        <v>3445</v>
      </c>
      <c r="X571" s="11"/>
      <c r="Y571" s="10" t="s">
        <v>2824</v>
      </c>
      <c r="Z571" s="10" t="s">
        <v>2892</v>
      </c>
      <c r="AA571" s="11" t="s">
        <v>4922</v>
      </c>
      <c r="AB571" s="11"/>
      <c r="AC571" s="10" t="s">
        <v>3014</v>
      </c>
    </row>
    <row r="572" customFormat="false" ht="30" hidden="false" customHeight="true" outlineLevel="0" collapsed="false">
      <c r="A572" s="12" t="s">
        <v>4923</v>
      </c>
      <c r="B572" s="12" t="s">
        <v>4924</v>
      </c>
      <c r="C572" s="12" t="s">
        <v>4582</v>
      </c>
      <c r="D572" s="12" t="s">
        <v>2903</v>
      </c>
      <c r="E572" s="12" t="s">
        <v>2469</v>
      </c>
      <c r="F572" s="12" t="s">
        <v>2470</v>
      </c>
      <c r="G572" s="13" t="s">
        <v>3088</v>
      </c>
      <c r="H572" s="12" t="s">
        <v>3018</v>
      </c>
      <c r="I572" s="12" t="s">
        <v>3023</v>
      </c>
      <c r="J572" s="13" t="s">
        <v>1259</v>
      </c>
      <c r="K572" s="13" t="s">
        <v>452</v>
      </c>
      <c r="L572" s="12" t="s">
        <v>170</v>
      </c>
      <c r="M572" s="12" t="n">
        <v>83</v>
      </c>
      <c r="N572" s="12" t="n">
        <v>200</v>
      </c>
      <c r="O572" s="13" t="s">
        <v>2785</v>
      </c>
      <c r="P572" s="12" t="s">
        <v>3011</v>
      </c>
      <c r="Q572" s="13"/>
      <c r="R572" s="13" t="s">
        <v>2991</v>
      </c>
      <c r="S572" s="13"/>
      <c r="T572" s="13"/>
      <c r="U572" s="12"/>
      <c r="V572" s="13"/>
      <c r="W572" s="12"/>
      <c r="X572" s="13"/>
      <c r="Y572" s="12" t="s">
        <v>2884</v>
      </c>
      <c r="Z572" s="12" t="s">
        <v>2886</v>
      </c>
      <c r="AA572" s="13" t="s">
        <v>4925</v>
      </c>
      <c r="AB572" s="13"/>
      <c r="AC572" s="12" t="s">
        <v>3014</v>
      </c>
    </row>
    <row r="573" customFormat="false" ht="30" hidden="false" customHeight="true" outlineLevel="0" collapsed="false">
      <c r="A573" s="10" t="s">
        <v>4926</v>
      </c>
      <c r="B573" s="10" t="s">
        <v>4927</v>
      </c>
      <c r="C573" s="10" t="s">
        <v>4582</v>
      </c>
      <c r="D573" s="10" t="s">
        <v>2903</v>
      </c>
      <c r="E573" s="10" t="s">
        <v>2548</v>
      </c>
      <c r="F573" s="10" t="s">
        <v>2549</v>
      </c>
      <c r="G573" s="11" t="s">
        <v>3058</v>
      </c>
      <c r="H573" s="10" t="s">
        <v>3072</v>
      </c>
      <c r="I573" s="10" t="s">
        <v>3073</v>
      </c>
      <c r="J573" s="11" t="s">
        <v>1052</v>
      </c>
      <c r="K573" s="11" t="s">
        <v>423</v>
      </c>
      <c r="L573" s="10" t="s">
        <v>170</v>
      </c>
      <c r="M573" s="10" t="n">
        <v>84</v>
      </c>
      <c r="N573" s="10" t="n">
        <v>220</v>
      </c>
      <c r="O573" s="11" t="s">
        <v>2785</v>
      </c>
      <c r="P573" s="10" t="s">
        <v>3011</v>
      </c>
      <c r="Q573" s="11"/>
      <c r="R573" s="11" t="s">
        <v>2991</v>
      </c>
      <c r="S573" s="11"/>
      <c r="T573" s="11"/>
      <c r="U573" s="10"/>
      <c r="V573" s="11"/>
      <c r="W573" s="10"/>
      <c r="X573" s="11"/>
      <c r="Y573" s="10" t="s">
        <v>2884</v>
      </c>
      <c r="Z573" s="10" t="s">
        <v>2886</v>
      </c>
      <c r="AA573" s="11" t="s">
        <v>4928</v>
      </c>
      <c r="AB573" s="11"/>
      <c r="AC573" s="10" t="s">
        <v>3014</v>
      </c>
    </row>
    <row r="574" customFormat="false" ht="30" hidden="false" customHeight="true" outlineLevel="0" collapsed="false">
      <c r="A574" s="12" t="s">
        <v>4929</v>
      </c>
      <c r="B574" s="12" t="s">
        <v>4930</v>
      </c>
      <c r="C574" s="12" t="s">
        <v>4582</v>
      </c>
      <c r="D574" s="12" t="s">
        <v>2984</v>
      </c>
      <c r="E574" s="12" t="s">
        <v>2300</v>
      </c>
      <c r="F574" s="12" t="s">
        <v>2301</v>
      </c>
      <c r="G574" s="13" t="s">
        <v>3034</v>
      </c>
      <c r="H574" s="12" t="s">
        <v>3072</v>
      </c>
      <c r="I574" s="12" t="s">
        <v>3073</v>
      </c>
      <c r="J574" s="13" t="s">
        <v>1303</v>
      </c>
      <c r="K574" s="13" t="s">
        <v>452</v>
      </c>
      <c r="L574" s="12" t="s">
        <v>170</v>
      </c>
      <c r="M574" s="12" t="n">
        <v>59</v>
      </c>
      <c r="N574" s="12" t="n">
        <v>210</v>
      </c>
      <c r="O574" s="13" t="s">
        <v>2785</v>
      </c>
      <c r="P574" s="12" t="s">
        <v>3011</v>
      </c>
      <c r="Q574" s="13" t="s">
        <v>3035</v>
      </c>
      <c r="R574" s="13" t="s">
        <v>2991</v>
      </c>
      <c r="S574" s="13" t="s">
        <v>3036</v>
      </c>
      <c r="T574" s="13"/>
      <c r="U574" s="12"/>
      <c r="V574" s="13"/>
      <c r="W574" s="12"/>
      <c r="X574" s="13"/>
      <c r="Y574" s="12" t="s">
        <v>2888</v>
      </c>
      <c r="Z574" s="12" t="s">
        <v>1509</v>
      </c>
      <c r="AA574" s="13" t="s">
        <v>4405</v>
      </c>
      <c r="AB574" s="13"/>
      <c r="AC574" s="12" t="s">
        <v>2995</v>
      </c>
    </row>
    <row r="575" customFormat="false" ht="30" hidden="false" customHeight="true" outlineLevel="0" collapsed="false">
      <c r="A575" s="10" t="s">
        <v>4931</v>
      </c>
      <c r="B575" s="10" t="s">
        <v>4932</v>
      </c>
      <c r="C575" s="10" t="s">
        <v>4582</v>
      </c>
      <c r="D575" s="10" t="s">
        <v>2903</v>
      </c>
      <c r="E575" s="10" t="s">
        <v>2445</v>
      </c>
      <c r="F575" s="10" t="s">
        <v>2446</v>
      </c>
      <c r="G575" s="11" t="s">
        <v>3084</v>
      </c>
      <c r="H575" s="10" t="s">
        <v>3072</v>
      </c>
      <c r="I575" s="10" t="s">
        <v>3073</v>
      </c>
      <c r="J575" s="11" t="s">
        <v>1296</v>
      </c>
      <c r="K575" s="11" t="s">
        <v>452</v>
      </c>
      <c r="L575" s="10" t="s">
        <v>191</v>
      </c>
      <c r="M575" s="10" t="n">
        <v>46</v>
      </c>
      <c r="N575" s="10" t="n">
        <v>200</v>
      </c>
      <c r="O575" s="11" t="s">
        <v>3000</v>
      </c>
      <c r="P575" s="10" t="s">
        <v>2989</v>
      </c>
      <c r="Q575" s="11"/>
      <c r="R575" s="11" t="s">
        <v>2991</v>
      </c>
      <c r="S575" s="11"/>
      <c r="T575" s="11"/>
      <c r="U575" s="10"/>
      <c r="V575" s="11"/>
      <c r="W575" s="10"/>
      <c r="X575" s="11"/>
      <c r="Y575" s="10" t="s">
        <v>2888</v>
      </c>
      <c r="Z575" s="10" t="s">
        <v>1509</v>
      </c>
      <c r="AA575" s="11" t="s">
        <v>4933</v>
      </c>
      <c r="AB575" s="11"/>
      <c r="AC575" s="10" t="s">
        <v>2995</v>
      </c>
    </row>
    <row r="576" customFormat="false" ht="30" hidden="false" customHeight="true" outlineLevel="0" collapsed="false">
      <c r="A576" s="12" t="s">
        <v>4934</v>
      </c>
      <c r="B576" s="12" t="s">
        <v>4935</v>
      </c>
      <c r="C576" s="12" t="s">
        <v>4582</v>
      </c>
      <c r="D576" s="12" t="s">
        <v>2984</v>
      </c>
      <c r="E576" s="12" t="s">
        <v>2242</v>
      </c>
      <c r="F576" s="12" t="s">
        <v>2243</v>
      </c>
      <c r="G576" s="13" t="s">
        <v>3062</v>
      </c>
      <c r="H576" s="12" t="s">
        <v>3018</v>
      </c>
      <c r="I576" s="12" t="s">
        <v>3023</v>
      </c>
      <c r="J576" s="13" t="s">
        <v>1244</v>
      </c>
      <c r="K576" s="13" t="s">
        <v>452</v>
      </c>
      <c r="L576" s="12" t="s">
        <v>170</v>
      </c>
      <c r="M576" s="12" t="n">
        <v>83</v>
      </c>
      <c r="N576" s="12" t="n">
        <v>200</v>
      </c>
      <c r="O576" s="13" t="s">
        <v>2785</v>
      </c>
      <c r="P576" s="12" t="s">
        <v>3011</v>
      </c>
      <c r="Q576" s="13"/>
      <c r="R576" s="13" t="s">
        <v>2991</v>
      </c>
      <c r="S576" s="13"/>
      <c r="T576" s="13"/>
      <c r="U576" s="12"/>
      <c r="V576" s="13"/>
      <c r="W576" s="12"/>
      <c r="X576" s="13"/>
      <c r="Y576" s="12" t="s">
        <v>2884</v>
      </c>
      <c r="Z576" s="12" t="s">
        <v>2886</v>
      </c>
      <c r="AA576" s="13" t="s">
        <v>4936</v>
      </c>
      <c r="AB576" s="13"/>
      <c r="AC576" s="12" t="s">
        <v>2995</v>
      </c>
    </row>
    <row r="577" customFormat="false" ht="30" hidden="false" customHeight="true" outlineLevel="0" collapsed="false">
      <c r="A577" s="10" t="s">
        <v>4937</v>
      </c>
      <c r="B577" s="10" t="s">
        <v>4938</v>
      </c>
      <c r="C577" s="10" t="s">
        <v>4582</v>
      </c>
      <c r="D577" s="10" t="s">
        <v>2984</v>
      </c>
      <c r="E577" s="10" t="s">
        <v>2286</v>
      </c>
      <c r="F577" s="10" t="s">
        <v>2287</v>
      </c>
      <c r="G577" s="11" t="s">
        <v>2998</v>
      </c>
      <c r="H577" s="10" t="s">
        <v>3049</v>
      </c>
      <c r="I577" s="10" t="s">
        <v>2987</v>
      </c>
      <c r="J577" s="11" t="s">
        <v>1168</v>
      </c>
      <c r="K577" s="11" t="s">
        <v>452</v>
      </c>
      <c r="L577" s="10" t="s">
        <v>191</v>
      </c>
      <c r="M577" s="10" t="n">
        <v>40</v>
      </c>
      <c r="N577" s="10" t="n">
        <v>200</v>
      </c>
      <c r="O577" s="11" t="s">
        <v>3000</v>
      </c>
      <c r="P577" s="10" t="s">
        <v>2989</v>
      </c>
      <c r="Q577" s="11" t="s">
        <v>3343</v>
      </c>
      <c r="R577" s="11" t="s">
        <v>2991</v>
      </c>
      <c r="S577" s="11" t="s">
        <v>3002</v>
      </c>
      <c r="T577" s="11" t="s">
        <v>4575</v>
      </c>
      <c r="U577" s="10"/>
      <c r="V577" s="11"/>
      <c r="W577" s="10"/>
      <c r="X577" s="11"/>
      <c r="Y577" s="10" t="s">
        <v>2888</v>
      </c>
      <c r="Z577" s="10" t="s">
        <v>1509</v>
      </c>
      <c r="AA577" s="11" t="s">
        <v>4576</v>
      </c>
      <c r="AB577" s="11"/>
      <c r="AC577" s="10" t="s">
        <v>2995</v>
      </c>
    </row>
    <row r="578" customFormat="false" ht="30" hidden="false" customHeight="true" outlineLevel="0" collapsed="false">
      <c r="A578" s="12" t="s">
        <v>4939</v>
      </c>
      <c r="B578" s="12" t="s">
        <v>4940</v>
      </c>
      <c r="C578" s="12" t="s">
        <v>4582</v>
      </c>
      <c r="D578" s="12" t="s">
        <v>2903</v>
      </c>
      <c r="E578" s="12" t="s">
        <v>2584</v>
      </c>
      <c r="F578" s="12" t="s">
        <v>2585</v>
      </c>
      <c r="G578" s="13" t="s">
        <v>3048</v>
      </c>
      <c r="H578" s="12" t="s">
        <v>2999</v>
      </c>
      <c r="I578" s="12" t="s">
        <v>2987</v>
      </c>
      <c r="J578" s="13" t="s">
        <v>1094</v>
      </c>
      <c r="K578" s="13" t="s">
        <v>455</v>
      </c>
      <c r="L578" s="12" t="s">
        <v>170</v>
      </c>
      <c r="M578" s="12" t="n">
        <v>83</v>
      </c>
      <c r="N578" s="12" t="n">
        <v>210</v>
      </c>
      <c r="O578" s="13" t="s">
        <v>2785</v>
      </c>
      <c r="P578" s="12" t="s">
        <v>3011</v>
      </c>
      <c r="Q578" s="13"/>
      <c r="R578" s="13" t="s">
        <v>2991</v>
      </c>
      <c r="S578" s="13"/>
      <c r="T578" s="13"/>
      <c r="U578" s="12"/>
      <c r="V578" s="13"/>
      <c r="W578" s="12"/>
      <c r="X578" s="13"/>
      <c r="Y578" s="12" t="s">
        <v>2884</v>
      </c>
      <c r="Z578" s="12" t="s">
        <v>2886</v>
      </c>
      <c r="AA578" s="13" t="s">
        <v>1114</v>
      </c>
      <c r="AB578" s="13"/>
      <c r="AC578" s="12" t="s">
        <v>3014</v>
      </c>
    </row>
    <row r="579" customFormat="false" ht="30" hidden="false" customHeight="true" outlineLevel="0" collapsed="false">
      <c r="A579" s="10" t="s">
        <v>4941</v>
      </c>
      <c r="B579" s="10" t="s">
        <v>4942</v>
      </c>
      <c r="C579" s="10" t="s">
        <v>4582</v>
      </c>
      <c r="D579" s="10" t="s">
        <v>2903</v>
      </c>
      <c r="E579" s="10" t="s">
        <v>2426</v>
      </c>
      <c r="F579" s="10" t="s">
        <v>2427</v>
      </c>
      <c r="G579" s="11" t="s">
        <v>3071</v>
      </c>
      <c r="H579" s="10" t="s">
        <v>2999</v>
      </c>
      <c r="I579" s="10" t="s">
        <v>2987</v>
      </c>
      <c r="J579" s="11" t="s">
        <v>936</v>
      </c>
      <c r="K579" s="11" t="s">
        <v>423</v>
      </c>
      <c r="L579" s="10" t="s">
        <v>170</v>
      </c>
      <c r="M579" s="10" t="n">
        <v>84</v>
      </c>
      <c r="N579" s="10" t="n">
        <v>210</v>
      </c>
      <c r="O579" s="11" t="s">
        <v>2785</v>
      </c>
      <c r="P579" s="10" t="s">
        <v>3011</v>
      </c>
      <c r="Q579" s="11"/>
      <c r="R579" s="11" t="s">
        <v>2991</v>
      </c>
      <c r="S579" s="11"/>
      <c r="T579" s="11"/>
      <c r="U579" s="10"/>
      <c r="V579" s="11"/>
      <c r="W579" s="10"/>
      <c r="X579" s="11"/>
      <c r="Y579" s="10" t="s">
        <v>2884</v>
      </c>
      <c r="Z579" s="10" t="s">
        <v>2886</v>
      </c>
      <c r="AA579" s="11" t="s">
        <v>4943</v>
      </c>
      <c r="AB579" s="11"/>
      <c r="AC579" s="10" t="s">
        <v>3987</v>
      </c>
    </row>
    <row r="580" customFormat="false" ht="30" hidden="false" customHeight="true" outlineLevel="0" collapsed="false">
      <c r="A580" s="12" t="s">
        <v>4944</v>
      </c>
      <c r="B580" s="12" t="s">
        <v>4945</v>
      </c>
      <c r="C580" s="12" t="s">
        <v>4582</v>
      </c>
      <c r="D580" s="12" t="s">
        <v>2984</v>
      </c>
      <c r="E580" s="12" t="s">
        <v>2158</v>
      </c>
      <c r="F580" s="12" t="s">
        <v>2159</v>
      </c>
      <c r="G580" s="13" t="s">
        <v>3017</v>
      </c>
      <c r="H580" s="12" t="s">
        <v>3018</v>
      </c>
      <c r="I580" s="12" t="s">
        <v>3093</v>
      </c>
      <c r="J580" s="13" t="s">
        <v>1272</v>
      </c>
      <c r="K580" s="13" t="s">
        <v>414</v>
      </c>
      <c r="L580" s="12" t="s">
        <v>170</v>
      </c>
      <c r="M580" s="12" t="n">
        <v>67</v>
      </c>
      <c r="N580" s="12" t="n">
        <v>210</v>
      </c>
      <c r="O580" s="13" t="s">
        <v>2785</v>
      </c>
      <c r="P580" s="12" t="s">
        <v>3011</v>
      </c>
      <c r="Q580" s="13" t="s">
        <v>4946</v>
      </c>
      <c r="R580" s="13" t="s">
        <v>2991</v>
      </c>
      <c r="S580" s="13"/>
      <c r="T580" s="13" t="s">
        <v>3573</v>
      </c>
      <c r="U580" s="12"/>
      <c r="V580" s="13"/>
      <c r="W580" s="12" t="s">
        <v>3239</v>
      </c>
      <c r="X580" s="13"/>
      <c r="Y580" s="12" t="s">
        <v>2888</v>
      </c>
      <c r="Z580" s="12" t="s">
        <v>1509</v>
      </c>
      <c r="AA580" s="13" t="s">
        <v>4947</v>
      </c>
      <c r="AB580" s="13"/>
      <c r="AC580" s="12" t="s">
        <v>2995</v>
      </c>
    </row>
    <row r="581" customFormat="false" ht="30" hidden="false" customHeight="true" outlineLevel="0" collapsed="false">
      <c r="A581" s="10" t="s">
        <v>4948</v>
      </c>
      <c r="B581" s="10" t="s">
        <v>4949</v>
      </c>
      <c r="C581" s="10" t="s">
        <v>4582</v>
      </c>
      <c r="D581" s="10" t="s">
        <v>2984</v>
      </c>
      <c r="E581" s="10" t="s">
        <v>2304</v>
      </c>
      <c r="F581" s="10" t="s">
        <v>2305</v>
      </c>
      <c r="G581" s="11" t="s">
        <v>3092</v>
      </c>
      <c r="H581" s="10" t="s">
        <v>3018</v>
      </c>
      <c r="I581" s="10" t="s">
        <v>2987</v>
      </c>
      <c r="J581" s="11" t="s">
        <v>1201</v>
      </c>
      <c r="K581" s="11" t="s">
        <v>452</v>
      </c>
      <c r="L581" s="10" t="s">
        <v>170</v>
      </c>
      <c r="M581" s="10" t="n">
        <v>83</v>
      </c>
      <c r="N581" s="10" t="n">
        <v>200</v>
      </c>
      <c r="O581" s="11" t="s">
        <v>2785</v>
      </c>
      <c r="P581" s="10" t="s">
        <v>3011</v>
      </c>
      <c r="Q581" s="11"/>
      <c r="R581" s="11" t="s">
        <v>2991</v>
      </c>
      <c r="S581" s="11"/>
      <c r="T581" s="11"/>
      <c r="U581" s="10"/>
      <c r="V581" s="11"/>
      <c r="W581" s="10"/>
      <c r="X581" s="11"/>
      <c r="Y581" s="10" t="s">
        <v>2884</v>
      </c>
      <c r="Z581" s="10" t="s">
        <v>2886</v>
      </c>
      <c r="AA581" s="11" t="s">
        <v>3548</v>
      </c>
      <c r="AB581" s="11"/>
      <c r="AC581" s="10" t="s">
        <v>2995</v>
      </c>
    </row>
    <row r="582" customFormat="false" ht="30" hidden="false" customHeight="true" outlineLevel="0" collapsed="false">
      <c r="A582" s="12" t="s">
        <v>4950</v>
      </c>
      <c r="B582" s="12" t="s">
        <v>4951</v>
      </c>
      <c r="C582" s="12" t="s">
        <v>4582</v>
      </c>
      <c r="D582" s="12" t="s">
        <v>2984</v>
      </c>
      <c r="E582" s="12" t="s">
        <v>2154</v>
      </c>
      <c r="F582" s="12" t="s">
        <v>2155</v>
      </c>
      <c r="G582" s="13" t="s">
        <v>3034</v>
      </c>
      <c r="H582" s="12" t="s">
        <v>3018</v>
      </c>
      <c r="I582" s="12" t="s">
        <v>2987</v>
      </c>
      <c r="J582" s="13" t="s">
        <v>1233</v>
      </c>
      <c r="K582" s="13" t="s">
        <v>452</v>
      </c>
      <c r="L582" s="12" t="s">
        <v>170</v>
      </c>
      <c r="M582" s="12" t="n">
        <v>69</v>
      </c>
      <c r="N582" s="12" t="n">
        <v>200</v>
      </c>
      <c r="O582" s="13" t="s">
        <v>2785</v>
      </c>
      <c r="P582" s="12" t="s">
        <v>3011</v>
      </c>
      <c r="Q582" s="13" t="s">
        <v>3025</v>
      </c>
      <c r="R582" s="13" t="s">
        <v>2991</v>
      </c>
      <c r="S582" s="13"/>
      <c r="T582" s="13" t="s">
        <v>4952</v>
      </c>
      <c r="U582" s="12"/>
      <c r="V582" s="13"/>
      <c r="W582" s="12"/>
      <c r="X582" s="13"/>
      <c r="Y582" s="12" t="s">
        <v>2888</v>
      </c>
      <c r="Z582" s="12" t="s">
        <v>1509</v>
      </c>
      <c r="AA582" s="13" t="s">
        <v>4953</v>
      </c>
      <c r="AB582" s="13"/>
      <c r="AC582" s="12" t="s">
        <v>2995</v>
      </c>
    </row>
    <row r="583" customFormat="false" ht="30" hidden="false" customHeight="true" outlineLevel="0" collapsed="false">
      <c r="A583" s="10" t="s">
        <v>4954</v>
      </c>
      <c r="B583" s="10" t="s">
        <v>4955</v>
      </c>
      <c r="C583" s="10" t="s">
        <v>4582</v>
      </c>
      <c r="D583" s="10" t="s">
        <v>2903</v>
      </c>
      <c r="E583" s="10" t="s">
        <v>2428</v>
      </c>
      <c r="F583" s="10" t="s">
        <v>1942</v>
      </c>
      <c r="G583" s="11" t="s">
        <v>3039</v>
      </c>
      <c r="H583" s="10" t="s">
        <v>3018</v>
      </c>
      <c r="I583" s="10" t="s">
        <v>2987</v>
      </c>
      <c r="J583" s="11" t="s">
        <v>1231</v>
      </c>
      <c r="K583" s="11" t="s">
        <v>452</v>
      </c>
      <c r="L583" s="10" t="s">
        <v>170</v>
      </c>
      <c r="M583" s="10" t="n">
        <v>84</v>
      </c>
      <c r="N583" s="10" t="n">
        <v>210</v>
      </c>
      <c r="O583" s="11" t="s">
        <v>2785</v>
      </c>
      <c r="P583" s="10" t="s">
        <v>3011</v>
      </c>
      <c r="Q583" s="11"/>
      <c r="R583" s="11" t="s">
        <v>2991</v>
      </c>
      <c r="S583" s="11"/>
      <c r="T583" s="11"/>
      <c r="U583" s="10"/>
      <c r="V583" s="11"/>
      <c r="W583" s="10"/>
      <c r="X583" s="11"/>
      <c r="Y583" s="10" t="s">
        <v>2884</v>
      </c>
      <c r="Z583" s="10" t="s">
        <v>2886</v>
      </c>
      <c r="AA583" s="11" t="s">
        <v>4956</v>
      </c>
      <c r="AB583" s="11"/>
      <c r="AC583" s="10" t="s">
        <v>3014</v>
      </c>
    </row>
    <row r="584" customFormat="false" ht="30" hidden="false" customHeight="true" outlineLevel="0" collapsed="false">
      <c r="A584" s="12" t="s">
        <v>4957</v>
      </c>
      <c r="B584" s="12" t="s">
        <v>4958</v>
      </c>
      <c r="C584" s="12" t="s">
        <v>4582</v>
      </c>
      <c r="D584" s="12" t="s">
        <v>2984</v>
      </c>
      <c r="E584" s="12" t="s">
        <v>2264</v>
      </c>
      <c r="F584" s="12" t="s">
        <v>2265</v>
      </c>
      <c r="G584" s="13" t="s">
        <v>3062</v>
      </c>
      <c r="H584" s="12" t="s">
        <v>3018</v>
      </c>
      <c r="I584" s="12" t="s">
        <v>3023</v>
      </c>
      <c r="J584" s="13" t="s">
        <v>1240</v>
      </c>
      <c r="K584" s="13" t="s">
        <v>452</v>
      </c>
      <c r="L584" s="12" t="s">
        <v>170</v>
      </c>
      <c r="M584" s="12" t="n">
        <v>60</v>
      </c>
      <c r="N584" s="12" t="n">
        <v>210</v>
      </c>
      <c r="O584" s="13" t="s">
        <v>2785</v>
      </c>
      <c r="P584" s="12" t="s">
        <v>3011</v>
      </c>
      <c r="Q584" s="13" t="s">
        <v>3035</v>
      </c>
      <c r="R584" s="13" t="s">
        <v>2991</v>
      </c>
      <c r="S584" s="13" t="s">
        <v>3036</v>
      </c>
      <c r="T584" s="13"/>
      <c r="U584" s="12"/>
      <c r="V584" s="13"/>
      <c r="W584" s="12"/>
      <c r="X584" s="13"/>
      <c r="Y584" s="12" t="s">
        <v>2888</v>
      </c>
      <c r="Z584" s="12" t="s">
        <v>1509</v>
      </c>
      <c r="AA584" s="13" t="s">
        <v>4450</v>
      </c>
      <c r="AB584" s="13"/>
      <c r="AC584" s="12" t="s">
        <v>2995</v>
      </c>
    </row>
    <row r="585" customFormat="false" ht="30" hidden="false" customHeight="true" outlineLevel="0" collapsed="false">
      <c r="A585" s="10" t="s">
        <v>4959</v>
      </c>
      <c r="B585" s="10" t="s">
        <v>4960</v>
      </c>
      <c r="C585" s="10" t="s">
        <v>4582</v>
      </c>
      <c r="D585" s="10" t="s">
        <v>2903</v>
      </c>
      <c r="E585" s="10" t="s">
        <v>2518</v>
      </c>
      <c r="F585" s="10" t="s">
        <v>2519</v>
      </c>
      <c r="G585" s="11" t="s">
        <v>2985</v>
      </c>
      <c r="H585" s="10" t="s">
        <v>3018</v>
      </c>
      <c r="I585" s="10" t="s">
        <v>3009</v>
      </c>
      <c r="J585" s="11" t="s">
        <v>3310</v>
      </c>
      <c r="K585" s="11" t="s">
        <v>445</v>
      </c>
      <c r="L585" s="10" t="s">
        <v>170</v>
      </c>
      <c r="M585" s="10" t="n">
        <v>86</v>
      </c>
      <c r="N585" s="10" t="n">
        <v>270</v>
      </c>
      <c r="O585" s="11" t="s">
        <v>2785</v>
      </c>
      <c r="P585" s="10" t="s">
        <v>3011</v>
      </c>
      <c r="Q585" s="11" t="s">
        <v>4085</v>
      </c>
      <c r="R585" s="11" t="s">
        <v>2991</v>
      </c>
      <c r="S585" s="11"/>
      <c r="T585" s="11"/>
      <c r="U585" s="10" t="s">
        <v>3761</v>
      </c>
      <c r="V585" s="11"/>
      <c r="W585" s="10"/>
      <c r="X585" s="11"/>
      <c r="Y585" s="10" t="s">
        <v>2884</v>
      </c>
      <c r="Z585" s="10" t="s">
        <v>2886</v>
      </c>
      <c r="AA585" s="11" t="s">
        <v>4961</v>
      </c>
      <c r="AB585" s="11"/>
      <c r="AC585" s="10" t="s">
        <v>3014</v>
      </c>
    </row>
    <row r="586" customFormat="false" ht="30" hidden="false" customHeight="true" outlineLevel="0" collapsed="false">
      <c r="A586" s="12" t="s">
        <v>4962</v>
      </c>
      <c r="B586" s="12" t="s">
        <v>4963</v>
      </c>
      <c r="C586" s="12" t="s">
        <v>4582</v>
      </c>
      <c r="D586" s="12" t="s">
        <v>2903</v>
      </c>
      <c r="E586" s="12" t="s">
        <v>2435</v>
      </c>
      <c r="F586" s="12" t="s">
        <v>2436</v>
      </c>
      <c r="G586" s="13" t="s">
        <v>3058</v>
      </c>
      <c r="H586" s="12" t="s">
        <v>3018</v>
      </c>
      <c r="I586" s="12" t="s">
        <v>3009</v>
      </c>
      <c r="J586" s="13" t="s">
        <v>1037</v>
      </c>
      <c r="K586" s="13" t="s">
        <v>445</v>
      </c>
      <c r="L586" s="12" t="s">
        <v>170</v>
      </c>
      <c r="M586" s="12" t="n">
        <v>85</v>
      </c>
      <c r="N586" s="12" t="n">
        <v>260</v>
      </c>
      <c r="O586" s="13" t="s">
        <v>2785</v>
      </c>
      <c r="P586" s="12" t="s">
        <v>3011</v>
      </c>
      <c r="Q586" s="13" t="s">
        <v>4964</v>
      </c>
      <c r="R586" s="13" t="s">
        <v>2991</v>
      </c>
      <c r="S586" s="13"/>
      <c r="T586" s="13"/>
      <c r="U586" s="12" t="s">
        <v>3761</v>
      </c>
      <c r="V586" s="13"/>
      <c r="W586" s="12" t="s">
        <v>4965</v>
      </c>
      <c r="X586" s="13"/>
      <c r="Y586" s="12" t="s">
        <v>2884</v>
      </c>
      <c r="Z586" s="12" t="s">
        <v>2886</v>
      </c>
      <c r="AA586" s="13" t="s">
        <v>3640</v>
      </c>
      <c r="AB586" s="13"/>
      <c r="AC586" s="12" t="s">
        <v>3014</v>
      </c>
    </row>
    <row r="587" customFormat="false" ht="30" hidden="false" customHeight="true" outlineLevel="0" collapsed="false">
      <c r="A587" s="10" t="s">
        <v>4966</v>
      </c>
      <c r="B587" s="10" t="s">
        <v>4967</v>
      </c>
      <c r="C587" s="10" t="s">
        <v>4582</v>
      </c>
      <c r="D587" s="10" t="s">
        <v>2984</v>
      </c>
      <c r="E587" s="10" t="s">
        <v>2246</v>
      </c>
      <c r="F587" s="10" t="s">
        <v>2247</v>
      </c>
      <c r="G587" s="11" t="s">
        <v>3048</v>
      </c>
      <c r="H587" s="10" t="s">
        <v>3049</v>
      </c>
      <c r="I587" s="10" t="s">
        <v>2987</v>
      </c>
      <c r="J587" s="11" t="s">
        <v>1168</v>
      </c>
      <c r="K587" s="11" t="s">
        <v>426</v>
      </c>
      <c r="L587" s="10" t="s">
        <v>170</v>
      </c>
      <c r="M587" s="10" t="n">
        <v>83</v>
      </c>
      <c r="N587" s="10" t="n">
        <v>200</v>
      </c>
      <c r="O587" s="11" t="s">
        <v>2785</v>
      </c>
      <c r="P587" s="10" t="s">
        <v>3011</v>
      </c>
      <c r="Q587" s="11"/>
      <c r="R587" s="11" t="s">
        <v>2991</v>
      </c>
      <c r="S587" s="11"/>
      <c r="T587" s="11"/>
      <c r="U587" s="10"/>
      <c r="V587" s="11"/>
      <c r="W587" s="10"/>
      <c r="X587" s="11"/>
      <c r="Y587" s="10" t="s">
        <v>2884</v>
      </c>
      <c r="Z587" s="10" t="s">
        <v>2886</v>
      </c>
      <c r="AA587" s="11" t="s">
        <v>3995</v>
      </c>
      <c r="AB587" s="11"/>
      <c r="AC587" s="10" t="s">
        <v>2995</v>
      </c>
    </row>
    <row r="588" customFormat="false" ht="30" hidden="false" customHeight="true" outlineLevel="0" collapsed="false">
      <c r="A588" s="12" t="s">
        <v>4968</v>
      </c>
      <c r="B588" s="12" t="s">
        <v>4969</v>
      </c>
      <c r="C588" s="12" t="s">
        <v>4582</v>
      </c>
      <c r="D588" s="12" t="s">
        <v>2903</v>
      </c>
      <c r="E588" s="12" t="s">
        <v>2538</v>
      </c>
      <c r="F588" s="12" t="s">
        <v>2539</v>
      </c>
      <c r="G588" s="13" t="s">
        <v>3084</v>
      </c>
      <c r="H588" s="12" t="s">
        <v>3018</v>
      </c>
      <c r="I588" s="12" t="s">
        <v>3023</v>
      </c>
      <c r="J588" s="13" t="s">
        <v>1240</v>
      </c>
      <c r="K588" s="13" t="s">
        <v>452</v>
      </c>
      <c r="L588" s="12" t="s">
        <v>191</v>
      </c>
      <c r="M588" s="12" t="n">
        <v>46</v>
      </c>
      <c r="N588" s="12" t="n">
        <v>200</v>
      </c>
      <c r="O588" s="13" t="s">
        <v>3000</v>
      </c>
      <c r="P588" s="12" t="s">
        <v>2989</v>
      </c>
      <c r="Q588" s="13"/>
      <c r="R588" s="13" t="s">
        <v>2991</v>
      </c>
      <c r="S588" s="13"/>
      <c r="T588" s="13"/>
      <c r="U588" s="12"/>
      <c r="V588" s="13"/>
      <c r="W588" s="12"/>
      <c r="X588" s="13"/>
      <c r="Y588" s="12" t="s">
        <v>2888</v>
      </c>
      <c r="Z588" s="12" t="s">
        <v>1509</v>
      </c>
      <c r="AA588" s="13" t="s">
        <v>4532</v>
      </c>
      <c r="AB588" s="13"/>
      <c r="AC588" s="12" t="s">
        <v>3014</v>
      </c>
    </row>
    <row r="589" customFormat="false" ht="30" hidden="false" customHeight="true" outlineLevel="0" collapsed="false">
      <c r="A589" s="10" t="s">
        <v>4970</v>
      </c>
      <c r="B589" s="10" t="s">
        <v>4971</v>
      </c>
      <c r="C589" s="10" t="s">
        <v>4582</v>
      </c>
      <c r="D589" s="10" t="s">
        <v>2903</v>
      </c>
      <c r="E589" s="10" t="s">
        <v>2415</v>
      </c>
      <c r="F589" s="10" t="s">
        <v>2416</v>
      </c>
      <c r="G589" s="11" t="s">
        <v>3112</v>
      </c>
      <c r="H589" s="10" t="s">
        <v>3008</v>
      </c>
      <c r="I589" s="10" t="s">
        <v>2987</v>
      </c>
      <c r="J589" s="11" t="s">
        <v>975</v>
      </c>
      <c r="K589" s="11" t="s">
        <v>438</v>
      </c>
      <c r="L589" s="10" t="s">
        <v>191</v>
      </c>
      <c r="M589" s="10" t="n">
        <v>50</v>
      </c>
      <c r="N589" s="10" t="n">
        <v>490</v>
      </c>
      <c r="O589" s="11" t="s">
        <v>3024</v>
      </c>
      <c r="P589" s="10" t="s">
        <v>2989</v>
      </c>
      <c r="Q589" s="11"/>
      <c r="R589" s="11" t="s">
        <v>2991</v>
      </c>
      <c r="S589" s="11"/>
      <c r="T589" s="11"/>
      <c r="U589" s="10"/>
      <c r="V589" s="11"/>
      <c r="W589" s="10"/>
      <c r="X589" s="11"/>
      <c r="Y589" s="10" t="s">
        <v>2888</v>
      </c>
      <c r="Z589" s="10" t="s">
        <v>1509</v>
      </c>
      <c r="AA589" s="11" t="s">
        <v>4393</v>
      </c>
      <c r="AB589" s="11"/>
      <c r="AC589" s="10" t="s">
        <v>3589</v>
      </c>
    </row>
    <row r="590" customFormat="false" ht="30" hidden="false" customHeight="true" outlineLevel="0" collapsed="false">
      <c r="A590" s="12" t="s">
        <v>4972</v>
      </c>
      <c r="B590" s="12" t="s">
        <v>4973</v>
      </c>
      <c r="C590" s="12" t="s">
        <v>4582</v>
      </c>
      <c r="D590" s="12" t="s">
        <v>2903</v>
      </c>
      <c r="E590" s="12" t="s">
        <v>2483</v>
      </c>
      <c r="F590" s="12" t="s">
        <v>2484</v>
      </c>
      <c r="G590" s="13" t="s">
        <v>3065</v>
      </c>
      <c r="H590" s="12" t="s">
        <v>3049</v>
      </c>
      <c r="I590" s="12" t="s">
        <v>2987</v>
      </c>
      <c r="J590" s="13" t="s">
        <v>1168</v>
      </c>
      <c r="K590" s="13" t="s">
        <v>426</v>
      </c>
      <c r="L590" s="12" t="s">
        <v>191</v>
      </c>
      <c r="M590" s="12" t="n">
        <v>49</v>
      </c>
      <c r="N590" s="12" t="n">
        <v>480</v>
      </c>
      <c r="O590" s="13" t="s">
        <v>3024</v>
      </c>
      <c r="P590" s="12" t="s">
        <v>2989</v>
      </c>
      <c r="Q590" s="13"/>
      <c r="R590" s="13" t="s">
        <v>2991</v>
      </c>
      <c r="S590" s="13"/>
      <c r="T590" s="13"/>
      <c r="U590" s="12"/>
      <c r="V590" s="13"/>
      <c r="W590" s="12"/>
      <c r="X590" s="13"/>
      <c r="Y590" s="12" t="s">
        <v>2888</v>
      </c>
      <c r="Z590" s="12" t="s">
        <v>1509</v>
      </c>
      <c r="AA590" s="13" t="s">
        <v>4974</v>
      </c>
      <c r="AB590" s="13"/>
      <c r="AC590" s="12" t="s">
        <v>3014</v>
      </c>
    </row>
    <row r="591" customFormat="false" ht="30" hidden="false" customHeight="true" outlineLevel="0" collapsed="false">
      <c r="A591" s="10" t="s">
        <v>4975</v>
      </c>
      <c r="B591" s="10" t="s">
        <v>4976</v>
      </c>
      <c r="C591" s="10" t="s">
        <v>4582</v>
      </c>
      <c r="D591" s="10" t="s">
        <v>2984</v>
      </c>
      <c r="E591" s="10" t="s">
        <v>2206</v>
      </c>
      <c r="F591" s="10" t="s">
        <v>2207</v>
      </c>
      <c r="G591" s="11" t="s">
        <v>3071</v>
      </c>
      <c r="H591" s="10" t="s">
        <v>3072</v>
      </c>
      <c r="I591" s="10" t="s">
        <v>3073</v>
      </c>
      <c r="J591" s="11" t="s">
        <v>1291</v>
      </c>
      <c r="K591" s="11" t="s">
        <v>452</v>
      </c>
      <c r="L591" s="10" t="s">
        <v>170</v>
      </c>
      <c r="M591" s="10" t="n">
        <v>84</v>
      </c>
      <c r="N591" s="10" t="n">
        <v>220</v>
      </c>
      <c r="O591" s="11" t="s">
        <v>2785</v>
      </c>
      <c r="P591" s="10" t="s">
        <v>3011</v>
      </c>
      <c r="Q591" s="11" t="s">
        <v>4604</v>
      </c>
      <c r="R591" s="11" t="s">
        <v>2991</v>
      </c>
      <c r="S591" s="11"/>
      <c r="T591" s="11"/>
      <c r="U591" s="10"/>
      <c r="V591" s="11"/>
      <c r="W591" s="10" t="s">
        <v>4965</v>
      </c>
      <c r="X591" s="11"/>
      <c r="Y591" s="10" t="s">
        <v>2884</v>
      </c>
      <c r="Z591" s="10" t="s">
        <v>2886</v>
      </c>
      <c r="AA591" s="11" t="s">
        <v>4310</v>
      </c>
      <c r="AB591" s="11"/>
      <c r="AC591" s="10" t="s">
        <v>2995</v>
      </c>
    </row>
    <row r="592" customFormat="false" ht="30" hidden="false" customHeight="true" outlineLevel="0" collapsed="false">
      <c r="A592" s="12" t="s">
        <v>4977</v>
      </c>
      <c r="B592" s="12" t="s">
        <v>4978</v>
      </c>
      <c r="C592" s="12" t="s">
        <v>4582</v>
      </c>
      <c r="D592" s="12" t="s">
        <v>2984</v>
      </c>
      <c r="E592" s="12" t="s">
        <v>2236</v>
      </c>
      <c r="F592" s="12" t="s">
        <v>2237</v>
      </c>
      <c r="G592" s="13" t="s">
        <v>3088</v>
      </c>
      <c r="H592" s="12" t="s">
        <v>3018</v>
      </c>
      <c r="I592" s="12" t="s">
        <v>2987</v>
      </c>
      <c r="J592" s="13" t="s">
        <v>1212</v>
      </c>
      <c r="K592" s="13" t="s">
        <v>452</v>
      </c>
      <c r="L592" s="12" t="s">
        <v>170</v>
      </c>
      <c r="M592" s="12" t="n">
        <v>83</v>
      </c>
      <c r="N592" s="12" t="n">
        <v>200</v>
      </c>
      <c r="O592" s="13" t="s">
        <v>2785</v>
      </c>
      <c r="P592" s="12" t="s">
        <v>3011</v>
      </c>
      <c r="Q592" s="13"/>
      <c r="R592" s="13" t="s">
        <v>2991</v>
      </c>
      <c r="S592" s="13"/>
      <c r="T592" s="13"/>
      <c r="U592" s="12"/>
      <c r="V592" s="13"/>
      <c r="W592" s="12"/>
      <c r="X592" s="13"/>
      <c r="Y592" s="12" t="s">
        <v>2884</v>
      </c>
      <c r="Z592" s="12" t="s">
        <v>2886</v>
      </c>
      <c r="AA592" s="13" t="s">
        <v>4979</v>
      </c>
      <c r="AB592" s="13"/>
      <c r="AC592" s="12" t="s">
        <v>2995</v>
      </c>
    </row>
    <row r="593" customFormat="false" ht="30" hidden="false" customHeight="true" outlineLevel="0" collapsed="false">
      <c r="A593" s="10" t="s">
        <v>4980</v>
      </c>
      <c r="B593" s="10" t="s">
        <v>4981</v>
      </c>
      <c r="C593" s="10" t="s">
        <v>4582</v>
      </c>
      <c r="D593" s="10" t="s">
        <v>2984</v>
      </c>
      <c r="E593" s="10" t="s">
        <v>2112</v>
      </c>
      <c r="F593" s="10" t="s">
        <v>2113</v>
      </c>
      <c r="G593" s="11" t="s">
        <v>3029</v>
      </c>
      <c r="H593" s="10" t="s">
        <v>3049</v>
      </c>
      <c r="I593" s="10" t="s">
        <v>2987</v>
      </c>
      <c r="J593" s="11" t="s">
        <v>1168</v>
      </c>
      <c r="K593" s="11" t="s">
        <v>452</v>
      </c>
      <c r="L593" s="10" t="s">
        <v>170</v>
      </c>
      <c r="M593" s="10" t="n">
        <v>86</v>
      </c>
      <c r="N593" s="10" t="n">
        <v>260</v>
      </c>
      <c r="O593" s="11" t="s">
        <v>2785</v>
      </c>
      <c r="P593" s="10" t="s">
        <v>3011</v>
      </c>
      <c r="Q593" s="11"/>
      <c r="R593" s="11" t="s">
        <v>2991</v>
      </c>
      <c r="S593" s="11"/>
      <c r="T593" s="11"/>
      <c r="U593" s="10"/>
      <c r="V593" s="11"/>
      <c r="W593" s="10"/>
      <c r="X593" s="11" t="s">
        <v>4982</v>
      </c>
      <c r="Y593" s="10" t="s">
        <v>2897</v>
      </c>
      <c r="Z593" s="10" t="s">
        <v>2898</v>
      </c>
      <c r="AA593" s="11" t="s">
        <v>4983</v>
      </c>
      <c r="AB593" s="11"/>
      <c r="AC593" s="10" t="s">
        <v>2995</v>
      </c>
    </row>
    <row r="594" customFormat="false" ht="30" hidden="false" customHeight="true" outlineLevel="0" collapsed="false">
      <c r="A594" s="12" t="s">
        <v>4984</v>
      </c>
      <c r="B594" s="12" t="s">
        <v>4985</v>
      </c>
      <c r="C594" s="12" t="s">
        <v>4582</v>
      </c>
      <c r="D594" s="12" t="s">
        <v>2984</v>
      </c>
      <c r="E594" s="12" t="s">
        <v>2102</v>
      </c>
      <c r="F594" s="12" t="s">
        <v>2103</v>
      </c>
      <c r="G594" s="13" t="s">
        <v>3092</v>
      </c>
      <c r="H594" s="12" t="s">
        <v>3018</v>
      </c>
      <c r="I594" s="12" t="s">
        <v>3093</v>
      </c>
      <c r="J594" s="13" t="s">
        <v>1283</v>
      </c>
      <c r="K594" s="13" t="s">
        <v>452</v>
      </c>
      <c r="L594" s="12" t="s">
        <v>170</v>
      </c>
      <c r="M594" s="12" t="n">
        <v>83</v>
      </c>
      <c r="N594" s="12" t="n">
        <v>200</v>
      </c>
      <c r="O594" s="13" t="s">
        <v>2785</v>
      </c>
      <c r="P594" s="12" t="s">
        <v>3011</v>
      </c>
      <c r="Q594" s="13"/>
      <c r="R594" s="13" t="s">
        <v>2991</v>
      </c>
      <c r="S594" s="13"/>
      <c r="T594" s="13"/>
      <c r="U594" s="12"/>
      <c r="V594" s="13"/>
      <c r="W594" s="12"/>
      <c r="X594" s="13"/>
      <c r="Y594" s="12" t="s">
        <v>2884</v>
      </c>
      <c r="Z594" s="12" t="s">
        <v>2886</v>
      </c>
      <c r="AA594" s="13" t="s">
        <v>4986</v>
      </c>
      <c r="AB594" s="13"/>
      <c r="AC594" s="12" t="s">
        <v>2995</v>
      </c>
    </row>
    <row r="595" customFormat="false" ht="30" hidden="false" customHeight="true" outlineLevel="0" collapsed="false">
      <c r="A595" s="10" t="s">
        <v>4987</v>
      </c>
      <c r="B595" s="10" t="s">
        <v>4988</v>
      </c>
      <c r="C595" s="10" t="s">
        <v>4582</v>
      </c>
      <c r="D595" s="10" t="s">
        <v>2903</v>
      </c>
      <c r="E595" s="10" t="s">
        <v>2483</v>
      </c>
      <c r="F595" s="10" t="s">
        <v>2484</v>
      </c>
      <c r="G595" s="11" t="s">
        <v>3022</v>
      </c>
      <c r="H595" s="10" t="s">
        <v>3018</v>
      </c>
      <c r="I595" s="10" t="s">
        <v>3023</v>
      </c>
      <c r="J595" s="11" t="s">
        <v>1253</v>
      </c>
      <c r="K595" s="11" t="s">
        <v>452</v>
      </c>
      <c r="L595" s="10" t="s">
        <v>191</v>
      </c>
      <c r="M595" s="10" t="n">
        <v>48</v>
      </c>
      <c r="N595" s="10" t="n">
        <v>490</v>
      </c>
      <c r="O595" s="11" t="s">
        <v>3024</v>
      </c>
      <c r="P595" s="10" t="s">
        <v>2989</v>
      </c>
      <c r="Q595" s="11"/>
      <c r="R595" s="11" t="s">
        <v>2991</v>
      </c>
      <c r="S595" s="11"/>
      <c r="T595" s="11"/>
      <c r="U595" s="10"/>
      <c r="V595" s="11"/>
      <c r="W595" s="10"/>
      <c r="X595" s="11"/>
      <c r="Y595" s="10" t="s">
        <v>2888</v>
      </c>
      <c r="Z595" s="10" t="s">
        <v>1509</v>
      </c>
      <c r="AA595" s="11" t="s">
        <v>4064</v>
      </c>
      <c r="AB595" s="11"/>
      <c r="AC595" s="10" t="s">
        <v>3014</v>
      </c>
    </row>
    <row r="596" customFormat="false" ht="30" hidden="false" customHeight="true" outlineLevel="0" collapsed="false">
      <c r="A596" s="12" t="s">
        <v>4989</v>
      </c>
      <c r="B596" s="12" t="s">
        <v>4990</v>
      </c>
      <c r="C596" s="12" t="s">
        <v>4582</v>
      </c>
      <c r="D596" s="12" t="s">
        <v>2903</v>
      </c>
      <c r="E596" s="12" t="s">
        <v>2479</v>
      </c>
      <c r="F596" s="12" t="s">
        <v>2480</v>
      </c>
      <c r="G596" s="13" t="s">
        <v>3080</v>
      </c>
      <c r="H596" s="12" t="s">
        <v>2999</v>
      </c>
      <c r="I596" s="12" t="s">
        <v>2987</v>
      </c>
      <c r="J596" s="13" t="s">
        <v>1094</v>
      </c>
      <c r="K596" s="13" t="s">
        <v>455</v>
      </c>
      <c r="L596" s="12" t="s">
        <v>170</v>
      </c>
      <c r="M596" s="12" t="n">
        <v>69</v>
      </c>
      <c r="N596" s="12" t="n">
        <v>210</v>
      </c>
      <c r="O596" s="13" t="s">
        <v>2785</v>
      </c>
      <c r="P596" s="12" t="s">
        <v>3011</v>
      </c>
      <c r="Q596" s="13" t="s">
        <v>3025</v>
      </c>
      <c r="R596" s="13" t="s">
        <v>2991</v>
      </c>
      <c r="S596" s="13"/>
      <c r="T596" s="13" t="s">
        <v>4991</v>
      </c>
      <c r="U596" s="12"/>
      <c r="V596" s="13"/>
      <c r="W596" s="12"/>
      <c r="X596" s="13"/>
      <c r="Y596" s="12" t="s">
        <v>2888</v>
      </c>
      <c r="Z596" s="12" t="s">
        <v>1509</v>
      </c>
      <c r="AA596" s="13" t="s">
        <v>4992</v>
      </c>
      <c r="AB596" s="13"/>
      <c r="AC596" s="12" t="s">
        <v>2995</v>
      </c>
    </row>
    <row r="597" customFormat="false" ht="30" hidden="false" customHeight="true" outlineLevel="0" collapsed="false">
      <c r="A597" s="10" t="s">
        <v>4993</v>
      </c>
      <c r="B597" s="10" t="s">
        <v>4994</v>
      </c>
      <c r="C597" s="10" t="s">
        <v>4582</v>
      </c>
      <c r="D597" s="10" t="s">
        <v>2984</v>
      </c>
      <c r="E597" s="10" t="s">
        <v>2356</v>
      </c>
      <c r="F597" s="10" t="s">
        <v>2357</v>
      </c>
      <c r="G597" s="11" t="s">
        <v>3062</v>
      </c>
      <c r="H597" s="10" t="s">
        <v>3018</v>
      </c>
      <c r="I597" s="10" t="s">
        <v>2987</v>
      </c>
      <c r="J597" s="11" t="s">
        <v>1212</v>
      </c>
      <c r="K597" s="11" t="s">
        <v>452</v>
      </c>
      <c r="L597" s="10" t="s">
        <v>170</v>
      </c>
      <c r="M597" s="10" t="n">
        <v>83</v>
      </c>
      <c r="N597" s="10" t="n">
        <v>210</v>
      </c>
      <c r="O597" s="11" t="s">
        <v>2785</v>
      </c>
      <c r="P597" s="10" t="s">
        <v>3011</v>
      </c>
      <c r="Q597" s="11" t="s">
        <v>4604</v>
      </c>
      <c r="R597" s="11" t="s">
        <v>2991</v>
      </c>
      <c r="S597" s="11"/>
      <c r="T597" s="11"/>
      <c r="U597" s="10"/>
      <c r="V597" s="11"/>
      <c r="W597" s="10" t="s">
        <v>4755</v>
      </c>
      <c r="X597" s="11"/>
      <c r="Y597" s="10" t="s">
        <v>2884</v>
      </c>
      <c r="Z597" s="10" t="s">
        <v>2886</v>
      </c>
      <c r="AA597" s="11" t="s">
        <v>4877</v>
      </c>
      <c r="AB597" s="11"/>
      <c r="AC597" s="10" t="s">
        <v>2995</v>
      </c>
    </row>
    <row r="598" customFormat="false" ht="30" hidden="false" customHeight="true" outlineLevel="0" collapsed="false">
      <c r="A598" s="12" t="s">
        <v>4995</v>
      </c>
      <c r="B598" s="12" t="s">
        <v>4996</v>
      </c>
      <c r="C598" s="12" t="s">
        <v>4582</v>
      </c>
      <c r="D598" s="12" t="s">
        <v>2903</v>
      </c>
      <c r="E598" s="12" t="s">
        <v>2431</v>
      </c>
      <c r="F598" s="12" t="s">
        <v>2432</v>
      </c>
      <c r="G598" s="13" t="s">
        <v>3053</v>
      </c>
      <c r="H598" s="12" t="s">
        <v>3018</v>
      </c>
      <c r="I598" s="12" t="s">
        <v>3023</v>
      </c>
      <c r="J598" s="13" t="s">
        <v>1244</v>
      </c>
      <c r="K598" s="13" t="s">
        <v>452</v>
      </c>
      <c r="L598" s="12" t="s">
        <v>191</v>
      </c>
      <c r="M598" s="12" t="n">
        <v>46</v>
      </c>
      <c r="N598" s="12" t="n">
        <v>200</v>
      </c>
      <c r="O598" s="13" t="s">
        <v>3000</v>
      </c>
      <c r="P598" s="12" t="s">
        <v>2989</v>
      </c>
      <c r="Q598" s="13"/>
      <c r="R598" s="13" t="s">
        <v>2991</v>
      </c>
      <c r="S598" s="13"/>
      <c r="T598" s="13"/>
      <c r="U598" s="12"/>
      <c r="V598" s="13"/>
      <c r="W598" s="12"/>
      <c r="X598" s="13" t="s">
        <v>4997</v>
      </c>
      <c r="Y598" s="12" t="s">
        <v>2888</v>
      </c>
      <c r="Z598" s="12" t="s">
        <v>1509</v>
      </c>
      <c r="AA598" s="13" t="s">
        <v>4998</v>
      </c>
      <c r="AB598" s="13"/>
      <c r="AC598" s="12" t="s">
        <v>3014</v>
      </c>
    </row>
    <row r="599" customFormat="false" ht="30" hidden="false" customHeight="true" outlineLevel="0" collapsed="false">
      <c r="A599" s="10" t="s">
        <v>4999</v>
      </c>
      <c r="B599" s="10" t="s">
        <v>5000</v>
      </c>
      <c r="C599" s="10" t="s">
        <v>4582</v>
      </c>
      <c r="D599" s="10" t="s">
        <v>2984</v>
      </c>
      <c r="E599" s="10" t="s">
        <v>2124</v>
      </c>
      <c r="F599" s="10" t="s">
        <v>2125</v>
      </c>
      <c r="G599" s="11" t="s">
        <v>3058</v>
      </c>
      <c r="H599" s="10" t="s">
        <v>3072</v>
      </c>
      <c r="I599" s="10" t="s">
        <v>3073</v>
      </c>
      <c r="J599" s="11" t="s">
        <v>1303</v>
      </c>
      <c r="K599" s="11" t="s">
        <v>452</v>
      </c>
      <c r="L599" s="10" t="s">
        <v>170</v>
      </c>
      <c r="M599" s="10" t="n">
        <v>84</v>
      </c>
      <c r="N599" s="10" t="n">
        <v>210</v>
      </c>
      <c r="O599" s="11" t="s">
        <v>2785</v>
      </c>
      <c r="P599" s="10" t="s">
        <v>3011</v>
      </c>
      <c r="Q599" s="11"/>
      <c r="R599" s="11" t="s">
        <v>2991</v>
      </c>
      <c r="S599" s="11"/>
      <c r="T599" s="11"/>
      <c r="U599" s="10"/>
      <c r="V599" s="11"/>
      <c r="W599" s="10"/>
      <c r="X599" s="11"/>
      <c r="Y599" s="10" t="s">
        <v>2884</v>
      </c>
      <c r="Z599" s="10" t="s">
        <v>2886</v>
      </c>
      <c r="AA599" s="11" t="s">
        <v>4405</v>
      </c>
      <c r="AB599" s="11"/>
      <c r="AC599" s="10" t="s">
        <v>2995</v>
      </c>
    </row>
    <row r="600" customFormat="false" ht="30" hidden="false" customHeight="true" outlineLevel="0" collapsed="false">
      <c r="A600" s="12" t="s">
        <v>5001</v>
      </c>
      <c r="B600" s="12" t="s">
        <v>5002</v>
      </c>
      <c r="C600" s="12" t="s">
        <v>4582</v>
      </c>
      <c r="D600" s="12" t="s">
        <v>2984</v>
      </c>
      <c r="E600" s="12" t="s">
        <v>2256</v>
      </c>
      <c r="F600" s="12" t="s">
        <v>2257</v>
      </c>
      <c r="G600" s="13" t="s">
        <v>3048</v>
      </c>
      <c r="H600" s="12" t="s">
        <v>3018</v>
      </c>
      <c r="I600" s="12" t="s">
        <v>3023</v>
      </c>
      <c r="J600" s="13" t="s">
        <v>1259</v>
      </c>
      <c r="K600" s="13" t="s">
        <v>452</v>
      </c>
      <c r="L600" s="12" t="s">
        <v>170</v>
      </c>
      <c r="M600" s="12" t="n">
        <v>83</v>
      </c>
      <c r="N600" s="12" t="n">
        <v>200</v>
      </c>
      <c r="O600" s="13" t="s">
        <v>2785</v>
      </c>
      <c r="P600" s="12" t="s">
        <v>3011</v>
      </c>
      <c r="Q600" s="13"/>
      <c r="R600" s="13" t="s">
        <v>2991</v>
      </c>
      <c r="S600" s="13"/>
      <c r="T600" s="13"/>
      <c r="U600" s="12"/>
      <c r="V600" s="13"/>
      <c r="W600" s="12"/>
      <c r="X600" s="13"/>
      <c r="Y600" s="12" t="s">
        <v>2884</v>
      </c>
      <c r="Z600" s="12" t="s">
        <v>2886</v>
      </c>
      <c r="AA600" s="13" t="s">
        <v>5003</v>
      </c>
      <c r="AB600" s="13"/>
      <c r="AC600" s="12" t="s">
        <v>2995</v>
      </c>
    </row>
    <row r="601" customFormat="false" ht="30" hidden="false" customHeight="true" outlineLevel="0" collapsed="false">
      <c r="A601" s="10" t="s">
        <v>5004</v>
      </c>
      <c r="B601" s="10" t="s">
        <v>5005</v>
      </c>
      <c r="C601" s="10" t="s">
        <v>4582</v>
      </c>
      <c r="D601" s="10" t="s">
        <v>2984</v>
      </c>
      <c r="E601" s="10" t="s">
        <v>2190</v>
      </c>
      <c r="F601" s="10" t="s">
        <v>2191</v>
      </c>
      <c r="G601" s="11" t="s">
        <v>3007</v>
      </c>
      <c r="H601" s="10" t="s">
        <v>3049</v>
      </c>
      <c r="I601" s="10" t="s">
        <v>2987</v>
      </c>
      <c r="J601" s="11" t="s">
        <v>1168</v>
      </c>
      <c r="K601" s="11" t="s">
        <v>414</v>
      </c>
      <c r="L601" s="10" t="s">
        <v>170</v>
      </c>
      <c r="M601" s="10" t="n">
        <v>84</v>
      </c>
      <c r="N601" s="10" t="n">
        <v>220</v>
      </c>
      <c r="O601" s="11" t="s">
        <v>2785</v>
      </c>
      <c r="P601" s="10" t="s">
        <v>3041</v>
      </c>
      <c r="Q601" s="11" t="s">
        <v>3237</v>
      </c>
      <c r="R601" s="11" t="s">
        <v>2991</v>
      </c>
      <c r="S601" s="11"/>
      <c r="T601" s="11"/>
      <c r="U601" s="10"/>
      <c r="V601" s="11"/>
      <c r="W601" s="10" t="s">
        <v>3445</v>
      </c>
      <c r="X601" s="11"/>
      <c r="Y601" s="10" t="s">
        <v>2824</v>
      </c>
      <c r="Z601" s="10" t="s">
        <v>2892</v>
      </c>
      <c r="AA601" s="11" t="s">
        <v>5006</v>
      </c>
      <c r="AB601" s="11"/>
      <c r="AC601" s="10" t="s">
        <v>2995</v>
      </c>
    </row>
    <row r="602" customFormat="false" ht="30" hidden="false" customHeight="true" outlineLevel="0" collapsed="false">
      <c r="A602" s="12" t="s">
        <v>5007</v>
      </c>
      <c r="B602" s="12" t="s">
        <v>5008</v>
      </c>
      <c r="C602" s="12" t="s">
        <v>4582</v>
      </c>
      <c r="D602" s="12" t="s">
        <v>2984</v>
      </c>
      <c r="E602" s="12" t="s">
        <v>2252</v>
      </c>
      <c r="F602" s="12" t="s">
        <v>2253</v>
      </c>
      <c r="G602" s="13" t="s">
        <v>3088</v>
      </c>
      <c r="H602" s="12" t="s">
        <v>3018</v>
      </c>
      <c r="I602" s="12" t="s">
        <v>3023</v>
      </c>
      <c r="J602" s="13" t="s">
        <v>1253</v>
      </c>
      <c r="K602" s="13" t="s">
        <v>452</v>
      </c>
      <c r="L602" s="12" t="s">
        <v>170</v>
      </c>
      <c r="M602" s="12" t="n">
        <v>84</v>
      </c>
      <c r="N602" s="12" t="n">
        <v>210</v>
      </c>
      <c r="O602" s="13" t="s">
        <v>2785</v>
      </c>
      <c r="P602" s="12" t="s">
        <v>3011</v>
      </c>
      <c r="Q602" s="13" t="s">
        <v>4604</v>
      </c>
      <c r="R602" s="13" t="s">
        <v>2991</v>
      </c>
      <c r="S602" s="13"/>
      <c r="T602" s="13"/>
      <c r="U602" s="12"/>
      <c r="V602" s="13"/>
      <c r="W602" s="12" t="s">
        <v>4881</v>
      </c>
      <c r="X602" s="13"/>
      <c r="Y602" s="12" t="s">
        <v>2884</v>
      </c>
      <c r="Z602" s="12" t="s">
        <v>2886</v>
      </c>
      <c r="AA602" s="13" t="s">
        <v>4621</v>
      </c>
      <c r="AB602" s="13"/>
      <c r="AC602" s="12" t="s">
        <v>2995</v>
      </c>
    </row>
    <row r="603" customFormat="false" ht="30" hidden="false" customHeight="true" outlineLevel="0" collapsed="false">
      <c r="A603" s="10" t="s">
        <v>5009</v>
      </c>
      <c r="B603" s="10" t="s">
        <v>5010</v>
      </c>
      <c r="C603" s="10" t="s">
        <v>4582</v>
      </c>
      <c r="D603" s="10" t="s">
        <v>2903</v>
      </c>
      <c r="E603" s="10" t="s">
        <v>2479</v>
      </c>
      <c r="F603" s="10" t="s">
        <v>2480</v>
      </c>
      <c r="G603" s="11" t="s">
        <v>3065</v>
      </c>
      <c r="H603" s="10" t="s">
        <v>3018</v>
      </c>
      <c r="I603" s="10" t="s">
        <v>3023</v>
      </c>
      <c r="J603" s="11" t="s">
        <v>1259</v>
      </c>
      <c r="K603" s="11" t="s">
        <v>452</v>
      </c>
      <c r="L603" s="10" t="s">
        <v>191</v>
      </c>
      <c r="M603" s="10" t="n">
        <v>44</v>
      </c>
      <c r="N603" s="10" t="n">
        <v>500</v>
      </c>
      <c r="O603" s="11" t="s">
        <v>3024</v>
      </c>
      <c r="P603" s="10" t="s">
        <v>2989</v>
      </c>
      <c r="Q603" s="11" t="s">
        <v>5011</v>
      </c>
      <c r="R603" s="11" t="s">
        <v>3055</v>
      </c>
      <c r="S603" s="11"/>
      <c r="T603" s="11"/>
      <c r="U603" s="10" t="s">
        <v>4768</v>
      </c>
      <c r="V603" s="11"/>
      <c r="W603" s="10"/>
      <c r="X603" s="11"/>
      <c r="Y603" s="10" t="s">
        <v>2888</v>
      </c>
      <c r="Z603" s="10" t="s">
        <v>1509</v>
      </c>
      <c r="AA603" s="11" t="s">
        <v>5012</v>
      </c>
      <c r="AB603" s="11"/>
      <c r="AC603" s="10" t="s">
        <v>3014</v>
      </c>
    </row>
    <row r="604" customFormat="false" ht="30" hidden="false" customHeight="true" outlineLevel="0" collapsed="false">
      <c r="A604" s="12" t="s">
        <v>5013</v>
      </c>
      <c r="B604" s="12" t="s">
        <v>5014</v>
      </c>
      <c r="C604" s="12" t="s">
        <v>4582</v>
      </c>
      <c r="D604" s="12" t="s">
        <v>2903</v>
      </c>
      <c r="E604" s="12" t="s">
        <v>2456</v>
      </c>
      <c r="F604" s="12" t="s">
        <v>2457</v>
      </c>
      <c r="G604" s="13" t="s">
        <v>2985</v>
      </c>
      <c r="H604" s="12" t="s">
        <v>3072</v>
      </c>
      <c r="I604" s="12" t="s">
        <v>3073</v>
      </c>
      <c r="J604" s="13" t="s">
        <v>3427</v>
      </c>
      <c r="K604" s="13" t="s">
        <v>455</v>
      </c>
      <c r="L604" s="12" t="s">
        <v>170</v>
      </c>
      <c r="M604" s="12" t="n">
        <v>88</v>
      </c>
      <c r="N604" s="12" t="n">
        <v>270</v>
      </c>
      <c r="O604" s="13" t="s">
        <v>2785</v>
      </c>
      <c r="P604" s="12" t="s">
        <v>2989</v>
      </c>
      <c r="Q604" s="13"/>
      <c r="R604" s="13" t="s">
        <v>2991</v>
      </c>
      <c r="S604" s="13"/>
      <c r="T604" s="13"/>
      <c r="U604" s="12"/>
      <c r="V604" s="13"/>
      <c r="W604" s="12"/>
      <c r="X604" s="13" t="s">
        <v>5015</v>
      </c>
      <c r="Y604" s="12" t="s">
        <v>2888</v>
      </c>
      <c r="Z604" s="12" t="s">
        <v>1509</v>
      </c>
      <c r="AA604" s="13" t="s">
        <v>4796</v>
      </c>
      <c r="AB604" s="13"/>
      <c r="AC604" s="12" t="s">
        <v>3014</v>
      </c>
    </row>
    <row r="605" customFormat="false" ht="15" hidden="false" customHeight="false" outlineLevel="0" collapsed="false">
      <c r="A605" s="48" t="s">
        <v>1470</v>
      </c>
      <c r="B605" s="49" t="str">
        <f aca="false">COUNTA(A5:A604)&amp;" transcripts written"</f>
        <v>600 transcripts written</v>
      </c>
      <c r="M605" s="49" t="n">
        <f aca="false">ROUND(AVERAGE(M5:M604),1)</f>
        <v>73</v>
      </c>
      <c r="N605" s="49" t="n">
        <f aca="false">ROUND(AVERAGE(N5:N604),0)</f>
        <v>343</v>
      </c>
    </row>
    <row r="607" customFormat="false" ht="39.75" hidden="false" customHeight="true" outlineLevel="0" collapsed="false">
      <c r="A607" s="48" t="s">
        <v>5016</v>
      </c>
      <c r="B607" s="50" t="s">
        <v>5017</v>
      </c>
    </row>
    <row r="608" customFormat="false" ht="43.5" hidden="false" customHeight="true" outlineLevel="0" collapsed="false">
      <c r="A608" s="48" t="s">
        <v>5018</v>
      </c>
      <c r="B608" s="51" t="s">
        <v>5019</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2"/>
    <col collapsed="false" customWidth="true" hidden="false" outlineLevel="0" max="3" min="3" style="1" width="14"/>
    <col collapsed="false" customWidth="true" hidden="false" outlineLevel="0" max="5" min="4" style="1" width="15"/>
    <col collapsed="false" customWidth="true" hidden="false" outlineLevel="0" max="6" min="6" style="1" width="10"/>
    <col collapsed="false" customWidth="true" hidden="false" outlineLevel="0" max="7" min="7" style="1" width="62"/>
  </cols>
  <sheetData>
    <row r="1" customFormat="false" ht="21.75" hidden="false" customHeight="true" outlineLevel="0" collapsed="false">
      <c r="A1" s="7" t="s">
        <v>5020</v>
      </c>
    </row>
    <row r="2" customFormat="false" ht="86.25" hidden="false" customHeight="true" outlineLevel="0" collapsed="false">
      <c r="A2" s="8" t="s">
        <v>5021</v>
      </c>
      <c r="B2" s="8"/>
      <c r="C2" s="8"/>
      <c r="D2" s="8"/>
      <c r="E2" s="8"/>
      <c r="F2" s="8"/>
      <c r="G2" s="8"/>
    </row>
    <row r="3" customFormat="false" ht="6" hidden="false" customHeight="true" outlineLevel="0" collapsed="false"/>
    <row r="4" customFormat="false" ht="31.5" hidden="false" customHeight="true" outlineLevel="0" collapsed="false">
      <c r="A4" s="9" t="s">
        <v>2762</v>
      </c>
      <c r="B4" s="9" t="s">
        <v>5022</v>
      </c>
      <c r="C4" s="9" t="s">
        <v>2852</v>
      </c>
      <c r="D4" s="9" t="s">
        <v>5023</v>
      </c>
      <c r="E4" s="9" t="s">
        <v>5024</v>
      </c>
      <c r="F4" s="9" t="s">
        <v>5025</v>
      </c>
      <c r="G4" s="9" t="s">
        <v>230</v>
      </c>
    </row>
    <row r="5" customFormat="false" ht="30" hidden="false" customHeight="true" outlineLevel="0" collapsed="false">
      <c r="A5" s="52" t="s">
        <v>5026</v>
      </c>
      <c r="B5" s="53" t="s">
        <v>5027</v>
      </c>
      <c r="C5" s="52" t="n">
        <v>600</v>
      </c>
      <c r="D5" s="52" t="n">
        <v>600</v>
      </c>
      <c r="E5" s="52" t="n">
        <v>600</v>
      </c>
      <c r="F5" s="52" t="n">
        <v>0</v>
      </c>
      <c r="G5" s="53" t="s">
        <v>5028</v>
      </c>
    </row>
    <row r="6" customFormat="false" ht="30" hidden="false" customHeight="true" outlineLevel="0" collapsed="false">
      <c r="A6" s="52" t="s">
        <v>2767</v>
      </c>
      <c r="B6" s="53" t="s">
        <v>2768</v>
      </c>
      <c r="C6" s="52" t="n">
        <v>390</v>
      </c>
      <c r="D6" s="52" t="n">
        <v>401</v>
      </c>
      <c r="E6" s="52" t="n">
        <v>390</v>
      </c>
      <c r="F6" s="52" t="n">
        <v>11</v>
      </c>
      <c r="G6" s="53" t="s">
        <v>5029</v>
      </c>
    </row>
    <row r="7" customFormat="false" ht="30" hidden="false" customHeight="true" outlineLevel="0" collapsed="false">
      <c r="A7" s="52"/>
      <c r="B7" s="53" t="s">
        <v>2771</v>
      </c>
      <c r="C7" s="52" t="n">
        <v>210</v>
      </c>
      <c r="D7" s="52" t="n">
        <v>199</v>
      </c>
      <c r="E7" s="52" t="n">
        <v>210</v>
      </c>
      <c r="F7" s="52" t="n">
        <v>-11</v>
      </c>
      <c r="G7" s="53" t="s">
        <v>5029</v>
      </c>
    </row>
    <row r="8" customFormat="false" ht="30" hidden="false" customHeight="true" outlineLevel="0" collapsed="false">
      <c r="A8" s="52" t="s">
        <v>2774</v>
      </c>
      <c r="B8" s="53" t="s">
        <v>2775</v>
      </c>
      <c r="C8" s="52" t="n">
        <v>372</v>
      </c>
      <c r="D8" s="52" t="n">
        <v>368</v>
      </c>
      <c r="E8" s="52" t="n">
        <v>372</v>
      </c>
      <c r="F8" s="52" t="n">
        <v>-4</v>
      </c>
      <c r="G8" s="53" t="s">
        <v>5030</v>
      </c>
    </row>
    <row r="9" customFormat="false" ht="30" hidden="false" customHeight="true" outlineLevel="0" collapsed="false">
      <c r="A9" s="52"/>
      <c r="B9" s="53" t="s">
        <v>2776</v>
      </c>
      <c r="C9" s="52" t="n">
        <v>72</v>
      </c>
      <c r="D9" s="52" t="n">
        <v>73</v>
      </c>
      <c r="E9" s="52" t="n">
        <v>72</v>
      </c>
      <c r="F9" s="52" t="n">
        <v>1</v>
      </c>
      <c r="G9" s="53" t="s">
        <v>5029</v>
      </c>
    </row>
    <row r="10" customFormat="false" ht="30" hidden="false" customHeight="true" outlineLevel="0" collapsed="false">
      <c r="A10" s="17"/>
      <c r="B10" s="18" t="s">
        <v>2778</v>
      </c>
      <c r="C10" s="17" t="n">
        <v>30</v>
      </c>
      <c r="D10" s="17" t="n">
        <v>34</v>
      </c>
      <c r="E10" s="17" t="n">
        <v>30</v>
      </c>
      <c r="F10" s="17" t="n">
        <v>4</v>
      </c>
      <c r="G10" s="18" t="s">
        <v>5031</v>
      </c>
    </row>
    <row r="11" customFormat="false" ht="30" hidden="false" customHeight="true" outlineLevel="0" collapsed="false">
      <c r="A11" s="52"/>
      <c r="B11" s="53" t="s">
        <v>2781</v>
      </c>
      <c r="C11" s="52" t="n">
        <v>126</v>
      </c>
      <c r="D11" s="52" t="n">
        <v>125</v>
      </c>
      <c r="E11" s="52" t="n">
        <v>126</v>
      </c>
      <c r="F11" s="52" t="n">
        <v>-1</v>
      </c>
      <c r="G11" s="53" t="s">
        <v>5032</v>
      </c>
    </row>
    <row r="12" customFormat="false" ht="30" hidden="false" customHeight="true" outlineLevel="0" collapsed="false">
      <c r="A12" s="17" t="s">
        <v>5033</v>
      </c>
      <c r="B12" s="18" t="s">
        <v>2785</v>
      </c>
      <c r="C12" s="17" t="n">
        <v>288</v>
      </c>
      <c r="D12" s="17" t="n">
        <v>348</v>
      </c>
      <c r="E12" s="17" t="n">
        <v>288</v>
      </c>
      <c r="F12" s="17" t="n">
        <v>60</v>
      </c>
      <c r="G12" s="18" t="s">
        <v>5034</v>
      </c>
    </row>
    <row r="13" customFormat="false" ht="30" hidden="false" customHeight="true" outlineLevel="0" collapsed="false">
      <c r="A13" s="17"/>
      <c r="B13" s="18" t="s">
        <v>3031</v>
      </c>
      <c r="C13" s="17" t="n">
        <v>102</v>
      </c>
      <c r="D13" s="17" t="n">
        <v>84</v>
      </c>
      <c r="E13" s="17" t="n">
        <v>102</v>
      </c>
      <c r="F13" s="17" t="n">
        <v>-18</v>
      </c>
      <c r="G13" s="18" t="s">
        <v>5035</v>
      </c>
    </row>
    <row r="14" customFormat="false" ht="30" hidden="false" customHeight="true" outlineLevel="0" collapsed="false">
      <c r="A14" s="17"/>
      <c r="B14" s="18" t="s">
        <v>3024</v>
      </c>
      <c r="C14" s="17" t="n">
        <v>84</v>
      </c>
      <c r="D14" s="17" t="n">
        <v>66</v>
      </c>
      <c r="E14" s="17" t="n">
        <v>84</v>
      </c>
      <c r="F14" s="17" t="n">
        <v>-18</v>
      </c>
      <c r="G14" s="18" t="s">
        <v>5036</v>
      </c>
    </row>
    <row r="15" customFormat="false" ht="30" hidden="false" customHeight="true" outlineLevel="0" collapsed="false">
      <c r="A15" s="17"/>
      <c r="B15" s="18" t="s">
        <v>3000</v>
      </c>
      <c r="C15" s="17" t="n">
        <v>78</v>
      </c>
      <c r="D15" s="17" t="n">
        <v>68</v>
      </c>
      <c r="E15" s="17" t="n">
        <v>78</v>
      </c>
      <c r="F15" s="17" t="n">
        <v>-10</v>
      </c>
      <c r="G15" s="18" t="s">
        <v>5029</v>
      </c>
    </row>
    <row r="16" customFormat="false" ht="30" hidden="false" customHeight="true" outlineLevel="0" collapsed="false">
      <c r="A16" s="17"/>
      <c r="B16" s="18" t="s">
        <v>5037</v>
      </c>
      <c r="C16" s="17" t="n">
        <v>48</v>
      </c>
      <c r="D16" s="17" t="n">
        <v>34</v>
      </c>
      <c r="E16" s="17" t="n">
        <v>48</v>
      </c>
      <c r="F16" s="17" t="n">
        <v>-14</v>
      </c>
      <c r="G16" s="18" t="s">
        <v>5029</v>
      </c>
    </row>
    <row r="17" customFormat="false" ht="30" hidden="false" customHeight="true" outlineLevel="0" collapsed="false">
      <c r="A17" s="52" t="s">
        <v>675</v>
      </c>
      <c r="B17" s="53" t="s">
        <v>1544</v>
      </c>
      <c r="C17" s="52" t="n">
        <v>270</v>
      </c>
      <c r="D17" s="52" t="n">
        <v>263</v>
      </c>
      <c r="E17" s="52" t="n">
        <v>270</v>
      </c>
      <c r="F17" s="52" t="n">
        <v>-7</v>
      </c>
      <c r="G17" s="53" t="s">
        <v>5029</v>
      </c>
    </row>
    <row r="18" customFormat="false" ht="30" hidden="false" customHeight="true" outlineLevel="0" collapsed="false">
      <c r="A18" s="52"/>
      <c r="B18" s="53" t="s">
        <v>1808</v>
      </c>
      <c r="C18" s="52" t="n">
        <v>132</v>
      </c>
      <c r="D18" s="52" t="n">
        <v>129</v>
      </c>
      <c r="E18" s="52" t="n">
        <v>132</v>
      </c>
      <c r="F18" s="52" t="n">
        <v>-3</v>
      </c>
      <c r="G18" s="53" t="s">
        <v>5038</v>
      </c>
    </row>
    <row r="19" customFormat="false" ht="30" hidden="false" customHeight="true" outlineLevel="0" collapsed="false">
      <c r="A19" s="52"/>
      <c r="B19" s="53" t="s">
        <v>1991</v>
      </c>
      <c r="C19" s="52" t="n">
        <v>78</v>
      </c>
      <c r="D19" s="52" t="n">
        <v>73</v>
      </c>
      <c r="E19" s="52" t="n">
        <v>78</v>
      </c>
      <c r="F19" s="52" t="n">
        <v>-5</v>
      </c>
      <c r="G19" s="53" t="s">
        <v>5039</v>
      </c>
    </row>
    <row r="20" customFormat="false" ht="30" hidden="false" customHeight="true" outlineLevel="0" collapsed="false">
      <c r="A20" s="52"/>
      <c r="B20" s="53" t="s">
        <v>5040</v>
      </c>
      <c r="C20" s="52" t="n">
        <v>53</v>
      </c>
      <c r="D20" s="52" t="n">
        <v>52</v>
      </c>
      <c r="E20" s="52" t="n">
        <v>53</v>
      </c>
      <c r="F20" s="52" t="n">
        <v>-1</v>
      </c>
      <c r="G20" s="53" t="s">
        <v>5041</v>
      </c>
    </row>
    <row r="21" customFormat="false" ht="30" hidden="false" customHeight="true" outlineLevel="0" collapsed="false">
      <c r="A21" s="17"/>
      <c r="B21" s="18" t="s">
        <v>5042</v>
      </c>
      <c r="C21" s="17" t="n">
        <v>67</v>
      </c>
      <c r="D21" s="17" t="n">
        <v>83</v>
      </c>
      <c r="E21" s="17" t="n">
        <v>67</v>
      </c>
      <c r="F21" s="17" t="n">
        <v>16</v>
      </c>
      <c r="G21" s="18" t="s">
        <v>5043</v>
      </c>
    </row>
    <row r="22" customFormat="false" ht="30" hidden="false" customHeight="true" outlineLevel="0" collapsed="false">
      <c r="A22" s="12" t="s">
        <v>5044</v>
      </c>
      <c r="B22" s="13" t="s">
        <v>5045</v>
      </c>
      <c r="C22" s="12" t="s">
        <v>5046</v>
      </c>
      <c r="D22" s="12" t="s">
        <v>5047</v>
      </c>
      <c r="E22" s="12" t="s">
        <v>5046</v>
      </c>
      <c r="F22" s="12"/>
      <c r="G22" s="13" t="s">
        <v>5048</v>
      </c>
    </row>
    <row r="23" customFormat="false" ht="30" hidden="false" customHeight="true" outlineLevel="0" collapsed="false">
      <c r="A23" s="10"/>
      <c r="B23" s="11" t="s">
        <v>5049</v>
      </c>
      <c r="C23" s="10" t="s">
        <v>5050</v>
      </c>
      <c r="D23" s="10" t="s">
        <v>5051</v>
      </c>
      <c r="E23" s="10" t="s">
        <v>5050</v>
      </c>
      <c r="F23" s="10"/>
      <c r="G23" s="11" t="s">
        <v>5052</v>
      </c>
    </row>
    <row r="24" customFormat="false" ht="30" hidden="false" customHeight="true" outlineLevel="0" collapsed="false">
      <c r="A24" s="52" t="s">
        <v>2793</v>
      </c>
      <c r="B24" s="53" t="s">
        <v>2794</v>
      </c>
      <c r="C24" s="52" t="n">
        <v>36</v>
      </c>
      <c r="D24" s="52" t="n">
        <v>35</v>
      </c>
      <c r="E24" s="52" t="n">
        <v>36</v>
      </c>
      <c r="F24" s="52" t="n">
        <v>-1</v>
      </c>
      <c r="G24" s="53" t="s">
        <v>5053</v>
      </c>
    </row>
    <row r="25" customFormat="false" ht="30" hidden="false" customHeight="true" outlineLevel="0" collapsed="false">
      <c r="A25" s="52"/>
      <c r="B25" s="53" t="s">
        <v>5054</v>
      </c>
      <c r="C25" s="52" t="n">
        <v>30</v>
      </c>
      <c r="D25" s="52" t="n">
        <v>28</v>
      </c>
      <c r="E25" s="52" t="n">
        <v>30</v>
      </c>
      <c r="F25" s="52" t="n">
        <v>-2</v>
      </c>
      <c r="G25" s="53" t="s">
        <v>5055</v>
      </c>
    </row>
    <row r="26" customFormat="false" ht="30" hidden="false" customHeight="true" outlineLevel="0" collapsed="false">
      <c r="A26" s="52" t="s">
        <v>2801</v>
      </c>
      <c r="B26" s="53" t="s">
        <v>5056</v>
      </c>
      <c r="C26" s="52" t="n">
        <v>72</v>
      </c>
      <c r="D26" s="52" t="n">
        <v>70</v>
      </c>
      <c r="E26" s="52" t="n">
        <v>72</v>
      </c>
      <c r="F26" s="52" t="n">
        <v>-2</v>
      </c>
      <c r="G26" s="53" t="s">
        <v>5057</v>
      </c>
    </row>
    <row r="27" customFormat="false" ht="30" hidden="false" customHeight="true" outlineLevel="0" collapsed="false">
      <c r="A27" s="17"/>
      <c r="B27" s="18" t="s">
        <v>5058</v>
      </c>
      <c r="C27" s="17" t="n">
        <v>30</v>
      </c>
      <c r="D27" s="17" t="n">
        <v>37</v>
      </c>
      <c r="E27" s="17" t="n">
        <v>30</v>
      </c>
      <c r="F27" s="17" t="n">
        <v>7</v>
      </c>
      <c r="G27" s="18" t="s">
        <v>5059</v>
      </c>
    </row>
    <row r="28" customFormat="false" ht="30" hidden="false" customHeight="true" outlineLevel="0" collapsed="false">
      <c r="A28" s="17"/>
      <c r="B28" s="18" t="s">
        <v>5060</v>
      </c>
      <c r="C28" s="17" t="n">
        <v>42</v>
      </c>
      <c r="D28" s="17" t="n">
        <v>34</v>
      </c>
      <c r="E28" s="17" t="n">
        <v>42</v>
      </c>
      <c r="F28" s="17" t="n">
        <v>-8</v>
      </c>
      <c r="G28" s="18" t="s">
        <v>5061</v>
      </c>
    </row>
    <row r="29" customFormat="false" ht="30" hidden="false" customHeight="true" outlineLevel="0" collapsed="false">
      <c r="A29" s="52" t="s">
        <v>2813</v>
      </c>
      <c r="B29" s="53" t="s">
        <v>5062</v>
      </c>
      <c r="C29" s="52" t="n">
        <v>72</v>
      </c>
      <c r="D29" s="52" t="n">
        <v>68</v>
      </c>
      <c r="E29" s="52" t="n">
        <v>72</v>
      </c>
      <c r="F29" s="52" t="n">
        <v>-4</v>
      </c>
      <c r="G29" s="53" t="s">
        <v>5057</v>
      </c>
    </row>
    <row r="30" customFormat="false" ht="30" hidden="false" customHeight="true" outlineLevel="0" collapsed="false">
      <c r="A30" s="17" t="s">
        <v>2819</v>
      </c>
      <c r="B30" s="18" t="s">
        <v>2820</v>
      </c>
      <c r="C30" s="17" t="n">
        <v>54</v>
      </c>
      <c r="D30" s="17" t="n">
        <v>36</v>
      </c>
      <c r="E30" s="17" t="n">
        <v>54</v>
      </c>
      <c r="F30" s="17" t="n">
        <v>-18</v>
      </c>
      <c r="G30" s="18" t="s">
        <v>5063</v>
      </c>
    </row>
    <row r="31" customFormat="false" ht="30" hidden="false" customHeight="true" outlineLevel="0" collapsed="false">
      <c r="A31" s="17" t="s">
        <v>2824</v>
      </c>
      <c r="B31" s="18" t="s">
        <v>2825</v>
      </c>
      <c r="C31" s="17" t="n">
        <v>117</v>
      </c>
      <c r="D31" s="17" t="n">
        <v>104</v>
      </c>
      <c r="E31" s="17" t="n">
        <v>117</v>
      </c>
      <c r="F31" s="17" t="n">
        <v>-13</v>
      </c>
      <c r="G31" s="18" t="s">
        <v>5064</v>
      </c>
    </row>
    <row r="32" customFormat="false" ht="30" hidden="false" customHeight="true" outlineLevel="0" collapsed="false">
      <c r="A32" s="52" t="s">
        <v>2808</v>
      </c>
      <c r="B32" s="53" t="s">
        <v>5065</v>
      </c>
      <c r="C32" s="52" t="n">
        <v>48</v>
      </c>
      <c r="D32" s="52" t="n">
        <v>45</v>
      </c>
      <c r="E32" s="52" t="n">
        <v>48</v>
      </c>
      <c r="F32" s="52" t="n">
        <v>-3</v>
      </c>
      <c r="G32" s="53" t="s">
        <v>5066</v>
      </c>
    </row>
    <row r="33" customFormat="false" ht="30" hidden="false" customHeight="true" outlineLevel="0" collapsed="false">
      <c r="A33" s="17" t="s">
        <v>659</v>
      </c>
      <c r="B33" s="18" t="s">
        <v>5067</v>
      </c>
      <c r="C33" s="17" t="n">
        <v>30</v>
      </c>
      <c r="D33" s="17" t="n">
        <v>23</v>
      </c>
      <c r="E33" s="17" t="n">
        <v>30</v>
      </c>
      <c r="F33" s="17" t="n">
        <v>-7</v>
      </c>
      <c r="G33" s="18" t="s">
        <v>5041</v>
      </c>
    </row>
    <row r="34" customFormat="false" ht="30" hidden="false" customHeight="true" outlineLevel="0" collapsed="false">
      <c r="A34" s="17"/>
      <c r="B34" s="18" t="s">
        <v>5068</v>
      </c>
      <c r="C34" s="17" t="n">
        <v>24</v>
      </c>
      <c r="D34" s="17" t="n">
        <v>18</v>
      </c>
      <c r="E34" s="17" t="n">
        <v>24</v>
      </c>
      <c r="F34" s="17" t="n">
        <v>-6</v>
      </c>
      <c r="G34" s="18" t="s">
        <v>5029</v>
      </c>
    </row>
    <row r="36" customFormat="false" ht="39.75" hidden="false" customHeight="true" outlineLevel="0" collapsed="false">
      <c r="A36" s="14" t="s">
        <v>5069</v>
      </c>
      <c r="B36" s="15" t="s">
        <v>5070</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2026-09-16T11:48:45Z</dcterms:created>
  <dc:creator>openpyxl</dc:creator>
  <dc:description/>
  <dc:language>en-US</dc:language>
  <cp:lastModifiedBy/>
  <dcterms:modified xsi:type="dcterms:W3CDTF">2026-09-27T06:42:38Z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