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Data Model" sheetId="2" state="visible" r:id="rId2"/>
    <sheet xmlns:r="http://schemas.openxmlformats.org/officeDocument/2006/relationships" name="Call Tag Schema" sheetId="3" state="visible" r:id="rId3"/>
    <sheet xmlns:r="http://schemas.openxmlformats.org/officeDocument/2006/relationships" name="Outcomes" sheetId="4" state="visible" r:id="rId4"/>
    <sheet xmlns:r="http://schemas.openxmlformats.org/officeDocument/2006/relationships" name="Escalation Logic" sheetId="5" state="visible" r:id="rId5"/>
    <sheet xmlns:r="http://schemas.openxmlformats.org/officeDocument/2006/relationships" name="Call Quality Framework" sheetId="6" state="visible" r:id="rId6"/>
    <sheet xmlns:r="http://schemas.openxmlformats.org/officeDocument/2006/relationships" name="Signal Taxonomy" sheetId="7" state="visible" r:id="rId7"/>
    <sheet xmlns:r="http://schemas.openxmlformats.org/officeDocument/2006/relationships" name="Touchpoints" sheetId="8" state="visible" r:id="rId8"/>
    <sheet xmlns:r="http://schemas.openxmlformats.org/officeDocument/2006/relationships" name="Metrics" sheetId="9" state="visible" r:id="rId9"/>
    <sheet xmlns:r="http://schemas.openxmlformats.org/officeDocument/2006/relationships" name="Intelligence Register" sheetId="10" state="visible" r:id="rId10"/>
    <sheet xmlns:r="http://schemas.openxmlformats.org/officeDocument/2006/relationships" name="Questions Worth Asking" sheetId="11" state="visible" r:id="rId11"/>
    <sheet xmlns:r="http://schemas.openxmlformats.org/officeDocument/2006/relationships" name="Rules — Program" sheetId="12" state="visible" r:id="rId12"/>
    <sheet xmlns:r="http://schemas.openxmlformats.org/officeDocument/2006/relationships" name="Rules — Administration" sheetId="13" state="visible" r:id="rId13"/>
    <sheet xmlns:r="http://schemas.openxmlformats.org/officeDocument/2006/relationships" name="Rules — Carrier" sheetId="14" state="visible" r:id="rId14"/>
    <sheet xmlns:r="http://schemas.openxmlformats.org/officeDocument/2006/relationships" name="Corrections &amp; Sources" sheetId="15" state="visible" r:id="rId15"/>
    <sheet xmlns:r="http://schemas.openxmlformats.org/officeDocument/2006/relationships" name="Weekly Volume" sheetId="16" state="visible" r:id="rId16"/>
    <sheet xmlns:r="http://schemas.openxmlformats.org/officeDocument/2006/relationships" name="Employer Master" sheetId="17" state="visible" r:id="rId17"/>
    <sheet xmlns:r="http://schemas.openxmlformats.org/officeDocument/2006/relationships" name="Member Master" sheetId="18" state="visible" r:id="rId18"/>
    <sheet xmlns:r="http://schemas.openxmlformats.org/officeDocument/2006/relationships" name="Employer Contacts" sheetId="19" state="visible" r:id="rId19"/>
    <sheet xmlns:r="http://schemas.openxmlformats.org/officeDocument/2006/relationships" name="Broker Master" sheetId="20" state="visible" r:id="rId20"/>
    <sheet xmlns:r="http://schemas.openxmlformats.org/officeDocument/2006/relationships" name="Product &amp; Carrier" sheetId="21" state="visible" r:id="rId21"/>
    <sheet xmlns:r="http://schemas.openxmlformats.org/officeDocument/2006/relationships" name="Agent Roster" sheetId="22" state="visible" r:id="rId22"/>
    <sheet xmlns:r="http://schemas.openxmlformats.org/officeDocument/2006/relationships" name="Distribution Targets" sheetId="23" state="visible" r:id="rId23"/>
    <sheet xmlns:r="http://schemas.openxmlformats.org/officeDocument/2006/relationships" name="Transcript Tracker" sheetId="24" state="visible" r:id="rId24"/>
    <sheet xmlns:r="http://schemas.openxmlformats.org/officeDocument/2006/relationships" name="Batch Coverage" sheetId="25" state="visible" r:id="rId25"/>
  </sheets>
  <definedNames/>
  <calcPr calcId="124519" fullCalcOnLoad="1" refMode="A1" iterate="0" iterateCount="100" iterateDelta="0.0001"/>
</workbook>
</file>

<file path=xl/styles.xml><?xml version="1.0" encoding="utf-8"?>
<styleSheet xmlns="http://schemas.openxmlformats.org/spreadsheetml/2006/main">
  <numFmts count="4">
    <numFmt numFmtId="164" formatCode="0.0"/>
    <numFmt numFmtId="165" formatCode="\$#,##0"/>
    <numFmt numFmtId="166" formatCode="0.0\x"/>
    <numFmt numFmtId="167" formatCode="0.0%"/>
  </numFmts>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14312B"/>
      <sz val="16"/>
    </font>
    <font>
      <name val="Arial"/>
      <charset val="1"/>
      <family val="0"/>
      <color rgb="FF3C4654"/>
      <sz val="9.5"/>
    </font>
    <font>
      <name val="Arial"/>
      <charset val="1"/>
      <family val="0"/>
      <b val="1"/>
      <sz val="10"/>
    </font>
    <font>
      <name val="Arial"/>
      <charset val="1"/>
      <family val="0"/>
      <sz val="10"/>
    </font>
    <font>
      <name val="Arial"/>
      <charset val="1"/>
      <family val="0"/>
      <b val="1"/>
      <color rgb="FF14312B"/>
      <sz val="14"/>
    </font>
    <font>
      <name val="Arial"/>
      <charset val="1"/>
      <family val="0"/>
      <b val="1"/>
      <color rgb="FFFFFFFF"/>
      <sz val="10"/>
    </font>
    <font>
      <name val="Arial"/>
      <b val="1"/>
      <color rgb="0014312B"/>
      <sz val="14"/>
    </font>
    <font>
      <name val="Arial"/>
      <color rgb="003C4654"/>
      <sz val="9.5"/>
    </font>
    <font>
      <name val="Arial"/>
      <b val="1"/>
      <color rgb="00FFFFFF"/>
      <sz val="10"/>
    </font>
    <font>
      <name val="Arial"/>
      <sz val="10"/>
    </font>
    <font>
      <name val="Arial"/>
      <b val="1"/>
      <sz val="10"/>
    </font>
  </fonts>
  <fills count="12">
    <fill>
      <patternFill/>
    </fill>
    <fill>
      <patternFill patternType="gray125"/>
    </fill>
    <fill>
      <patternFill patternType="solid">
        <fgColor rgb="FF14312B"/>
        <bgColor rgb="FF003300"/>
      </patternFill>
    </fill>
    <fill>
      <patternFill patternType="solid">
        <fgColor rgb="FFF2F5F4"/>
        <bgColor rgb="FFE6EFED"/>
      </patternFill>
    </fill>
    <fill>
      <patternFill patternType="solid">
        <fgColor rgb="FFE6EFED"/>
        <bgColor rgb="FFF2F5F4"/>
      </patternFill>
    </fill>
    <fill>
      <patternFill patternType="solid">
        <fgColor rgb="FFFDF3DC"/>
        <bgColor rgb="FFFFF6E0"/>
      </patternFill>
    </fill>
    <fill>
      <patternFill patternType="solid">
        <fgColor rgb="FFFFF6E0"/>
        <bgColor rgb="FFFDF3DC"/>
      </patternFill>
    </fill>
    <fill>
      <patternFill patternType="solid">
        <fgColor rgb="FFFBEAE8"/>
        <bgColor rgb="FFFDF3DC"/>
      </patternFill>
    </fill>
    <fill>
      <patternFill patternType="solid">
        <fgColor rgb="0014312B"/>
      </patternFill>
    </fill>
    <fill>
      <patternFill patternType="solid">
        <fgColor rgb="00F2F5F4"/>
      </patternFill>
    </fill>
    <fill>
      <patternFill patternType="solid">
        <fgColor rgb="00E6EFED"/>
      </patternFill>
    </fill>
    <fill>
      <patternFill patternType="solid">
        <fgColor rgb="00FBEAE8"/>
      </patternFill>
    </fill>
  </fills>
  <borders count="3">
    <border>
      <left/>
      <right/>
      <top/>
      <bottom/>
      <diagonal/>
    </border>
    <border>
      <left/>
      <right/>
      <top/>
      <bottom style="thin">
        <color rgb="FFD8DEDC"/>
      </bottom>
      <diagonal/>
    </border>
    <border>
      <bottom style="thin">
        <color rgb="00D8DED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5" fillId="0" borderId="0" applyAlignment="1" pivotButton="0" quotePrefix="0" xfId="0">
      <alignment horizontal="general" vertical="top" wrapText="1"/>
    </xf>
    <xf numFmtId="0" fontId="9" fillId="2" borderId="0" applyAlignment="1" pivotButton="0" quotePrefix="0" xfId="0">
      <alignment horizontal="general" vertical="center"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7" fillId="3" borderId="1" applyAlignment="1" pivotButton="0" quotePrefix="0" xfId="0">
      <alignment horizontal="general" vertical="top"/>
    </xf>
    <xf numFmtId="0" fontId="7" fillId="3" borderId="1"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wrapText="1"/>
    </xf>
    <xf numFmtId="0" fontId="6" fillId="4" borderId="0" applyAlignment="1" pivotButton="0" quotePrefix="0" xfId="0">
      <alignment horizontal="general" vertical="bottom"/>
    </xf>
    <xf numFmtId="0" fontId="7" fillId="5" borderId="1" applyAlignment="1" pivotButton="0" quotePrefix="0" xfId="0">
      <alignment horizontal="general" vertical="top"/>
    </xf>
    <xf numFmtId="0" fontId="7" fillId="5" borderId="1" applyAlignment="1" pivotButton="0" quotePrefix="0" xfId="0">
      <alignment horizontal="general" vertical="top" wrapText="1"/>
    </xf>
    <xf numFmtId="164" fontId="7" fillId="0" borderId="1" applyAlignment="1" pivotButton="0" quotePrefix="0" xfId="0">
      <alignment horizontal="general" vertical="top"/>
    </xf>
    <xf numFmtId="164" fontId="7" fillId="3" borderId="1" applyAlignment="1" pivotButton="0" quotePrefix="0" xfId="0">
      <alignment horizontal="general" vertical="top"/>
    </xf>
    <xf numFmtId="0" fontId="6" fillId="6" borderId="0" applyAlignment="1" pivotButton="0" quotePrefix="0" xfId="0">
      <alignment horizontal="general" vertical="bottom"/>
    </xf>
    <xf numFmtId="3" fontId="7" fillId="0" borderId="1" applyAlignment="1" pivotButton="0" quotePrefix="0" xfId="0">
      <alignment horizontal="general" vertical="top"/>
    </xf>
    <xf numFmtId="9" fontId="7" fillId="0" borderId="1" applyAlignment="1" pivotButton="0" quotePrefix="0" xfId="0">
      <alignment horizontal="general" vertical="top"/>
    </xf>
    <xf numFmtId="165" fontId="7" fillId="0" borderId="0" applyAlignment="1" pivotButton="0" quotePrefix="0" xfId="0">
      <alignment horizontal="general" vertical="bottom"/>
    </xf>
    <xf numFmtId="0" fontId="7" fillId="0" borderId="0" applyAlignment="1" pivotButton="0" quotePrefix="0" xfId="0">
      <alignment horizontal="general" vertical="bottom"/>
    </xf>
    <xf numFmtId="3" fontId="7" fillId="3" borderId="1" applyAlignment="1" pivotButton="0" quotePrefix="0" xfId="0">
      <alignment horizontal="general" vertical="top"/>
    </xf>
    <xf numFmtId="9" fontId="7" fillId="3" borderId="1" applyAlignment="1" pivotButton="0" quotePrefix="0" xfId="0">
      <alignment horizontal="general" vertical="top"/>
    </xf>
    <xf numFmtId="0" fontId="6" fillId="3" borderId="1" applyAlignment="1" pivotButton="0" quotePrefix="0" xfId="0">
      <alignment horizontal="general" vertical="top"/>
    </xf>
    <xf numFmtId="3" fontId="6" fillId="4" borderId="1" applyAlignment="1" pivotButton="0" quotePrefix="0" xfId="0">
      <alignment horizontal="general" vertical="top"/>
    </xf>
    <xf numFmtId="165" fontId="6" fillId="4" borderId="0" applyAlignment="1" pivotButton="0" quotePrefix="0" xfId="0">
      <alignment horizontal="general" vertical="bottom"/>
    </xf>
    <xf numFmtId="2" fontId="7" fillId="0" borderId="1" applyAlignment="1" pivotButton="0" quotePrefix="0" xfId="0">
      <alignment horizontal="general" vertical="top"/>
    </xf>
    <xf numFmtId="166" fontId="7" fillId="0" borderId="1" applyAlignment="1" pivotButton="0" quotePrefix="0" xfId="0">
      <alignment horizontal="general" vertical="top"/>
    </xf>
    <xf numFmtId="2" fontId="7" fillId="3" borderId="1" applyAlignment="1" pivotButton="0" quotePrefix="0" xfId="0">
      <alignment horizontal="general" vertical="top"/>
    </xf>
    <xf numFmtId="166" fontId="7" fillId="3" borderId="1" applyAlignment="1" pivotButton="0" quotePrefix="0" xfId="0">
      <alignment horizontal="general" vertical="top"/>
    </xf>
    <xf numFmtId="167" fontId="7" fillId="0" borderId="1" applyAlignment="1" pivotButton="0" quotePrefix="0" xfId="0">
      <alignment horizontal="general" vertical="top"/>
    </xf>
    <xf numFmtId="1" fontId="7" fillId="0" borderId="1" applyAlignment="1" pivotButton="0" quotePrefix="0" xfId="0">
      <alignment horizontal="general" vertical="top"/>
    </xf>
    <xf numFmtId="167" fontId="7" fillId="3" borderId="1" applyAlignment="1" pivotButton="0" quotePrefix="0" xfId="0">
      <alignment horizontal="general" vertical="top"/>
    </xf>
    <xf numFmtId="1" fontId="7" fillId="3" borderId="1" applyAlignment="1" pivotButton="0" quotePrefix="0" xfId="0">
      <alignment horizontal="general" vertical="top"/>
    </xf>
    <xf numFmtId="3" fontId="6" fillId="4" borderId="0" applyAlignment="1" pivotButton="0" quotePrefix="0" xfId="0">
      <alignment horizontal="general" vertical="bottom"/>
    </xf>
    <xf numFmtId="9" fontId="7" fillId="6" borderId="1" applyAlignment="1" pivotButton="0" quotePrefix="0" xfId="0">
      <alignment horizontal="general" vertical="top"/>
    </xf>
    <xf numFmtId="0" fontId="7" fillId="6" borderId="1" applyAlignment="1" pivotButton="0" quotePrefix="0" xfId="0">
      <alignment horizontal="general" vertical="top"/>
    </xf>
    <xf numFmtId="165" fontId="7" fillId="6" borderId="1" applyAlignment="1" pivotButton="0" quotePrefix="0" xfId="0">
      <alignment horizontal="general" vertical="top"/>
    </xf>
    <xf numFmtId="0" fontId="8" fillId="0" borderId="0" applyAlignment="1" pivotButton="0" quotePrefix="0" xfId="0">
      <alignment horizontal="general" vertical="bottom"/>
    </xf>
    <xf numFmtId="0" fontId="6" fillId="0" borderId="0" applyAlignment="1" pivotButton="0" quotePrefix="0" xfId="0">
      <alignment horizontal="general" vertical="bottom"/>
    </xf>
    <xf numFmtId="0" fontId="6" fillId="4" borderId="0" applyAlignment="1" pivotButton="0" quotePrefix="0" xfId="0">
      <alignment horizontal="general" vertical="bottom"/>
    </xf>
    <xf numFmtId="0" fontId="7" fillId="7" borderId="1" applyAlignment="1" pivotButton="0" quotePrefix="0" xfId="0">
      <alignment horizontal="general" vertical="top"/>
    </xf>
    <xf numFmtId="0" fontId="7" fillId="7"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5" fillId="0" borderId="0" applyAlignment="1" pivotButton="0" quotePrefix="0" xfId="0">
      <alignment horizontal="general" vertical="top" wrapText="1"/>
    </xf>
    <xf numFmtId="0" fontId="9" fillId="2" borderId="0" applyAlignment="1" pivotButton="0" quotePrefix="0" xfId="0">
      <alignment horizontal="general" vertical="center"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7" fillId="3" borderId="1" applyAlignment="1" pivotButton="0" quotePrefix="0" xfId="0">
      <alignment horizontal="general" vertical="top"/>
    </xf>
    <xf numFmtId="0" fontId="7" fillId="3" borderId="1"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wrapText="1"/>
    </xf>
    <xf numFmtId="0" fontId="6" fillId="4" borderId="0" applyAlignment="1" pivotButton="0" quotePrefix="0" xfId="0">
      <alignment horizontal="general" vertical="bottom"/>
    </xf>
    <xf numFmtId="0" fontId="7" fillId="5" borderId="1" applyAlignment="1" pivotButton="0" quotePrefix="0" xfId="0">
      <alignment horizontal="general" vertical="top"/>
    </xf>
    <xf numFmtId="0" fontId="7" fillId="5" borderId="1" applyAlignment="1" pivotButton="0" quotePrefix="0" xfId="0">
      <alignment horizontal="general" vertical="top" wrapText="1"/>
    </xf>
    <xf numFmtId="164" fontId="7" fillId="0" borderId="1" applyAlignment="1" pivotButton="0" quotePrefix="0" xfId="0">
      <alignment horizontal="general" vertical="top"/>
    </xf>
    <xf numFmtId="164" fontId="7" fillId="3" borderId="1" applyAlignment="1" pivotButton="0" quotePrefix="0" xfId="0">
      <alignment horizontal="general" vertical="top"/>
    </xf>
    <xf numFmtId="0" fontId="6" fillId="6" borderId="0" applyAlignment="1" pivotButton="0" quotePrefix="0" xfId="0">
      <alignment horizontal="general" vertical="bottom"/>
    </xf>
    <xf numFmtId="3" fontId="7" fillId="0" borderId="1" applyAlignment="1" pivotButton="0" quotePrefix="0" xfId="0">
      <alignment horizontal="general" vertical="top"/>
    </xf>
    <xf numFmtId="9" fontId="7" fillId="0" borderId="1" applyAlignment="1" pivotButton="0" quotePrefix="0" xfId="0">
      <alignment horizontal="general" vertical="top"/>
    </xf>
    <xf numFmtId="165" fontId="7" fillId="0" borderId="0" applyAlignment="1" pivotButton="0" quotePrefix="0" xfId="0">
      <alignment horizontal="general" vertical="bottom"/>
    </xf>
    <xf numFmtId="0" fontId="7" fillId="0" borderId="0" applyAlignment="1" pivotButton="0" quotePrefix="0" xfId="0">
      <alignment horizontal="general" vertical="bottom"/>
    </xf>
    <xf numFmtId="3" fontId="7" fillId="3" borderId="1" applyAlignment="1" pivotButton="0" quotePrefix="0" xfId="0">
      <alignment horizontal="general" vertical="top"/>
    </xf>
    <xf numFmtId="9" fontId="7" fillId="3" borderId="1" applyAlignment="1" pivotButton="0" quotePrefix="0" xfId="0">
      <alignment horizontal="general" vertical="top"/>
    </xf>
    <xf numFmtId="0" fontId="6" fillId="3" borderId="1" applyAlignment="1" pivotButton="0" quotePrefix="0" xfId="0">
      <alignment horizontal="general" vertical="top"/>
    </xf>
    <xf numFmtId="3" fontId="6" fillId="4" borderId="1" applyAlignment="1" pivotButton="0" quotePrefix="0" xfId="0">
      <alignment horizontal="general" vertical="top"/>
    </xf>
    <xf numFmtId="165" fontId="6" fillId="4" borderId="0" applyAlignment="1" pivotButton="0" quotePrefix="0" xfId="0">
      <alignment horizontal="general" vertical="bottom"/>
    </xf>
    <xf numFmtId="2" fontId="7" fillId="0" borderId="1" applyAlignment="1" pivotButton="0" quotePrefix="0" xfId="0">
      <alignment horizontal="general" vertical="top"/>
    </xf>
    <xf numFmtId="166" fontId="7" fillId="0" borderId="1" applyAlignment="1" pivotButton="0" quotePrefix="0" xfId="0">
      <alignment horizontal="general" vertical="top"/>
    </xf>
    <xf numFmtId="2" fontId="7" fillId="3" borderId="1" applyAlignment="1" pivotButton="0" quotePrefix="0" xfId="0">
      <alignment horizontal="general" vertical="top"/>
    </xf>
    <xf numFmtId="166" fontId="7" fillId="3" borderId="1" applyAlignment="1" pivotButton="0" quotePrefix="0" xfId="0">
      <alignment horizontal="general" vertical="top"/>
    </xf>
    <xf numFmtId="167" fontId="7" fillId="0" borderId="1" applyAlignment="1" pivotButton="0" quotePrefix="0" xfId="0">
      <alignment horizontal="general" vertical="top"/>
    </xf>
    <xf numFmtId="1" fontId="7" fillId="0" borderId="1" applyAlignment="1" pivotButton="0" quotePrefix="0" xfId="0">
      <alignment horizontal="general" vertical="top"/>
    </xf>
    <xf numFmtId="167" fontId="7" fillId="3" borderId="1" applyAlignment="1" pivotButton="0" quotePrefix="0" xfId="0">
      <alignment horizontal="general" vertical="top"/>
    </xf>
    <xf numFmtId="1" fontId="7" fillId="3" borderId="1" applyAlignment="1" pivotButton="0" quotePrefix="0" xfId="0">
      <alignment horizontal="general" vertical="top"/>
    </xf>
    <xf numFmtId="3" fontId="6" fillId="4" borderId="0" applyAlignment="1" pivotButton="0" quotePrefix="0" xfId="0">
      <alignment horizontal="general" vertical="bottom"/>
    </xf>
    <xf numFmtId="9" fontId="7" fillId="6" borderId="1" applyAlignment="1" pivotButton="0" quotePrefix="0" xfId="0">
      <alignment horizontal="general" vertical="top"/>
    </xf>
    <xf numFmtId="0" fontId="7" fillId="6" borderId="1" applyAlignment="1" pivotButton="0" quotePrefix="0" xfId="0">
      <alignment horizontal="general" vertical="top"/>
    </xf>
    <xf numFmtId="165" fontId="7" fillId="6" borderId="1" applyAlignment="1" pivotButton="0" quotePrefix="0" xfId="0">
      <alignment horizontal="general" vertical="top"/>
    </xf>
    <xf numFmtId="0" fontId="10" fillId="0" borderId="0" pivotButton="0" quotePrefix="0" xfId="0"/>
    <xf numFmtId="0" fontId="11" fillId="0" borderId="0" applyAlignment="1" pivotButton="0" quotePrefix="0" xfId="0">
      <alignment vertical="top" wrapText="1"/>
    </xf>
    <xf numFmtId="0" fontId="12" fillId="8" borderId="0" applyAlignment="1" pivotButton="0" quotePrefix="0" xfId="0">
      <alignment vertical="center" wrapText="1"/>
    </xf>
    <xf numFmtId="0" fontId="13" fillId="0" borderId="2" applyAlignment="1" pivotButton="0" quotePrefix="0" xfId="0">
      <alignment vertical="top"/>
    </xf>
    <xf numFmtId="0" fontId="13" fillId="0" borderId="2" applyAlignment="1" pivotButton="0" quotePrefix="0" xfId="0">
      <alignment vertical="top" wrapText="1"/>
    </xf>
    <xf numFmtId="0" fontId="13" fillId="9" borderId="2" applyAlignment="1" pivotButton="0" quotePrefix="0" xfId="0">
      <alignment vertical="top"/>
    </xf>
    <xf numFmtId="0" fontId="13" fillId="9" borderId="2" applyAlignment="1" pivotButton="0" quotePrefix="0" xfId="0">
      <alignment vertical="top" wrapText="1"/>
    </xf>
    <xf numFmtId="0" fontId="14" fillId="0" borderId="0" pivotButton="0" quotePrefix="0" xfId="0"/>
    <xf numFmtId="0" fontId="14" fillId="10" borderId="0" pivotButton="0" quotePrefix="0" xfId="0"/>
    <xf numFmtId="0" fontId="13" fillId="11" borderId="2" applyAlignment="1" pivotButton="0" quotePrefix="0" xfId="0">
      <alignment vertical="top"/>
    </xf>
    <xf numFmtId="0" fontId="13" fillId="11" borderId="2" applyAlignment="1" pivotButton="0" quotePrefix="0" xfId="0">
      <alignment vertical="top" wrapText="1"/>
    </xf>
    <xf numFmtId="0" fontId="13" fillId="0" borderId="0" applyAlignment="1" pivotButton="0" quotePrefix="0" xfId="0">
      <alignment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E0"/>
      <rgbColor rgb="FFE6EFED"/>
      <rgbColor rgb="FF660066"/>
      <rgbColor rgb="FFFF8080"/>
      <rgbColor rgb="FF0066CC"/>
      <rgbColor rgb="FFD8DEDC"/>
      <rgbColor rgb="FF000080"/>
      <rgbColor rgb="FFFF00FF"/>
      <rgbColor rgb="FFFFFF00"/>
      <rgbColor rgb="FF00FFFF"/>
      <rgbColor rgb="FF800080"/>
      <rgbColor rgb="FF800000"/>
      <rgbColor rgb="FF008080"/>
      <rgbColor rgb="FF0000FF"/>
      <rgbColor rgb="FF00CCFF"/>
      <rgbColor rgb="FFF2F5F4"/>
      <rgbColor rgb="FFFBEAE8"/>
      <rgbColor rgb="FFFDF3D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C4654"/>
      <rgbColor rgb="FF14312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47" min="1" max="1"/>
    <col width="114" customWidth="1" style="47" min="2" max="2"/>
  </cols>
  <sheetData>
    <row r="1" ht="19.5" customHeight="1" s="48">
      <c r="A1" s="49" t="inlineStr">
        <is>
          <t>NanoVox — Corpus v9 Build Bible</t>
        </is>
      </c>
    </row>
    <row r="2" ht="15" customHeight="1" s="48">
      <c r="A2" s="50" t="inlineStr">
        <is>
          <t>600 calls · 12 weeks · Mon 6 Jul – Fri 25 Sep 2026 · 95 employers sized to ChoiceBuilder's real 2–500 band · 122 verified rules</t>
        </is>
      </c>
    </row>
    <row r="4" ht="66" customHeight="1" s="48">
      <c r="A4" s="51" t="inlineStr">
        <is>
          <t>What this is</t>
        </is>
      </c>
      <c r="B4" s="52" t="inlineStr">
        <is>
          <t>The single reference for building the NanoVox corpus and the intelligence layer on top of it. The analytical framework is unchanged from v8 — data model, tag schema, outcomes, escalation logic, quality framework, metrics, intelligence register and the three rule layers all carry over intact. What changed is the sample: 600 calls instead of 360, and a group-size distribution rebuilt to match the population ChoiceBuilder actually serves.</t>
        </is>
      </c>
    </row>
    <row r="5" ht="92.25" customHeight="1" s="48">
      <c r="A5" s="51" t="inlineStr">
        <is>
          <t>Why 600 and not 360</t>
        </is>
      </c>
      <c r="B5" s="52" t="inlineStr">
        <is>
          <t>360 was sized against the v7 framework. v8 added five dimensions that each multiply the number of cells needing a denominator — touchpoint, escalation trigger_type, rule_id, control exception type and process_gap. Working backwards from the tightest of those, knowledge failure by rule_id needed about 620 calls to put the top rule above fifteen, control exceptions by type about 640, self-inflicted demand by component about 470, and the consecutive-window account risk test about 600. 600 clears all of them bar the last few escalation trigger types, which are reported as counts rather than rates by design.</t>
        </is>
      </c>
    </row>
    <row r="6" ht="92.25" customHeight="1" s="48">
      <c r="A6" s="51" t="inlineStr">
        <is>
          <t>Why group size had to be rebuilt</t>
        </is>
      </c>
      <c r="B6" s="52" t="inlineStr">
        <is>
          <t>ChoiceBuilder serves groups of 2–500 eligible employees, and the published book is roughly 10,000 groups to 140,000 members — an average near 14. The v8 sample averaged 70 lives a group, which is not that population. Size is not cosmetic here: it decides which rules apply. Below 20 eligible a group is under Cal-COBRA and ChoiceBuilder sends the election notice; at 20 and above it is federal COBRA and the duty is solely the employer's. The administration fee steps at 8, 20 and 199. Voluntary dental minimums differ for 2–9 against 10–500 groups. Orthodontia availability is gated at 5, 10 and 25 eligible. A corpus without small groups cannot exercise any of it.</t>
        </is>
      </c>
    </row>
    <row r="7" ht="66" customHeight="1" s="48">
      <c r="A7" s="51" t="inlineStr">
        <is>
          <t>The size distribution</t>
        </is>
      </c>
      <c r="B7" s="52" t="inlineStr">
        <is>
          <t>95 employers: 22 in the 2–8 band, 24 in 9–20, 38 in 21–199 and 11 at 200 and above. That puts 46 groups under the federal COBRA threshold and 49 at or above it, so both regimes are live. Because the corpus is call-weighted rather than group-weighted, larger groups are over-represented relative to the book — that is correct, since groups with more members generate more calls, but it is stated here so nobody reads the sample as the book.</t>
        </is>
      </c>
    </row>
    <row r="8" ht="66" customHeight="1" s="48">
      <c r="A8" s="51" t="inlineStr">
        <is>
          <t>Participation is modelled, not assumed</t>
        </is>
      </c>
      <c r="B8" s="52" t="inlineStr">
        <is>
          <t>Enrolled lives are derived from eligible employees and a participation rate that depends on whether dental is employer-sponsored or voluntary, and the Employer Master flags every group at or below its applicable threshold. Several groups are deliberately placed below 70% on employer-sponsored dental, and several voluntary groups sit below the enrolled-headcount minimums, so the non-renewal scenarios in the register are real rather than illustrative.</t>
        </is>
      </c>
    </row>
    <row r="9" ht="39" customHeight="1" s="48">
      <c r="A9" s="51" t="inlineStr">
        <is>
          <t>The one modelling rule</t>
        </is>
      </c>
      <c r="B9" s="52" t="inlineStr">
        <is>
          <t>A member belongs to an employer. An employer has exactly one broker of record. The member record never carries a broker field — attribution is inherited through the employer, so a broker of record change is corrected in one place and every historical call follows.</t>
        </is>
      </c>
    </row>
    <row r="10" ht="52.5" customHeight="1" s="48">
      <c r="A10" s="51" t="inlineStr">
        <is>
          <t>Control totals</t>
        </is>
      </c>
      <c r="B10" s="52" t="inlineStr">
        <is>
          <t>Weekly Volume, Employer Master, Product &amp; Carrier, Agent Roster and Distribution Targets must each sum to 600. Member Master must sum to 390 member calls and Employer Contacts to 210. Each sheet carries its own check row. A variance means the design is internally inconsistent and transcript writing should stop.</t>
        </is>
      </c>
    </row>
    <row r="11" ht="66" customHeight="1" s="48">
      <c r="A11" s="51" t="inlineStr">
        <is>
          <t>What 600 still will not support</t>
        </is>
      </c>
      <c r="B11" s="52" t="inlineStr">
        <is>
          <t>Per-broker complaint rates as precise multiples — a three-group broker carries ten attributed calls, which names a list credibly but does not support '8.5 times the median' as a spoken number. Weekly sub-category claims — fifty calls a week still makes last week's unresolved billing calls about seven. And escalation trigger types five through eight, which are named with explicit counts and never quoted as rates.</t>
        </is>
      </c>
    </row>
    <row r="12" ht="39" customHeight="1" s="48">
      <c r="A12" s="51" t="inlineStr">
        <is>
          <t>Out of scope, deliberately</t>
        </is>
      </c>
      <c r="B12" s="52" t="inlineStr">
        <is>
          <t>No broker-initiated calls. No finance or commission queue. No email. The single-source question — that this platform infers everything from conversations and cannot see a silent account — is parked by decision, not by oversight.</t>
        </is>
      </c>
    </row>
    <row r="13" ht="30" customHeight="1" s="48">
      <c r="A13" s="51" t="inlineStr">
        <is>
          <t>Still open</t>
        </is>
      </c>
      <c r="B13" s="52" t="inlineStr">
        <is>
          <t>Three items need CHOICE, on the Corrections &amp; Sources sheet: the life guaranteed issue amount, the carrier mix by member, and whether monthly full-roster reconciliation exists at all.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47" min="1" max="1"/>
    <col width="14" customWidth="1" style="47" min="2" max="2"/>
    <col width="22" customWidth="1" style="47" min="3" max="4"/>
    <col width="44" customWidth="1" style="47" min="5" max="5"/>
    <col width="48" customWidth="1" style="47" min="6" max="6"/>
  </cols>
  <sheetData>
    <row r="1" ht="21.75" customHeight="1" s="48">
      <c r="A1" s="53" t="inlineStr">
        <is>
          <t>Data model</t>
        </is>
      </c>
    </row>
    <row r="2" ht="74.25" customHeight="1" s="48">
      <c r="A2" s="54" t="inlineStr">
        <is>
          <t>Eight entities and the keys that join them. The important decision recorded here is that broker is a property of the employer and never of the member — a member inherits their broker through their group, so when a broker of record changes there is exactly one row to correct and every historical call re-attributes automatically. The second decision is that signals and rubric markers are separate entities rather than columns on the call, because one call can raise several of each and because a refused marker must remain visible for the score to be auditable. Read this before the Call Tag Schema; the schema describes what gets written, this describes where it lives.</t>
        </is>
      </c>
    </row>
    <row r="3" ht="6" customHeight="1" s="48"/>
    <row r="4" ht="31.5" customHeight="1" s="48">
      <c r="A4" s="55" t="inlineStr">
        <is>
          <t>Entity</t>
        </is>
      </c>
      <c r="B4" s="55" t="inlineStr">
        <is>
          <t>Primary key</t>
        </is>
      </c>
      <c r="C4" s="55" t="inlineStr">
        <is>
          <t>Foreign keys</t>
        </is>
      </c>
      <c r="D4" s="55" t="inlineStr">
        <is>
          <t>Cardinality</t>
        </is>
      </c>
      <c r="E4" s="55" t="inlineStr">
        <is>
          <t>Fields held here</t>
        </is>
      </c>
      <c r="F4" s="55" t="inlineStr">
        <is>
          <t>Why it lives here</t>
        </is>
      </c>
    </row>
    <row r="5" ht="45.75" customHeight="1" s="48">
      <c r="A5" s="56" t="inlineStr">
        <is>
          <t>Broker</t>
        </is>
      </c>
      <c r="B5" s="56" t="inlineStr">
        <is>
          <t>BRK-nn</t>
        </is>
      </c>
      <c r="C5" s="57" t="inlineStr">
        <is>
          <t>—</t>
        </is>
      </c>
      <c r="D5" s="57" t="inlineStr">
        <is>
          <t>1 broker → many employers</t>
        </is>
      </c>
      <c r="E5" s="57" t="inlineStr">
        <is>
          <t>Agency name, groups in book, lives in book, region, appointment date</t>
        </is>
      </c>
      <c r="F5" s="57" t="inlineStr">
        <is>
          <t>Book size must come from Choice's broker records, never from call counts. Deriving it from calls makes the rate self-referential.</t>
        </is>
      </c>
    </row>
    <row r="6" ht="45.75" customHeight="1" s="48">
      <c r="A6" s="58" t="inlineStr">
        <is>
          <t>Employer</t>
        </is>
      </c>
      <c r="B6" s="58" t="inlineStr">
        <is>
          <t>EMP-nnnn</t>
        </is>
      </c>
      <c r="C6" s="59" t="inlineStr">
        <is>
          <t>BRK-nn (broker of record)</t>
        </is>
      </c>
      <c r="D6" s="59" t="inlineStr">
        <is>
          <t>1 employer → many members; 1 employer → 1–3 contacts</t>
        </is>
      </c>
      <c r="E6" s="59" t="inlineStr">
        <is>
          <t>Legal name, industry, SIC, enrolled lives, region, renewal month, lines held, effective date, premium</t>
        </is>
      </c>
      <c r="F6" s="59" t="inlineStr">
        <is>
          <t>The join point for everything. Industry, size and renewal month are never spoken on a call, so they must be reference data.</t>
        </is>
      </c>
    </row>
    <row r="7" ht="45.75" customHeight="1" s="48">
      <c r="A7" s="56" t="inlineStr">
        <is>
          <t>Member</t>
        </is>
      </c>
      <c r="B7" s="56" t="inlineStr">
        <is>
          <t>CB-nnnnnnn</t>
        </is>
      </c>
      <c r="C7" s="57" t="inlineStr">
        <is>
          <t>EMP-nnnn</t>
        </is>
      </c>
      <c r="D7" s="57" t="inlineStr">
        <is>
          <t>1 member → many calls</t>
        </is>
      </c>
      <c r="E7" s="57" t="inlineStr">
        <is>
          <t>Name, DOB, lines enrolled, effective date, dependents, home zip</t>
        </is>
      </c>
      <c r="F7" s="57" t="inlineStr">
        <is>
          <t>Broker is deliberately absent. Inherit it through the employer so a broker of record change corrects in one place.</t>
        </is>
      </c>
    </row>
    <row r="8" ht="45.75" customHeight="1" s="48">
      <c r="A8" s="58" t="inlineStr">
        <is>
          <t>Employer contact</t>
        </is>
      </c>
      <c r="B8" s="58" t="inlineStr">
        <is>
          <t>CON-nnn</t>
        </is>
      </c>
      <c r="C8" s="59" t="inlineStr">
        <is>
          <t>EMP-nnnn</t>
        </is>
      </c>
      <c r="D8" s="59" t="inlineStr">
        <is>
          <t>1 contact → many calls</t>
        </is>
      </c>
      <c r="E8" s="59" t="inlineStr">
        <is>
          <t>Name, role, authority level (can bind / cannot bind)</t>
        </is>
      </c>
      <c r="F8" s="59" t="inlineStr">
        <is>
          <t>Employer calls come from an HR or finance person, not from the group itself. Authority level decides what an agent may action.</t>
        </is>
      </c>
    </row>
    <row r="9" ht="45.75" customHeight="1" s="48">
      <c r="A9" s="56" t="inlineStr">
        <is>
          <t>Agent</t>
        </is>
      </c>
      <c r="B9" s="56" t="inlineStr">
        <is>
          <t>AGT-nn</t>
        </is>
      </c>
      <c r="C9" s="57" t="inlineStr">
        <is>
          <t>—</t>
        </is>
      </c>
      <c r="D9" s="57" t="inlineStr">
        <is>
          <t>1 agent → many calls</t>
        </is>
      </c>
      <c r="E9" s="57" t="inlineStr">
        <is>
          <t>Name, band, hire date, queue</t>
        </is>
      </c>
      <c r="F9" s="57" t="inlineStr">
        <is>
          <t>Score is a property of agent and call. It never rolls up to an account.</t>
        </is>
      </c>
    </row>
    <row r="10" ht="45.75" customHeight="1" s="48">
      <c r="A10" s="58" t="inlineStr">
        <is>
          <t>Call</t>
        </is>
      </c>
      <c r="B10" s="58" t="inlineStr">
        <is>
          <t>C-nnnn</t>
        </is>
      </c>
      <c r="C10" s="59" t="inlineStr">
        <is>
          <t>CB / CON, EMP, BRK (derived), AGT</t>
        </is>
      </c>
      <c r="D10" s="59" t="inlineStr">
        <is>
          <t>1 call → many tags; 1 call → many signals</t>
        </is>
      </c>
      <c r="E10" s="59" t="inlineStr">
        <is>
          <t>Timestamp, duration, queue, outcome, category, product lines, quality score, transcript</t>
        </is>
      </c>
      <c r="F10" s="59" t="inlineStr">
        <is>
          <t>The fact table. Every metric in this workbook is an aggregation over this one entity.</t>
        </is>
      </c>
    </row>
    <row r="11" ht="45.75" customHeight="1" s="48">
      <c r="A11" s="56" t="inlineStr">
        <is>
          <t>Signal</t>
        </is>
      </c>
      <c r="B11" s="56" t="inlineStr">
        <is>
          <t>SIG-nnnn</t>
        </is>
      </c>
      <c r="C11" s="57" t="inlineStr">
        <is>
          <t>C-nnnn</t>
        </is>
      </c>
      <c r="D11" s="57" t="inlineStr">
        <is>
          <t>many signals → 1 call</t>
        </is>
      </c>
      <c r="E11" s="57" t="inlineStr">
        <is>
          <t>Signal type, severity, owner, evidence turn reference</t>
        </is>
      </c>
      <c r="F11" s="57" t="inlineStr">
        <is>
          <t>Separate from the call so one call can raise several, and so signal density counts distinct types rather than occurrences.</t>
        </is>
      </c>
    </row>
    <row r="12" ht="45.75" customHeight="1" s="48">
      <c r="A12" s="58" t="inlineStr">
        <is>
          <t>Rubric marker</t>
        </is>
      </c>
      <c r="B12" s="58" t="inlineStr">
        <is>
          <t>MRK-nnnnn</t>
        </is>
      </c>
      <c r="C12" s="59" t="inlineStr">
        <is>
          <t>C-nnnn</t>
        </is>
      </c>
      <c r="D12" s="59" t="inlineStr">
        <is>
          <t>many markers → 1 call</t>
        </is>
      </c>
      <c r="E12" s="59" t="inlineStr">
        <is>
          <t>Dimension, polarity, magnitude, quoted evidence, verification status</t>
        </is>
      </c>
      <c r="F12" s="59" t="inlineStr">
        <is>
          <t>Kept at marker level so a refused marker is visible. A score with no marker trail is not auditable.</t>
        </is>
      </c>
    </row>
    <row r="14" ht="43.5" customHeight="1" s="48">
      <c r="A14" s="60" t="inlineStr">
        <is>
          <t>Join path for broker attribution</t>
        </is>
      </c>
      <c r="B14" s="61" t="inlineStr">
        <is>
          <t>Call → Member → Employer → Broker.  For employer calls: Call → Contact → Employer → Broker.  A broker is only counted in a metric when named aloud in the transcript; the inherited link supplies identity, the transcript supplies the evidence. Where the broker named aloud does not match the employer's broker of record, that mismatch is itself a finding — either the member is confused or the record is stale.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47" min="1" max="1"/>
    <col width="25" customWidth="1" style="47" min="2" max="2"/>
    <col width="14" customWidth="1" style="47" min="3" max="3"/>
    <col width="46" customWidth="1" style="47" min="4" max="4"/>
    <col width="14" customWidth="1" style="47" min="5" max="5"/>
    <col width="50" customWidth="1" style="47" min="6" max="6"/>
  </cols>
  <sheetData>
    <row r="1" ht="21.75" customHeight="1" s="48">
      <c r="A1" s="53" t="inlineStr">
        <is>
          <t>Call tag schema</t>
        </is>
      </c>
    </row>
    <row r="2" ht="74.25" customHeight="1" s="48">
      <c r="A2" s="54" t="inlineStr">
        <is>
          <t>Sixteen fields the pipeline must emit for every call. This is the contract between the analysis pipeline and everything downstream: every metric, every signal and every intelligence claim in this workbook is an aggregation over these sixteen fields and nothing else. If a new insight needs data that is not here, the schema changes first and the insight second. Two fields are new in v8 — process_gap, which captures an improvement proposal raised inside a call and gives it a lifecycle so it cannot die as a note, and touchpoint, which records where in the member journey the failure actually originated rather than where it surfaced.</t>
        </is>
      </c>
    </row>
    <row r="3" ht="6" customHeight="1" s="48"/>
    <row r="4" ht="31.5" customHeight="1" s="48">
      <c r="A4" s="55" t="inlineStr">
        <is>
          <t>#</t>
        </is>
      </c>
      <c r="B4" s="55" t="inlineStr">
        <is>
          <t>Tag</t>
        </is>
      </c>
      <c r="C4" s="55" t="inlineStr">
        <is>
          <t>Type</t>
        </is>
      </c>
      <c r="D4" s="55" t="inlineStr">
        <is>
          <t>Allowed values</t>
        </is>
      </c>
      <c r="E4" s="55" t="inlineStr">
        <is>
          <t>Emitted by</t>
        </is>
      </c>
      <c r="F4" s="55" t="inlineStr">
        <is>
          <t>Notes for development</t>
        </is>
      </c>
    </row>
    <row r="5" ht="43.5" customHeight="1" s="48">
      <c r="A5" s="56" t="n">
        <v>1</v>
      </c>
      <c r="B5" s="56" t="inlineStr">
        <is>
          <t>outcome</t>
        </is>
      </c>
      <c r="C5" s="56" t="inlineStr">
        <is>
          <t>enum</t>
        </is>
      </c>
      <c r="D5" s="57" t="inlineStr">
        <is>
          <t>RESOLVED · PARTIALLY_RESOLVED · ESCALATED · UNRESOLVED</t>
        </is>
      </c>
      <c r="E5" s="56" t="inlineStr">
        <is>
          <t>L2</t>
        </is>
      </c>
      <c r="F5" s="57" t="inlineStr">
        <is>
          <t>Single-valued. Drives FCR, repeat and escalation metrics.</t>
        </is>
      </c>
    </row>
    <row r="6" ht="43.5" customHeight="1" s="48">
      <c r="A6" s="58" t="n">
        <v>2</v>
      </c>
      <c r="B6" s="58" t="inlineStr">
        <is>
          <t>category</t>
        </is>
      </c>
      <c r="C6" s="58" t="inlineStr">
        <is>
          <t>enum</t>
        </is>
      </c>
      <c r="D6" s="59" t="inlineStr">
        <is>
          <t>Coverage &amp; Benefits · Claims &amp; EOB · Provider Network · Billing &amp; Premium · Enrollment &amp; ID Cards · Life &amp; Beneficiary · Broker Conduct</t>
        </is>
      </c>
      <c r="E6" s="58" t="inlineStr">
        <is>
          <t>L2</t>
        </is>
      </c>
      <c r="F6" s="59" t="inlineStr">
        <is>
          <t>Single-valued. Pharmacy removed — ChoiceBuilder has no pharmacy line. Life &amp; Beneficiary added.</t>
        </is>
      </c>
    </row>
    <row r="7" ht="43.5" customHeight="1" s="48">
      <c r="A7" s="56" t="n">
        <v>3</v>
      </c>
      <c r="B7" s="56" t="inlineStr">
        <is>
          <t>product_lines</t>
        </is>
      </c>
      <c r="C7" s="56" t="inlineStr">
        <is>
          <t>array</t>
        </is>
      </c>
      <c r="D7" s="57" t="inlineStr">
        <is>
          <t>dental · vision · life · chiro · program</t>
        </is>
      </c>
      <c r="E7" s="56" t="inlineStr">
        <is>
          <t>L2</t>
        </is>
      </c>
      <c r="F7" s="57" t="inlineStr">
        <is>
          <t>Multi-valued. Shares exceed 100%; contact rate uses a single primary line to avoid double counting.</t>
        </is>
      </c>
    </row>
    <row r="8" ht="43.5" customHeight="1" s="48">
      <c r="A8" s="58" t="n">
        <v>4</v>
      </c>
      <c r="B8" s="58" t="inlineStr">
        <is>
          <t>complaint</t>
        </is>
      </c>
      <c r="C8" s="58" t="inlineStr">
        <is>
          <t>object</t>
        </is>
      </c>
      <c r="D8" s="59" t="inlineStr">
        <is>
          <t>{present: bool, attributed_to: CHOICE | BROKER | CARRIER | PROVIDER}</t>
        </is>
      </c>
      <c r="E8" s="58" t="inlineStr">
        <is>
          <t>L2</t>
        </is>
      </c>
      <c r="F8" s="59" t="inlineStr">
        <is>
          <t>Attribution is mandatory when present. An unattributed complaint total overstates CHOICE's own failure rate.</t>
        </is>
      </c>
    </row>
    <row r="9" ht="43.5" customHeight="1" s="48">
      <c r="A9" s="56" t="n">
        <v>5</v>
      </c>
      <c r="B9" s="56" t="inlineStr">
        <is>
          <t>signals</t>
        </is>
      </c>
      <c r="C9" s="56" t="inlineStr">
        <is>
          <t>array</t>
        </is>
      </c>
      <c r="D9" s="57" t="inlineStr">
        <is>
          <t>see Signal Taxonomy sheet</t>
        </is>
      </c>
      <c r="E9" s="56" t="inlineStr">
        <is>
          <t>L4</t>
        </is>
      </c>
      <c r="F9" s="57" t="inlineStr">
        <is>
          <t>Zero or more. Distinct types, deduplicated per call.</t>
        </is>
      </c>
    </row>
    <row r="10" ht="43.5" customHeight="1" s="48">
      <c r="A10" s="58" t="n">
        <v>6</v>
      </c>
      <c r="B10" s="58" t="inlineStr">
        <is>
          <t>escalation</t>
        </is>
      </c>
      <c r="C10" s="58" t="inlineStr">
        <is>
          <t>object</t>
        </is>
      </c>
      <c r="D10" s="59" t="inlineStr">
        <is>
          <t>{triggered: bool, trigger_type, requested_by_caller: bool, handled: bool}</t>
        </is>
      </c>
      <c r="E10" s="58" t="inlineStr">
        <is>
          <t>L2/L4</t>
        </is>
      </c>
      <c r="F10" s="59" t="inlineStr">
        <is>
          <t>triggered is the denominator for escalation integrity. Never use total calls.</t>
        </is>
      </c>
    </row>
    <row r="11" ht="43.5" customHeight="1" s="48">
      <c r="A11" s="56" t="n">
        <v>7</v>
      </c>
      <c r="B11" s="56" t="inlineStr">
        <is>
          <t>control_exceptions</t>
        </is>
      </c>
      <c r="C11" s="56" t="inlineStr">
        <is>
          <t>array</t>
        </is>
      </c>
      <c r="D11" s="57" t="inlineStr">
        <is>
          <t>no_recording_disclosure · disclosure_before_verification · missing_benefit_disclosure</t>
        </is>
      </c>
      <c r="E11" s="56" t="inlineStr">
        <is>
          <t>L1/L3</t>
        </is>
      </c>
      <c r="F11" s="57" t="inlineStr">
        <is>
          <t>Deterministic checks on the opening turns. The strongest case for real-time assist — a greeting check needs no model.</t>
        </is>
      </c>
    </row>
    <row r="12" ht="43.5" customHeight="1" s="48">
      <c r="A12" s="58" t="n">
        <v>8</v>
      </c>
      <c r="B12" s="58" t="inlineStr">
        <is>
          <t>knowledge_failure</t>
        </is>
      </c>
      <c r="C12" s="58" t="inlineStr">
        <is>
          <t>object</t>
        </is>
      </c>
      <c r="D12" s="59" t="inlineStr">
        <is>
          <t>{present: bool, rule_id, correct_statement}</t>
        </is>
      </c>
      <c r="E12" s="58" t="inlineStr">
        <is>
          <t>L3</t>
        </is>
      </c>
      <c r="F12" s="59" t="inlineStr">
        <is>
          <t>Must cite a rule ID from the Product Rules sheet. Naming the rule points at one article; naming the agent fixes nothing.</t>
        </is>
      </c>
    </row>
    <row r="13" ht="43.5" customHeight="1" s="48">
      <c r="A13" s="56" t="n">
        <v>9</v>
      </c>
      <c r="B13" s="56" t="inlineStr">
        <is>
          <t>intent</t>
        </is>
      </c>
      <c r="C13" s="56" t="inlineStr">
        <is>
          <t>array</t>
        </is>
      </c>
      <c r="D13" s="57" t="inlineStr">
        <is>
          <t>expansion · market_test · cancellation · none</t>
        </is>
      </c>
      <c r="E13" s="56" t="inlineStr">
        <is>
          <t>L2</t>
        </is>
      </c>
      <c r="F13" s="57" t="inlineStr">
        <is>
          <t>Verbatim statements only, with the turn reference. Inferred intent is an opinion and will be treated as one.</t>
        </is>
      </c>
    </row>
    <row r="14" ht="43.5" customHeight="1" s="48">
      <c r="A14" s="58" t="n">
        <v>10</v>
      </c>
      <c r="B14" s="58" t="inlineStr">
        <is>
          <t>quality_score</t>
        </is>
      </c>
      <c r="C14" s="58" t="inlineStr">
        <is>
          <t>integer</t>
        </is>
      </c>
      <c r="D14" s="59" t="inlineStr">
        <is>
          <t>0–100</t>
        </is>
      </c>
      <c r="E14" s="58" t="inlineStr">
        <is>
          <t>L3</t>
        </is>
      </c>
      <c r="F14" s="59" t="inlineStr">
        <is>
          <t>Property of the call and the agent. Never averaged to employer, product line or broker.</t>
        </is>
      </c>
    </row>
    <row r="15" ht="43.5" customHeight="1" s="48">
      <c r="A15" s="56" t="n">
        <v>11</v>
      </c>
      <c r="B15" s="56" t="inlineStr">
        <is>
          <t>markers</t>
        </is>
      </c>
      <c r="C15" s="56" t="inlineStr">
        <is>
          <t>array</t>
        </is>
      </c>
      <c r="D15" s="57" t="inlineStr">
        <is>
          <t>{dimension, polarity, magnitude, quote, turn_ref, verified}</t>
        </is>
      </c>
      <c r="E15" s="56" t="inlineStr">
        <is>
          <t>L3</t>
        </is>
      </c>
      <c r="F15" s="57" t="inlineStr">
        <is>
          <t>Retained at marker level including refused markers, so the score is auditable and the tenet views derive from here.</t>
        </is>
      </c>
    </row>
    <row r="16" ht="43.5" customHeight="1" s="48">
      <c r="A16" s="58" t="n">
        <v>12</v>
      </c>
      <c r="B16" s="58" t="inlineStr">
        <is>
          <t>aht_seconds</t>
        </is>
      </c>
      <c r="C16" s="58" t="inlineStr">
        <is>
          <t>integer</t>
        </is>
      </c>
      <c r="D16" s="59" t="inlineStr">
        <is>
          <t>—</t>
        </is>
      </c>
      <c r="E16" s="58" t="inlineStr">
        <is>
          <t>telephony</t>
        </is>
      </c>
      <c r="F16" s="59" t="inlineStr">
        <is>
          <t>Talk time only. Excludes hold and after-call work — every time-based metric is a floor.</t>
        </is>
      </c>
    </row>
    <row r="17" ht="43.5" customHeight="1" s="48">
      <c r="A17" s="56" t="n">
        <v>13</v>
      </c>
      <c r="B17" s="56" t="inlineStr">
        <is>
          <t>caller_ref</t>
        </is>
      </c>
      <c r="C17" s="56" t="inlineStr">
        <is>
          <t>string</t>
        </is>
      </c>
      <c r="D17" s="57" t="inlineStr">
        <is>
          <t>CB-nnnnnnn or CON-nnn</t>
        </is>
      </c>
      <c r="E17" s="56" t="inlineStr">
        <is>
          <t>L1</t>
        </is>
      </c>
      <c r="F17" s="57" t="inlineStr">
        <is>
          <t>Verified identity from the transcript. Employer and broker are joined, not tagged.</t>
        </is>
      </c>
    </row>
    <row r="18" ht="43.5" customHeight="1" s="48">
      <c r="A18" s="58" t="n">
        <v>14</v>
      </c>
      <c r="B18" s="58" t="inlineStr">
        <is>
          <t>broker_named_aloud</t>
        </is>
      </c>
      <c r="C18" s="58" t="inlineStr">
        <is>
          <t>object</t>
        </is>
      </c>
      <c r="D18" s="59" t="inlineStr">
        <is>
          <t>{present: bool, broker_ref, sentiment: ADVERSE | POSITIVE}</t>
        </is>
      </c>
      <c r="E18" s="58" t="inlineStr">
        <is>
          <t>L1/L2</t>
        </is>
      </c>
      <c r="F18" s="59" t="inlineStr">
        <is>
          <t>Only true when the caller says the name. broker_ref is validated against the employer's broker of record; a mismatch is itself a finding. Where broker_ref does not match the employer's broker of record from the Employer Master, flag the mismatch rather than overwriting either.</t>
        </is>
      </c>
    </row>
    <row r="19" ht="43.5" customHeight="1" s="48">
      <c r="A19" s="56" t="n">
        <v>15</v>
      </c>
      <c r="B19" s="56" t="inlineStr">
        <is>
          <t>process_gap</t>
        </is>
      </c>
      <c r="C19" s="56" t="inlineStr">
        <is>
          <t>object</t>
        </is>
      </c>
      <c r="D19" s="57" t="inlineStr">
        <is>
          <t>{present: bool, gap_type, touchpoint, proposed_change, raised_by: AGENT|CALLER, status: UNVALIDATED|VALIDATED|ACTIONED|REJECTED}</t>
        </is>
      </c>
      <c r="E19" s="56" t="inlineStr">
        <is>
          <t>L4</t>
        </is>
      </c>
      <c r="F19" s="57" t="inlineStr">
        <is>
          <t>NEW in v8. A structural improvement proposed or implied inside a call — 'the denial letter should say which waiting period and when it ends'. Distinct from process_breakdown, which means something failed; a gap means something is missing or unclear by design. The status field is the point: a tag without a lifecycle is a note nobody reads. Aggregate by touchpoint and proposed_change — seven calls proposing the same change to the same document is a prioritised backlog item with evidence and cost attached.</t>
        </is>
      </c>
    </row>
    <row r="20" ht="43.5" customHeight="1" s="48">
      <c r="A20" s="58" t="n">
        <v>16</v>
      </c>
      <c r="B20" s="58" t="inlineStr">
        <is>
          <t>touchpoint</t>
        </is>
      </c>
      <c r="C20" s="58" t="inlineStr">
        <is>
          <t>enum</t>
        </is>
      </c>
      <c r="D20" s="59" t="inlineStr">
        <is>
          <t>See Touchpoints sheet</t>
        </is>
      </c>
      <c r="E20" s="58" t="inlineStr">
        <is>
          <t>L2/L4</t>
        </is>
      </c>
      <c r="F20" s="59" t="inlineStr">
        <is>
          <t>NEW in v8. Where the failure originated, not where it surfaced. A member confused about a waiting period surfaced on a call but originated at the enrolment meeting or in the denial letter. Knowledge failures and process gaps both roll up by touchpoint, which answers 'what does this organisation repeatedly fail to explain, and where' far better than rule ID alone.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10"/>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47" min="1" max="1"/>
    <col width="40" customWidth="1" style="47" min="2" max="2"/>
    <col width="34" customWidth="1" style="47" min="3" max="3"/>
    <col width="44" customWidth="1" style="47" min="4" max="4"/>
    <col width="34" customWidth="1" style="47" min="5" max="5"/>
    <col width="44" customWidth="1" style="47" min="6" max="6"/>
    <col width="32" customWidth="1" style="47" min="7" max="7"/>
  </cols>
  <sheetData>
    <row r="1" ht="21.75" customHeight="1" s="48">
      <c r="A1" s="53" t="inlineStr">
        <is>
          <t>Call outcomes — definitions and worked examples</t>
        </is>
      </c>
    </row>
    <row r="2" ht="74.25" customHeight="1" s="48">
      <c r="A2" s="54" t="inlineStr">
        <is>
          <t>Four outcome values, and the distinctions between them decide a large share of the platform's numbers — first-contact resolution, the failure-driven repeat rate, escalation integrity and self-inflicted demand all key off this single field. The test that separates them is not whether the caller was satisfied and not whether the agent performed well; it is whether an owned, committed action remains open at the moment the call disconnects, and who owns it. A call can be handled beautifully and still be UNRESOLVED. A caller can be perfectly content and the call still ESCALATED. Read the decision test in order — it resolves almost every edge case.</t>
        </is>
      </c>
    </row>
    <row r="3" ht="6" customHeight="1" s="48"/>
    <row r="4" ht="31.5" customHeight="1" s="48">
      <c r="A4" s="55" t="inlineStr">
        <is>
          <t>Outcome</t>
        </is>
      </c>
      <c r="B4" s="55" t="inlineStr">
        <is>
          <t>Definition</t>
        </is>
      </c>
      <c r="C4" s="55" t="inlineStr">
        <is>
          <t>The test</t>
        </is>
      </c>
      <c r="D4" s="55" t="inlineStr">
        <is>
          <t>Worked example from the corpus</t>
        </is>
      </c>
      <c r="E4" s="55" t="inlineStr">
        <is>
          <t>What it is NOT</t>
        </is>
      </c>
      <c r="F4" s="55" t="inlineStr">
        <is>
          <t>Edge cases</t>
        </is>
      </c>
      <c r="G4" s="55" t="inlineStr">
        <is>
          <t>Effect on metrics</t>
        </is>
      </c>
    </row>
    <row r="5" ht="117.75" customHeight="1" s="48">
      <c r="A5" s="56" t="inlineStr">
        <is>
          <t>RESOLVED</t>
        </is>
      </c>
      <c r="B5" s="57" t="inlineStr">
        <is>
          <t>The caller's issue was concluded during the call. Nothing further is required from the caller, the agent, Choice, a carrier or a broker.</t>
        </is>
      </c>
      <c r="C5" s="57" t="inlineStr">
        <is>
          <t>At disconnect, is there any open action owned by anyone? If no, RESOLVED.</t>
        </is>
      </c>
      <c r="D5" s="57" t="inlineStr">
        <is>
          <t>C-0001 — a member's crown claim was denied. The agent explained both waiting periods, confirmed the eligibility date, advised on sequencing the second crown, and sent a written summary. Nothing is outstanding.</t>
        </is>
      </c>
      <c r="E5" s="57" t="inlineStr">
        <is>
          <t>Not 'the caller was satisfied'. Not 'the agent gave correct information'. Correct information that leaves the caller unable to act is UNRESOLVED.</t>
        </is>
      </c>
      <c r="F5" s="57" t="inlineStr">
        <is>
          <t>An agent who delivers bad news correctly and completely, with nothing left open, is RESOLVED even if the caller is unhappy. A written summary sent during the call does not create an open action.</t>
        </is>
      </c>
      <c r="G5" s="57" t="inlineStr">
        <is>
          <t>The only value counted in the FCR numerator, and then only if no related contact follows within 14 days.</t>
        </is>
      </c>
    </row>
    <row r="6" ht="117.75" customHeight="1" s="48">
      <c r="A6" s="58" t="inlineStr">
        <is>
          <t>PARTIALLY RESOLVED</t>
        </is>
      </c>
      <c r="B6" s="59" t="inlineStr">
        <is>
          <t>Part of the issue was concluded and part remains open, with a named action and an owner inside Choice or a carrier.</t>
        </is>
      </c>
      <c r="C6" s="59" t="inlineStr">
        <is>
          <t>Was at least one substantive question answered, AND does at least one committed action remain with a named owner and a timeframe? If both, PARTIALLY RESOLVED.</t>
        </is>
      </c>
      <c r="D6" s="59" t="inlineStr">
        <is>
          <t>C-0002 — an employer's chiropractic network gap. The agent confirmed the limitation, ruled out the two remedies the employer wanted, and committed to a network density report from Landmark within a week plus a written explanation for the affected employees that day.</t>
        </is>
      </c>
      <c r="E6" s="59" t="inlineStr">
        <is>
          <t>Not a soft version of UNRESOLVED. If nothing was answered and nothing was committed, it is UNRESOLVED.</t>
        </is>
      </c>
      <c r="F6" s="59" t="inlineStr">
        <is>
          <t>A dependency on a third party such as a carrier is PARTIALLY RESOLVED, not ESCALATED — escalation means ownership moved inside the organisation to someone with authority the agent lacks. A vague 'I'll look into it' with no owner, reference or date is UNRESOLVED.</t>
        </is>
      </c>
      <c r="G6" s="59" t="inlineStr">
        <is>
          <t>Sits in the FCR denominator, never the numerator. Counts toward open-action ageing.</t>
        </is>
      </c>
    </row>
    <row r="7" ht="117.75" customHeight="1" s="48">
      <c r="A7" s="56" t="inlineStr">
        <is>
          <t>ESCALATED</t>
        </is>
      </c>
      <c r="B7" s="57" t="inlineStr">
        <is>
          <t>Ownership of the issue was transferred to a named party with authority the agent does not have, with a reference, and the work continues after the call ends.</t>
        </is>
      </c>
      <c r="C7" s="57" t="inlineStr">
        <is>
          <t>Is there a named owner outside the agent's authority, a reference number, and a committed timeframe? All three, or it is not escalated.</t>
        </is>
      </c>
      <c r="D7" s="57" t="inlineStr">
        <is>
          <t>C-0005 — an employer billed for fourteen leavers over six cycles after a broker told them email notification was sufficient. The agent raised a reconciliation, escalated the broker conduct to a named owner in Broker Relations the same day, and gave two references.</t>
        </is>
      </c>
      <c r="E7" s="57" t="inlineStr">
        <is>
          <t>NOT a live transfer to another agent. NOT a promise to 'pass it on'. NOT a note on the account. A transfer to a peer who could have handled it anyway is not escalation, it is routing.</t>
        </is>
      </c>
      <c r="F7" s="57" t="inlineStr">
        <is>
          <t>Escalation may be agent-initiated as well as caller-requested; both count. An escalation with no reference given to the caller is tagged ESCALATED but flagged, because the caller has no way to chase it. Escalating something inside the agent's own authority is over-escalation — see Escalation Logic.</t>
        </is>
      </c>
      <c r="G7" s="57" t="inlineStr">
        <is>
          <t>The numerator of escalation integrity. Sits in the FCR denominator, never the numerator.</t>
        </is>
      </c>
    </row>
    <row r="8" ht="117.75" customHeight="1" s="48">
      <c r="A8" s="58" t="inlineStr">
        <is>
          <t>UNRESOLVED</t>
        </is>
      </c>
      <c r="B8" s="59" t="inlineStr">
        <is>
          <t>The caller's issue is materially unchanged and no owned action exists.</t>
        </is>
      </c>
      <c r="C8" s="59" t="inlineStr">
        <is>
          <t>At disconnect, is the caller in the same position they were in when they rang, with nothing committed by anyone? If yes, UNRESOLVED.</t>
        </is>
      </c>
      <c r="D8" s="59" t="inlineStr">
        <is>
          <t>C-0004 — a member chasing a dental ID card. The agent was polite and procedurally correct, never established where the card had been sent, offered the portal, and closed. The member still has no card and an appointment on Friday.</t>
        </is>
      </c>
      <c r="E8" s="59" t="inlineStr">
        <is>
          <t>Not 'the agent was rude'. Most unresolved calls in this corpus are polite. Not 'the answer was no' — a correct, complete no with nothing outstanding is RESOLVED.</t>
        </is>
      </c>
      <c r="F8" s="59" t="inlineStr">
        <is>
          <t>The 'correct but useless' call is the important edge: the agent states a rule accurately and the caller still cannot act, with no route offered. That is UNRESOLVED. An explicit escalation request that is refused with no alternative is almost always UNRESOLVED and additionally raises escalation_missed.</t>
        </is>
      </c>
      <c r="G8" s="59" t="inlineStr">
        <is>
          <t>The denominator of the failure-driven repeat rate. Feeds self-inflicted demand when a second contact follows.</t>
        </is>
      </c>
    </row>
    <row r="10" ht="48" customHeight="1" s="48">
      <c r="A10" s="60" t="inlineStr">
        <is>
          <t>Decision order</t>
        </is>
      </c>
      <c r="B10" s="61" t="inlineStr">
        <is>
          <t>1. Did ownership move to someone with authority the agent lacks, with a reference and a date? → ESCALATED.  2. Otherwise, is any committed action with a named owner still open? → PARTIALLY RESOLVED.  3. Otherwise, is the caller's issue concluded? → RESOLVED.  4. Otherwise → UNRESOLVED.  Apply in this order. Satisfaction, tone and agent score play no part in it.</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2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47" min="1" max="1"/>
    <col width="46" customWidth="1" style="47" min="2" max="2"/>
    <col width="42" customWidth="1" style="47" min="3" max="3"/>
    <col width="52" customWidth="1" style="47" min="4" max="4"/>
  </cols>
  <sheetData>
    <row r="1" ht="21.75" customHeight="1" s="48">
      <c r="A1" s="53" t="inlineStr">
        <is>
          <t>Escalation — triggered, handled, and how they relate to outcome</t>
        </is>
      </c>
    </row>
    <row r="2" ht="74.25" customHeight="1" s="48">
      <c r="A2" s="54" t="inlineStr">
        <is>
          <t>escalation.triggered and outcome are two different fields answering two different questions, and conflating them is the single most common way an escalation metric becomes meaningless. TRIGGERED asks whether the call contained a condition that warranted escalation — a fact about the situation, detectable from the transcript, independent of what the agent did. HANDLED asks whether it was actually routed. OUTCOME records where the call ended. Escalation integrity is measured as handled divided by triggered, never as escalations divided by all calls: against all calls a rate of zero reads as good news, whereas against warranted calls it reads as a control failure, which is what it is.</t>
        </is>
      </c>
    </row>
    <row r="3" ht="6" customHeight="1" s="48"/>
    <row r="4" ht="31.5" customHeight="1" s="48">
      <c r="A4" s="55" t="inlineStr">
        <is>
          <t>Field</t>
        </is>
      </c>
      <c r="B4" s="55" t="inlineStr">
        <is>
          <t>What it answers</t>
        </is>
      </c>
      <c r="C4" s="55" t="inlineStr">
        <is>
          <t>Who or what determines it</t>
        </is>
      </c>
      <c r="D4" s="55" t="inlineStr">
        <is>
          <t>Why it is separate</t>
        </is>
      </c>
    </row>
    <row r="5" ht="45.75" customHeight="1" s="48">
      <c r="A5" s="56" t="inlineStr">
        <is>
          <t>escalation.triggered</t>
        </is>
      </c>
      <c r="B5" s="57" t="inlineStr">
        <is>
          <t>Did this call contain a condition that warranted escalation?</t>
        </is>
      </c>
      <c r="C5" s="57" t="inlineStr">
        <is>
          <t>The situation, detected from the transcript against the trigger list below. Deterministic where possible.</t>
        </is>
      </c>
      <c r="D5" s="57" t="inlineStr">
        <is>
          <t>It is the denominator. It must be independent of the agent's behaviour, or a poor agent shrinks their own denominator and scores well.</t>
        </is>
      </c>
    </row>
    <row r="6" ht="45.75" customHeight="1" s="48">
      <c r="A6" s="58" t="inlineStr">
        <is>
          <t>escalation.requested_by_caller</t>
        </is>
      </c>
      <c r="B6" s="59" t="inlineStr">
        <is>
          <t>Did the caller explicitly ask for a supervisor or someone senior?</t>
        </is>
      </c>
      <c r="C6" s="59" t="inlineStr">
        <is>
          <t>The caller's words, verbatim, with a turn reference.</t>
        </is>
      </c>
      <c r="D6" s="59" t="inlineStr">
        <is>
          <t>The most defensible subset of triggers — no interpretation involved. A good first proof that the evidence model works.</t>
        </is>
      </c>
    </row>
    <row r="7" ht="45.75" customHeight="1" s="48">
      <c r="A7" s="56" t="inlineStr">
        <is>
          <t>escalation.handled</t>
        </is>
      </c>
      <c r="B7" s="57" t="inlineStr">
        <is>
          <t>Was ownership actually transferred to a named party with a reference?</t>
        </is>
      </c>
      <c r="C7" s="57" t="inlineStr">
        <is>
          <t>The agent's actions.</t>
        </is>
      </c>
      <c r="D7" s="57" t="inlineStr">
        <is>
          <t>It is the numerator.</t>
        </is>
      </c>
    </row>
    <row r="8" ht="45.75" customHeight="1" s="48">
      <c r="A8" s="58" t="inlineStr">
        <is>
          <t>escalation.trigger_type</t>
        </is>
      </c>
      <c r="B8" s="59" t="inlineStr">
        <is>
          <t>Which condition fired.</t>
        </is>
      </c>
      <c r="C8" s="59" t="inlineStr">
        <is>
          <t>The trigger list below.</t>
        </is>
      </c>
      <c r="D8" s="59" t="inlineStr">
        <is>
          <t>Lets Broker Relations, Compliance and Account Management each see only their own escalations.</t>
        </is>
      </c>
    </row>
    <row r="9" ht="45.75" customHeight="1" s="48">
      <c r="A9" s="56" t="inlineStr">
        <is>
          <t>outcome</t>
        </is>
      </c>
      <c r="B9" s="57" t="inlineStr">
        <is>
          <t>Where did the call end?</t>
        </is>
      </c>
      <c r="C9" s="57" t="inlineStr">
        <is>
          <t>The Outcomes sheet decision order.</t>
        </is>
      </c>
      <c r="D9" s="57" t="inlineStr">
        <is>
          <t>A call can be triggered and handled and still end PARTIALLY RESOLVED if the escalation covers only part of the issue.</t>
        </is>
      </c>
    </row>
    <row r="11" ht="15" customHeight="1" s="48">
      <c r="A11" s="62" t="inlineStr">
        <is>
          <t>THE MATRIX</t>
        </is>
      </c>
    </row>
    <row r="12" ht="25.5" customHeight="1" s="48">
      <c r="A12" s="55" t="inlineStr">
        <is>
          <t>Combination</t>
        </is>
      </c>
      <c r="B12" s="55" t="inlineStr">
        <is>
          <t>Resulting outcome</t>
        </is>
      </c>
      <c r="C12" s="55" t="inlineStr">
        <is>
          <t>What it means</t>
        </is>
      </c>
      <c r="D12" s="55" t="inlineStr">
        <is>
          <t>Example</t>
        </is>
      </c>
      <c r="E12" s="55" t="inlineStr">
        <is>
          <t>Note</t>
        </is>
      </c>
    </row>
    <row r="13" ht="61.5" customHeight="1" s="48">
      <c r="A13" s="57" t="inlineStr">
        <is>
          <t>TRIGGERED = true · HANDLED = true</t>
        </is>
      </c>
      <c r="B13" s="57" t="inlineStr">
        <is>
          <t>ESCALATED</t>
        </is>
      </c>
      <c r="C13" s="57" t="inlineStr">
        <is>
          <t>Correct handling. Counts in both numerator and denominator of escalation integrity.</t>
        </is>
      </c>
      <c r="D13" s="57" t="inlineStr">
        <is>
          <t>C-0005 — broker conduct routed to a named owner in Broker Relations the same day with a reference.</t>
        </is>
      </c>
      <c r="E13" s="57" t="inlineStr">
        <is>
          <t>None. This is the target state.</t>
        </is>
      </c>
    </row>
    <row r="14" ht="61.5" customHeight="1" s="48">
      <c r="A14" s="59" t="inlineStr">
        <is>
          <t>TRIGGERED = true · HANDLED = false</t>
        </is>
      </c>
      <c r="B14" s="59" t="inlineStr">
        <is>
          <t>Usually UNRESOLVED; occasionally PARTIALLY RESOLVED</t>
        </is>
      </c>
      <c r="C14" s="59" t="inlineStr">
        <is>
          <t>The failure case. Counts in the denominator only, and raises signal escalation_missed. This is the refusal rate.</t>
        </is>
      </c>
      <c r="D14" s="59" t="inlineStr">
        <is>
          <t>C-0010 — a CFO states he is going out to bid, asks twice for someone senior, and is offered a note on the account.</t>
        </is>
      </c>
      <c r="E14" s="59" t="inlineStr">
        <is>
          <t>The most expensive miss in the corpus. In the design, 25 of 43 triggered calls land here — a 58% refusal rate.</t>
        </is>
      </c>
    </row>
    <row r="15" ht="61.5" customHeight="1" s="48">
      <c r="A15" s="57" t="inlineStr">
        <is>
          <t>TRIGGERED = false · HANDLED = true</t>
        </is>
      </c>
      <c r="B15" s="57" t="inlineStr">
        <is>
          <t>ESCALATED, flagged</t>
        </is>
      </c>
      <c r="C15" s="57" t="inlineStr">
        <is>
          <t>Over-escalation. The agent routed something inside their own authority.</t>
        </is>
      </c>
      <c r="D15" s="57" t="inlineStr">
        <is>
          <t>An agent sending a straightforward billing credit to a supervisor rather than raising it themselves.</t>
        </is>
      </c>
      <c r="E15" s="57" t="inlineStr">
        <is>
          <t>Not a quality win. It is a cost and a capability signal — usually a training or confidence issue, not a bad agent. Report separately; do not let it inflate escalation integrity.</t>
        </is>
      </c>
    </row>
    <row r="16" ht="61.5" customHeight="1" s="48">
      <c r="A16" s="59" t="inlineStr">
        <is>
          <t>TRIGGERED = false · HANDLED = false</t>
        </is>
      </c>
      <c r="B16" s="59" t="inlineStr">
        <is>
          <t>Any outcome</t>
        </is>
      </c>
      <c r="C16" s="59" t="inlineStr">
        <is>
          <t>The ordinary call. No escalation metric applies.</t>
        </is>
      </c>
      <c r="D16" s="59" t="inlineStr">
        <is>
          <t>C-0001.</t>
        </is>
      </c>
      <c r="E16" s="59" t="inlineStr">
        <is>
          <t>Roughly 88% of calls. Excluded from both numerator and denominator.</t>
        </is>
      </c>
    </row>
    <row r="18" ht="15" customHeight="1" s="48">
      <c r="A18" s="62" t="inlineStr">
        <is>
          <t>TRIGGER LIST</t>
        </is>
      </c>
    </row>
    <row r="19" ht="15" customHeight="1" s="48">
      <c r="A19" s="55" t="inlineStr">
        <is>
          <t>Trigger type</t>
        </is>
      </c>
      <c r="B19" s="55" t="inlineStr">
        <is>
          <t>Condition</t>
        </is>
      </c>
      <c r="C19" s="55" t="inlineStr">
        <is>
          <t>Detection</t>
        </is>
      </c>
      <c r="D19" s="55" t="inlineStr">
        <is>
          <t>Owner it routes to</t>
        </is>
      </c>
    </row>
    <row r="20" ht="33.75" customHeight="1" s="48">
      <c r="A20" s="57" t="inlineStr">
        <is>
          <t>caller_request</t>
        </is>
      </c>
      <c r="B20" s="57" t="inlineStr">
        <is>
          <t>The caller explicitly asks for a supervisor, a manager or someone senior.</t>
        </is>
      </c>
      <c r="C20" s="57" t="inlineStr">
        <is>
          <t>Deterministic — verbatim phrase with turn reference.</t>
        </is>
      </c>
      <c r="D20" s="57" t="inlineStr">
        <is>
          <t>Operations</t>
        </is>
      </c>
    </row>
    <row r="21" ht="33.75" customHeight="1" s="48">
      <c r="A21" s="59" t="inlineStr">
        <is>
          <t>compliance_exception</t>
        </is>
      </c>
      <c r="B21" s="59" t="inlineStr">
        <is>
          <t>A control exception is detected on the call — no recording disclosure, detail disclosed before verification, a required disclosure omitted.</t>
        </is>
      </c>
      <c r="C21" s="59" t="inlineStr">
        <is>
          <t>Deterministic — greeting and verification sequence checks.</t>
        </is>
      </c>
      <c r="D21" s="59" t="inlineStr">
        <is>
          <t>Compliance</t>
        </is>
      </c>
    </row>
    <row r="22" ht="33.75" customHeight="1" s="48">
      <c r="A22" s="57" t="inlineStr">
        <is>
          <t>contested_document</t>
        </is>
      </c>
      <c r="B22" s="57" t="inlineStr">
        <is>
          <t>The caller disputes a document or signature on file, such as a broker of record change they did not authorise.</t>
        </is>
      </c>
      <c r="C22" s="57" t="inlineStr">
        <is>
          <t>Caller states the dispute; agent confirms a document exists.</t>
        </is>
      </c>
      <c r="D22" s="57" t="inlineStr">
        <is>
          <t>Broker Relations, then Compliance</t>
        </is>
      </c>
    </row>
    <row r="23" ht="33.75" customHeight="1" s="48">
      <c r="A23" s="59" t="inlineStr">
        <is>
          <t>retention_risk</t>
        </is>
      </c>
      <c r="B23" s="59" t="inlineStr">
        <is>
          <t>Verbatim exit or market-test language — going out to bid, moving at renewal, cancelling.</t>
        </is>
      </c>
      <c r="C23" s="59" t="inlineStr">
        <is>
          <t>Verbatim with turn reference. Inferred intent does not count.</t>
        </is>
      </c>
      <c r="D23" s="59" t="inlineStr">
        <is>
          <t>Account Management</t>
        </is>
      </c>
    </row>
    <row r="24" ht="33.75" customHeight="1" s="48">
      <c r="A24" s="57" t="inlineStr">
        <is>
          <t>clinical_or_safety_risk</t>
        </is>
      </c>
      <c r="B24" s="57" t="inlineStr">
        <is>
          <t>The caller describes a health or safety situation requiring urgent care or review.</t>
        </is>
      </c>
      <c r="C24" s="57" t="inlineStr">
        <is>
          <t>Model-detected, clinician-reviewed. Score is withheld pending review.</t>
        </is>
      </c>
      <c r="D24" s="57" t="inlineStr">
        <is>
          <t>Clinical review</t>
        </is>
      </c>
    </row>
    <row r="25" ht="33.75" customHeight="1" s="48">
      <c r="A25" s="59" t="inlineStr">
        <is>
          <t>scheduled_care_at_risk</t>
        </is>
      </c>
      <c r="B25" s="59" t="inlineStr">
        <is>
          <t>A benefit dispute the agent cannot resolve, where care is already booked within days.</t>
        </is>
      </c>
      <c r="C25" s="59" t="inlineStr">
        <is>
          <t>Agent cannot overturn AND a date is stated by the caller.</t>
        </is>
      </c>
      <c r="D25" s="59" t="inlineStr">
        <is>
          <t>Operations</t>
        </is>
      </c>
    </row>
    <row r="26" ht="33.75" customHeight="1" s="48">
      <c r="A26" s="57" t="inlineStr">
        <is>
          <t>authority_limit</t>
        </is>
      </c>
      <c r="B26" s="57" t="inlineStr">
        <is>
          <t>A billing correction, reinstatement or retroactive adjustment beyond the agent's authority threshold.</t>
        </is>
      </c>
      <c r="C26" s="57" t="inlineStr">
        <is>
          <t>Amount or action type exceeds a configured limit.</t>
        </is>
      </c>
      <c r="D26" s="57" t="inlineStr">
        <is>
          <t>Operations / Finance</t>
        </is>
      </c>
    </row>
    <row r="27" ht="33.75" customHeight="1" s="48">
      <c r="A27" s="59" t="inlineStr">
        <is>
          <t>broker_conduct_adverse</t>
        </is>
      </c>
      <c r="B27" s="59" t="inlineStr">
        <is>
          <t>A broker action or omission caused the caller's problem and the caller names the broker aloud.</t>
        </is>
      </c>
      <c r="C27" s="59" t="inlineStr">
        <is>
          <t>Named-aloud attribution plus an adverse finding.</t>
        </is>
      </c>
      <c r="D27" s="59" t="inlineStr">
        <is>
          <t>Broker Relations</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2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47" min="1" max="1"/>
    <col width="52" customWidth="1" style="47" min="2" max="2"/>
    <col width="48" customWidth="1" style="47" min="3" max="3"/>
    <col width="50" customWidth="1" style="47" min="4" max="4"/>
  </cols>
  <sheetData>
    <row r="1" ht="21.75" customHeight="1" s="48">
      <c r="A1" s="53" t="inlineStr">
        <is>
          <t>How a call score is produced</t>
        </is>
      </c>
    </row>
    <row r="2" ht="74.25" customHeight="1" s="48">
      <c r="A2" s="54" t="inlineStr">
        <is>
          <t>The score is not written by the model. The model reads the transcript and returns quoted evidence; a fixed rubric held in version-controlled configuration does the arithmetic. That separation is the most defensible property of the whole platform: it means the same transcript produces the same score, that changing provider changes cost and latency but never a number, and that every point lost can be traced to a quoted turn. This sheet sets out the mechanism, the verification step that throws evidence away, the two cases where no score is published, and — in the final section — four design decisions that are still open and should be settled before the framework is defended in front of a client.</t>
        </is>
      </c>
    </row>
    <row r="3" ht="6" customHeight="1" s="48"/>
    <row r="4" ht="31.5" customHeight="1" s="48">
      <c r="A4" s="55" t="inlineStr">
        <is>
          <t>Stage</t>
        </is>
      </c>
      <c r="B4" s="55" t="inlineStr">
        <is>
          <t>How it works</t>
        </is>
      </c>
      <c r="C4" s="55" t="inlineStr">
        <is>
          <t>Worked example</t>
        </is>
      </c>
      <c r="D4" s="55" t="inlineStr">
        <is>
          <t>Why it is built this way</t>
        </is>
      </c>
    </row>
    <row r="5" ht="84" customHeight="1" s="48">
      <c r="A5" s="56" t="inlineStr">
        <is>
          <t>1. Evidence extraction</t>
        </is>
      </c>
      <c r="B5" s="57" t="inlineStr">
        <is>
          <t>The model reads the transcript and returns markers. Each marker names a dimension, a polarity, a quoted phrase and the turn it came from. The model never returns a number.</t>
        </is>
      </c>
      <c r="C5" s="57" t="inlineStr">
        <is>
          <t>On call C0002 the model returned five surviving markers — three positive (empathy, accuracy, proactivity) and two negative (empathy, resolution_ownership).</t>
        </is>
      </c>
      <c r="D5" s="57" t="inlineStr">
        <is>
          <t>A model that returns a score cannot be audited, and two providers will disagree. A model that returns quotes can be checked against the transcript mechanically.</t>
        </is>
      </c>
    </row>
    <row r="6" ht="84" customHeight="1" s="48">
      <c r="A6" s="58" t="inlineStr">
        <is>
          <t>2. Verification</t>
        </is>
      </c>
      <c r="B6" s="59" t="inlineStr">
        <is>
          <t>Every marker is checked against the transcript before it can move the score. A marker is refused if the quoted words are not in the cited turn (quote_not_in_turn), the turn does not exist (missing_turn), or the dimension is not in the rubric (unknown_dimension). Refusals are recorded and shown on the call.</t>
        </is>
      </c>
      <c r="C6" s="59" t="inlineStr">
        <is>
          <t>A model claimed the agent said 'I can waive that fee for you today' at turn 9, citing a −15 compliance failure. Turn 9 actually reads 'I'll note the dispute and someone will call you back.' Refused, zero points.</t>
        </is>
      </c>
      <c r="D6" s="59" t="inlineStr">
        <is>
          <t>This is the step that makes the number auditable. It also turns model hallucination into a measurable property of the model rather than an invisible error in the score.</t>
        </is>
      </c>
    </row>
    <row r="7" ht="84" customHeight="1" s="48">
      <c r="A7" s="56" t="inlineStr">
        <is>
          <t>3. Arithmetic</t>
        </is>
      </c>
      <c r="B7" s="57" t="inlineStr">
        <is>
          <t>Base 100. Negative markers are summed per dimension and capped per dimension per call. Positive markers offset penalties up to a maximum of 15 points and never add above the base. Score = 100 − (capped penalties − offset).</t>
        </is>
      </c>
      <c r="C7" s="57" t="inlineStr">
        <is>
          <t>100 − (18 − 8) = 90.</t>
        </is>
      </c>
      <c r="D7" s="57" t="inlineStr">
        <is>
          <t>Caps stop the same criticism phrased five ways from sinking a call. The offset lets genuine good practice soften a poor call without erasing it.</t>
        </is>
      </c>
    </row>
    <row r="8" ht="84" customHeight="1" s="48">
      <c r="A8" s="58" t="inlineStr">
        <is>
          <t>4. Banding</t>
        </is>
      </c>
      <c r="B8" s="59" t="inlineStr">
        <is>
          <t>GOOD at 86 and above, AVERAGE at 60 and above, POOR below 60.</t>
        </is>
      </c>
      <c r="C8" s="59" t="inlineStr">
        <is>
          <t>Of 53 calls in the earlier corpus: 18 good, 29 average, 6 poor.</t>
        </is>
      </c>
      <c r="D8" s="59" t="inlineStr">
        <is>
          <t>The boundaries are currently empirical rather than outcome-calibrated — see open decision 3 below.</t>
        </is>
      </c>
    </row>
    <row r="9" ht="84" customHeight="1" s="48">
      <c r="A9" s="56" t="inlineStr">
        <is>
          <t>5. Withholding</t>
        </is>
      </c>
      <c r="B9" s="57" t="inlineStr">
        <is>
          <t>Two cases publish no number. Where clinical risk is present, a clinician reviews the call first; the score is visible to the reviewer with the reason attached. Where every marker failed verification, the call is marked Provisional rather than scored.</t>
        </is>
      </c>
      <c r="C9" s="57" t="inlineStr">
        <is>
          <t>A call where 0 of 7 markers survived would otherwise come through as a flawless 100.</t>
        </is>
      </c>
      <c r="D9" s="57" t="inlineStr">
        <is>
          <t>A call nobody has successfully scored is not a good call. Note the distinction: a call the model read and had no criticism of is a quiet call and stays confirmed — nothing proposed is not the same as nothing surviving.</t>
        </is>
      </c>
    </row>
    <row r="10" ht="84" customHeight="1" s="48">
      <c r="A10" s="58" t="inlineStr">
        <is>
          <t>6. Versioning</t>
        </is>
      </c>
      <c r="B10" s="59" t="inlineStr">
        <is>
          <t>The rubric lives in one configuration file. Weights are data, not code. Every score is stamped with the rubric version that produced it, and old scores keep the version they were judged under.</t>
        </is>
      </c>
      <c r="C10" s="59" t="inlineStr">
        <is>
          <t>config/rubric.yaml at v1.0.0.</t>
        </is>
      </c>
      <c r="D10" s="59" t="inlineStr">
        <is>
          <t>A tightened rule must be visible in the record, or historical comparison becomes meaningless and a policy change looks like a performance change.</t>
        </is>
      </c>
    </row>
    <row r="12" ht="15" customHeight="1" s="48">
      <c r="A12" s="62" t="inlineStr">
        <is>
          <t>THE SIX DIMENSIONS</t>
        </is>
      </c>
    </row>
    <row r="13" ht="57" customHeight="1" s="48">
      <c r="A13" s="55" t="inlineStr">
        <is>
          <t>Dimension</t>
        </is>
      </c>
      <c r="B13" s="55" t="inlineStr">
        <is>
          <t>What it measures</t>
        </is>
      </c>
      <c r="C13" s="55" t="inlineStr">
        <is>
          <t>Per +</t>
        </is>
      </c>
      <c r="D13" s="55" t="inlineStr">
        <is>
          <t>Per −</t>
        </is>
      </c>
      <c r="E13" s="55" t="inlineStr">
        <is>
          <t>Cap −</t>
        </is>
      </c>
      <c r="F13" s="55" t="inlineStr">
        <is>
          <t>Worst case from this dimension alone</t>
        </is>
      </c>
    </row>
    <row r="14" ht="23.25" customHeight="1" s="48">
      <c r="A14" s="57" t="inlineStr">
        <is>
          <t>escalation_appropriateness</t>
        </is>
      </c>
      <c r="B14" s="57" t="inlineStr">
        <is>
          <t>Recognising and acting on urgency</t>
        </is>
      </c>
      <c r="C14" s="57" t="n">
        <v>3</v>
      </c>
      <c r="D14" s="57" t="n">
        <v>-20</v>
      </c>
      <c r="E14" s="57" t="n">
        <v>40</v>
      </c>
      <c r="F14" s="57" t="inlineStr">
        <is>
          <t>40 points</t>
        </is>
      </c>
    </row>
    <row r="15" ht="15" customHeight="1" s="48">
      <c r="A15" s="59" t="inlineStr">
        <is>
          <t>compliance_disclosure</t>
        </is>
      </c>
      <c r="B15" s="59" t="inlineStr">
        <is>
          <t>Required disclosures and conduct</t>
        </is>
      </c>
      <c r="C15" s="59" t="n">
        <v>2</v>
      </c>
      <c r="D15" s="59" t="n">
        <v>-15</v>
      </c>
      <c r="E15" s="59" t="n">
        <v>45</v>
      </c>
      <c r="F15" s="59" t="inlineStr">
        <is>
          <t>45 points</t>
        </is>
      </c>
    </row>
    <row r="16" ht="15" customHeight="1" s="48">
      <c r="A16" s="57" t="inlineStr">
        <is>
          <t>accuracy</t>
        </is>
      </c>
      <c r="B16" s="57" t="inlineStr">
        <is>
          <t>Factual and procedural accuracy</t>
        </is>
      </c>
      <c r="C16" s="57" t="n">
        <v>2</v>
      </c>
      <c r="D16" s="57" t="n">
        <v>-12</v>
      </c>
      <c r="E16" s="57" t="n">
        <v>36</v>
      </c>
      <c r="F16" s="57" t="inlineStr">
        <is>
          <t>36 points</t>
        </is>
      </c>
    </row>
    <row r="17" ht="15" customHeight="1" s="48">
      <c r="A17" s="59" t="inlineStr">
        <is>
          <t>resolution_ownership</t>
        </is>
      </c>
      <c r="B17" s="59" t="inlineStr">
        <is>
          <t>Ownership of the member's outcome</t>
        </is>
      </c>
      <c r="C17" s="59" t="n">
        <v>2</v>
      </c>
      <c r="D17" s="59" t="n">
        <v>-10</v>
      </c>
      <c r="E17" s="59" t="n">
        <v>30</v>
      </c>
      <c r="F17" s="59" t="inlineStr">
        <is>
          <t>30 points</t>
        </is>
      </c>
    </row>
    <row r="18" ht="15" customHeight="1" s="48">
      <c r="A18" s="57" t="inlineStr">
        <is>
          <t>empathy</t>
        </is>
      </c>
      <c r="B18" s="57" t="inlineStr">
        <is>
          <t>Empathy and acknowledgement</t>
        </is>
      </c>
      <c r="C18" s="57" t="n">
        <v>3</v>
      </c>
      <c r="D18" s="57" t="n">
        <v>-8</v>
      </c>
      <c r="E18" s="57" t="n">
        <v>24</v>
      </c>
      <c r="F18" s="57" t="inlineStr">
        <is>
          <t>24 points</t>
        </is>
      </c>
    </row>
    <row r="19" ht="15" customHeight="1" s="48">
      <c r="A19" s="59" t="inlineStr">
        <is>
          <t>proactivity</t>
        </is>
      </c>
      <c r="B19" s="59" t="inlineStr">
        <is>
          <t>Proactive help beyond the question</t>
        </is>
      </c>
      <c r="C19" s="59" t="n">
        <v>3</v>
      </c>
      <c r="D19" s="59" t="n">
        <v>-6</v>
      </c>
      <c r="E19" s="59" t="n">
        <v>18</v>
      </c>
      <c r="F19" s="59" t="inlineStr">
        <is>
          <t>18 points</t>
        </is>
      </c>
    </row>
    <row r="21" ht="15" customHeight="1" s="48">
      <c r="A21" s="62" t="inlineStr">
        <is>
          <t>OPEN DESIGN DECISIONS</t>
        </is>
      </c>
    </row>
    <row r="22" ht="15" customHeight="1" s="48">
      <c r="A22" s="55" t="inlineStr">
        <is>
          <t>#</t>
        </is>
      </c>
      <c r="B22" s="55" t="inlineStr">
        <is>
          <t>Issue</t>
        </is>
      </c>
      <c r="C22" s="55" t="inlineStr">
        <is>
          <t>Why it matters</t>
        </is>
      </c>
      <c r="D22" s="55" t="inlineStr">
        <is>
          <t>Recommendation</t>
        </is>
      </c>
    </row>
    <row r="23" ht="72" customHeight="1" s="48">
      <c r="A23" s="57" t="n">
        <v>1</v>
      </c>
      <c r="B23" s="57" t="inlineStr">
        <is>
          <t>Base 100 cannot distinguish compliant from excellent.</t>
        </is>
      </c>
      <c r="C23" s="57" t="inlineStr">
        <is>
          <t>A short, competent, entirely uncriticised call scores 100. An outstanding call scores 95, because positives only offset and never add. The coaching value lives in exactly that gap.</t>
        </is>
      </c>
      <c r="D23" s="57" t="inlineStr">
        <is>
          <t>Either drop the base and let good behaviour earn upside, or publish two numbers — a compliance score and a value score — and stop implying one figure covers both.</t>
        </is>
      </c>
    </row>
    <row r="24" ht="72" customHeight="1" s="48">
      <c r="A24" s="59" t="n">
        <v>2</v>
      </c>
      <c r="B24" s="59" t="inlineStr">
        <is>
          <t>The offset is applied to the total, not per dimension.</t>
        </is>
      </c>
      <c r="C24" s="59" t="inlineStr">
        <is>
          <t>The deck says positives cannot erase a compliance failure, but the arithmetic does not enforce it. In the worked example, 8 points of empathy praise paid down an 18-point penalty. If one of those penalties had been a disclosure failure, warmth bought off a statutory breach.</t>
        </is>
      </c>
      <c r="D24" s="59" t="inlineStr">
        <is>
          <t>Exclude compliance_disclosure and escalation_appropriateness from offset eligibility, and add a hard gate — any compliance negative caps the call at 60 regardless of the arithmetic.</t>
        </is>
      </c>
    </row>
    <row r="25" ht="72" customHeight="1" s="48">
      <c r="A25" s="57" t="n">
        <v>3</v>
      </c>
      <c r="B25" s="57" t="inlineStr">
        <is>
          <t>The 86 boundary is derived circularly.</t>
        </is>
      </c>
      <c r="C25" s="57" t="inlineStr">
        <is>
          <t>It sits in the gap between agent averages, so the definition of a good call is set by the cohort currently employed. Hire a stronger team and the threshold moves.</t>
        </is>
      </c>
      <c r="D25" s="57" t="inlineStr">
        <is>
          <t>Calibrate against outcomes now that the corpus carries repeat contact, escalation and exit language: find the score that predicts a callback, an escalation or a termination.</t>
        </is>
      </c>
    </row>
    <row r="26" ht="72" customHeight="1" s="48">
      <c r="A26" s="59" t="n">
        <v>4</v>
      </c>
      <c r="B26" s="59" t="inlineStr">
        <is>
          <t>'Same transcript, same score' is stronger than the design supports.</t>
        </is>
      </c>
      <c r="C26" s="59" t="inlineStr">
        <is>
          <t>The arithmetic is provider-independent. The extraction is not — different providers will return different markers from the same call, so the score moves.</t>
        </is>
      </c>
      <c r="D26" s="59" t="inlineStr">
        <is>
          <t>Claim that the scoring policy is provider-independent and auditable. Then run the test before a client does: three providers, twenty calls, publish the spread.</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47" min="1" max="1"/>
    <col width="11" customWidth="1" style="47" min="2" max="2"/>
    <col width="22" customWidth="1" style="47" min="3" max="3"/>
    <col width="52" customWidth="1" style="47" min="4" max="4"/>
    <col width="46" customWidth="1" style="47" min="5" max="5"/>
  </cols>
  <sheetData>
    <row r="1" ht="21.75" customHeight="1" s="48">
      <c r="A1" s="53" t="inlineStr">
        <is>
          <t>Signal taxonomy</t>
        </is>
      </c>
    </row>
    <row r="2" ht="74.25" customHeight="1" s="48">
      <c r="A2" s="54" t="inlineStr">
        <is>
          <t>The allowed values of the signals tag. A signal answers 'what happened on this call'; the Intelligence Register answers 'why should the business care'. Severity drives ranking on the Inferences screen and owner drives routing, so both are mandatory. Signals are counted as distinct types per call, never as occurrences — five instances of one problem is one problem, whereas three different problems on one call is an account coming apart. One new signal is added in v8: process_gap_proposed, which captures an improvement raised inside a call and has a lifecycle rather than dying as a note.</t>
        </is>
      </c>
    </row>
    <row r="3" ht="6" customHeight="1" s="48"/>
    <row r="4" ht="31.5" customHeight="1" s="48">
      <c r="A4" s="55" t="inlineStr">
        <is>
          <t>Signal type</t>
        </is>
      </c>
      <c r="B4" s="55" t="inlineStr">
        <is>
          <t>Severity</t>
        </is>
      </c>
      <c r="C4" s="55" t="inlineStr">
        <is>
          <t>Owner</t>
        </is>
      </c>
      <c r="D4" s="55" t="inlineStr">
        <is>
          <t>Definition</t>
        </is>
      </c>
      <c r="E4" s="55" t="inlineStr">
        <is>
          <t>Typical trigger</t>
        </is>
      </c>
    </row>
    <row r="5" ht="33.75" customHeight="1" s="48">
      <c r="A5" s="56" t="inlineStr">
        <is>
          <t>member_communication_gap</t>
        </is>
      </c>
      <c r="B5" s="56" t="inlineStr">
        <is>
          <t>MEDIUM</t>
        </is>
      </c>
      <c r="C5" s="56" t="inlineStr">
        <is>
          <t>Member Communications</t>
        </is>
      </c>
      <c r="D5" s="57" t="inlineStr">
        <is>
          <t>Something the member should have been told at enrollment and was not.</t>
        </is>
      </c>
      <c r="E5" s="57" t="inlineStr">
        <is>
          <t>Surprise cost, surprise exclusion, surprise waiting period</t>
        </is>
      </c>
    </row>
    <row r="6" ht="33.75" customHeight="1" s="48">
      <c r="A6" s="58" t="inlineStr">
        <is>
          <t>process_breakdown</t>
        </is>
      </c>
      <c r="B6" s="58" t="inlineStr">
        <is>
          <t>HIGH</t>
        </is>
      </c>
      <c r="C6" s="58" t="inlineStr">
        <is>
          <t>Operations</t>
        </is>
      </c>
      <c r="D6" s="59" t="inlineStr">
        <is>
          <t>An internal process accepted an input and failed to act on it.</t>
        </is>
      </c>
      <c r="E6" s="59" t="inlineStr">
        <is>
          <t>Portal submission not applied, ID never issued, termination still billing</t>
        </is>
      </c>
    </row>
    <row r="7" ht="33.75" customHeight="1" s="48">
      <c r="A7" s="56" t="inlineStr">
        <is>
          <t>compliance_disclosure_missing</t>
        </is>
      </c>
      <c r="B7" s="56" t="inlineStr">
        <is>
          <t>HIGH</t>
        </is>
      </c>
      <c r="C7" s="56" t="inlineStr">
        <is>
          <t>Compliance</t>
        </is>
      </c>
      <c r="D7" s="57" t="inlineStr">
        <is>
          <t>A required disclosure was not made.</t>
        </is>
      </c>
      <c r="E7" s="57" t="inlineStr">
        <is>
          <t>No recording notice; benefit limit not stated where required</t>
        </is>
      </c>
    </row>
    <row r="8" ht="33.75" customHeight="1" s="48">
      <c r="A8" s="58" t="inlineStr">
        <is>
          <t>verification_failure</t>
        </is>
      </c>
      <c r="B8" s="58" t="inlineStr">
        <is>
          <t>CRITICAL</t>
        </is>
      </c>
      <c r="C8" s="58" t="inlineStr">
        <is>
          <t>Compliance</t>
        </is>
      </c>
      <c r="D8" s="59" t="inlineStr">
        <is>
          <t>Member detail disclosed before identity verification completed.</t>
        </is>
      </c>
      <c r="E8" s="59" t="inlineStr">
        <is>
          <t>Agent answers a claim question before confirming the caller</t>
        </is>
      </c>
    </row>
    <row r="9" ht="33.75" customHeight="1" s="48">
      <c r="A9" s="56" t="inlineStr">
        <is>
          <t>broker_conduct_adverse</t>
        </is>
      </c>
      <c r="B9" s="56" t="inlineStr">
        <is>
          <t>HIGH</t>
        </is>
      </c>
      <c r="C9" s="56" t="inlineStr">
        <is>
          <t>Broker Relations</t>
        </is>
      </c>
      <c r="D9" s="57" t="inlineStr">
        <is>
          <t>A broker action or omission caused the member's problem.</t>
        </is>
      </c>
      <c r="E9" s="57" t="inlineStr">
        <is>
          <t>Misstated rule at sale, unsubmitted election, unresponsive for weeks</t>
        </is>
      </c>
    </row>
    <row r="10" ht="33.75" customHeight="1" s="48">
      <c r="A10" s="58" t="inlineStr">
        <is>
          <t>broker_conduct_positive</t>
        </is>
      </c>
      <c r="B10" s="58" t="inlineStr">
        <is>
          <t>LOW</t>
        </is>
      </c>
      <c r="C10" s="58" t="inlineStr">
        <is>
          <t>Broker Relations</t>
        </is>
      </c>
      <c r="D10" s="59" t="inlineStr">
        <is>
          <t>The broker prepared the client well and shortened the call.</t>
        </is>
      </c>
      <c r="E10" s="59" t="inlineStr">
        <is>
          <t>Caller arrives with an accurate written summary and their own dates</t>
        </is>
      </c>
    </row>
    <row r="11" ht="33.75" customHeight="1" s="48">
      <c r="A11" s="56" t="inlineStr">
        <is>
          <t>escalation_missed</t>
        </is>
      </c>
      <c r="B11" s="56" t="inlineStr">
        <is>
          <t>HIGH</t>
        </is>
      </c>
      <c r="C11" s="56" t="inlineStr">
        <is>
          <t>Operations</t>
        </is>
      </c>
      <c r="D11" s="57" t="inlineStr">
        <is>
          <t>An explicit escalation request went nowhere and no alternative was offered.</t>
        </is>
      </c>
      <c r="E11" s="57" t="inlineStr">
        <is>
          <t>Supervisor asked for and refused</t>
        </is>
      </c>
    </row>
    <row r="12" ht="33.75" customHeight="1" s="48">
      <c r="A12" s="58" t="inlineStr">
        <is>
          <t>retention_risk</t>
        </is>
      </c>
      <c r="B12" s="58" t="inlineStr">
        <is>
          <t>CRITICAL</t>
        </is>
      </c>
      <c r="C12" s="58" t="inlineStr">
        <is>
          <t>Account Management</t>
        </is>
      </c>
      <c r="D12" s="59" t="inlineStr">
        <is>
          <t>Explicit exit or market-test language.</t>
        </is>
      </c>
      <c r="E12" s="59" t="inlineStr">
        <is>
          <t>Going out to bid; moving at renewal; cancelling</t>
        </is>
      </c>
    </row>
    <row r="13" ht="33.75" customHeight="1" s="48">
      <c r="A13" s="56" t="inlineStr">
        <is>
          <t>revenue_opportunity</t>
        </is>
      </c>
      <c r="B13" s="56" t="inlineStr">
        <is>
          <t>LOW</t>
        </is>
      </c>
      <c r="C13" s="56" t="inlineStr">
        <is>
          <t>Account Management</t>
        </is>
      </c>
      <c r="D13" s="57" t="inlineStr">
        <is>
          <t>Interest in a line the group does not hold.</t>
        </is>
      </c>
      <c r="E13" s="57" t="inlineStr">
        <is>
          <t>Employer asks what it would take to add vision</t>
        </is>
      </c>
    </row>
    <row r="14" ht="33.75" customHeight="1" s="48">
      <c r="A14" s="58" t="inlineStr">
        <is>
          <t>knowledge_error</t>
        </is>
      </c>
      <c r="B14" s="58" t="inlineStr">
        <is>
          <t>MEDIUM</t>
        </is>
      </c>
      <c r="C14" s="58" t="inlineStr">
        <is>
          <t>Knowledge Management</t>
        </is>
      </c>
      <c r="D14" s="59" t="inlineStr">
        <is>
          <t>An agent stated a published rule incorrectly.</t>
        </is>
      </c>
      <c r="E14" s="59" t="inlineStr">
        <is>
          <t>Waiting period type confused; out-of-state availability misstated</t>
        </is>
      </c>
    </row>
    <row r="15" ht="33.75" customHeight="1" s="48">
      <c r="A15" s="56" t="inlineStr">
        <is>
          <t>network_adequacy</t>
        </is>
      </c>
      <c r="B15" s="56" t="inlineStr">
        <is>
          <t>MEDIUM</t>
        </is>
      </c>
      <c r="C15" s="56" t="inlineStr">
        <is>
          <t>Product / Network</t>
        </is>
      </c>
      <c r="D15" s="57" t="inlineStr">
        <is>
          <t>A covered benefit is unusable where the member lives or works.</t>
        </is>
      </c>
      <c r="E15" s="57" t="inlineStr">
        <is>
          <t>Out-of-state employee with no chiro provider</t>
        </is>
      </c>
    </row>
    <row r="16" ht="33.75" customHeight="1" s="48">
      <c r="A16" s="58" t="inlineStr">
        <is>
          <t>billing_defect</t>
        </is>
      </c>
      <c r="B16" s="58" t="inlineStr">
        <is>
          <t>HIGH</t>
        </is>
      </c>
      <c r="C16" s="58" t="inlineStr">
        <is>
          <t>Operations / Finance</t>
        </is>
      </c>
      <c r="D16" s="59" t="inlineStr">
        <is>
          <t>An invoice does not match the enrolled roster.</t>
        </is>
      </c>
      <c r="E16" s="59" t="inlineStr">
        <is>
          <t>Terminated employee still billing; new hire missing</t>
        </is>
      </c>
    </row>
    <row r="17" ht="33.75" customHeight="1" s="48">
      <c r="A17" s="56" t="inlineStr">
        <is>
          <t>process_gap_proposed</t>
        </is>
      </c>
      <c r="B17" s="56" t="inlineStr">
        <is>
          <t>MEDIUM</t>
        </is>
      </c>
      <c r="C17" s="56" t="inlineStr">
        <is>
          <t>Process Owner (by touchpoint)</t>
        </is>
      </c>
      <c r="D17" s="57" t="inlineStr">
        <is>
          <t>An improvement to a document, system or process proposed or clearly implied inside the call, by the agent or the caller. Carries a lifecycle: unvalidated, validated, actioned or rejected.</t>
        </is>
      </c>
      <c r="E17" s="57" t="inlineStr">
        <is>
          <t>'The letter should say which waiting period and when it ends'; 'nobody told me that at enrolment'</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E1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47" min="1" max="1"/>
    <col width="26" customWidth="1" style="47" min="2" max="3"/>
    <col width="52" customWidth="1" style="47" min="4" max="4"/>
    <col width="40" customWidth="1" style="47" min="5" max="5"/>
  </cols>
  <sheetData>
    <row r="1" ht="21.75" customHeight="1" s="48">
      <c r="A1" s="53" t="inlineStr">
        <is>
          <t>Member and employer touchpoints</t>
        </is>
      </c>
    </row>
    <row r="2" ht="74.25" customHeight="1" s="48">
      <c r="A2" s="54" t="inlineStr">
        <is>
          <t>Where a failure originated, as distinct from where it surfaced. A member who does not understand a waiting period surfaced the problem on a call, but the failure happened at the enrolment meeting, in the enrolment material, or in a denial letter that said 'ineligible' and stopped. Tagging the touchpoint is what turns a pile of individual calls into a ranked list of documents and moments to fix, and it is the dimension that makes knowledge failures and process gaps actionable by someone who does not run the call centre. This is the sheet a change and knowledge management function would work from.</t>
        </is>
      </c>
    </row>
    <row r="3" ht="6" customHeight="1" s="48"/>
    <row r="4" ht="31.5" customHeight="1" s="48">
      <c r="A4" s="55" t="inlineStr">
        <is>
          <t>Touchpoint</t>
        </is>
      </c>
      <c r="B4" s="55" t="inlineStr">
        <is>
          <t>Owner</t>
        </is>
      </c>
      <c r="C4" s="55" t="inlineStr">
        <is>
          <t>Who controls the content</t>
        </is>
      </c>
      <c r="D4" s="55" t="inlineStr">
        <is>
          <t>Typical failures that originate here</t>
        </is>
      </c>
      <c r="E4" s="55" t="inlineStr">
        <is>
          <t>Rules most often misstated here</t>
        </is>
      </c>
    </row>
    <row r="5" ht="42" customHeight="1" s="48">
      <c r="A5" s="56" t="inlineStr">
        <is>
          <t>enrolment_meeting</t>
        </is>
      </c>
      <c r="B5" s="56" t="inlineStr">
        <is>
          <t>Broker Relations</t>
        </is>
      </c>
      <c r="C5" s="56" t="inlineStr">
        <is>
          <t>The broker, not Choice</t>
        </is>
      </c>
      <c r="D5" s="57" t="inlineStr">
        <is>
          <t>Product rules misstated at the point of sale; participation minimums misdescribed; waiting periods denied</t>
        </is>
      </c>
      <c r="E5" s="57" t="inlineStr">
        <is>
          <t>P-21, P-23, P-25, P-28, C-12</t>
        </is>
      </c>
    </row>
    <row r="6" ht="42" customHeight="1" s="48">
      <c r="A6" s="58" t="inlineStr">
        <is>
          <t>enrolment_material</t>
        </is>
      </c>
      <c r="B6" s="58" t="inlineStr">
        <is>
          <t>Marketing / Product</t>
        </is>
      </c>
      <c r="C6" s="58" t="inlineStr">
        <is>
          <t>Choice</t>
        </is>
      </c>
      <c r="D6" s="59" t="inlineStr">
        <is>
          <t>Distinction between the employer waiting period and carrier waiting periods never drawn; takeover credit not explained</t>
        </is>
      </c>
      <c r="E6" s="59" t="inlineStr">
        <is>
          <t>P-14, P-29, C-12</t>
        </is>
      </c>
    </row>
    <row r="7" ht="42" customHeight="1" s="48">
      <c r="A7" s="56" t="inlineStr">
        <is>
          <t>enrolment_form</t>
        </is>
      </c>
      <c r="B7" s="56" t="inlineStr">
        <is>
          <t>Operations</t>
        </is>
      </c>
      <c r="C7" s="56" t="inlineStr">
        <is>
          <t>Choice</t>
        </is>
      </c>
      <c r="D7" s="57" t="inlineStr">
        <is>
          <t>Waiver section not completed; life enrolment missed for a dental-waiving employee</t>
        </is>
      </c>
      <c r="E7" s="57" t="inlineStr">
        <is>
          <t>P-22, P-30, P-31</t>
        </is>
      </c>
    </row>
    <row r="8" ht="42" customHeight="1" s="48">
      <c r="A8" s="58" t="inlineStr">
        <is>
          <t>welcome_pack</t>
        </is>
      </c>
      <c r="B8" s="58" t="inlineStr">
        <is>
          <t>Member Communications</t>
        </is>
      </c>
      <c r="C8" s="58" t="inlineStr">
        <is>
          <t>Choice</t>
        </is>
      </c>
      <c r="D8" s="59" t="inlineStr">
        <is>
          <t>Member never learns which carrier they are on, or that a DHMO requires an assigned dentist</t>
        </is>
      </c>
      <c r="E8" s="59" t="inlineStr">
        <is>
          <t>C-01, C-02, P-10</t>
        </is>
      </c>
    </row>
    <row r="9" ht="42" customHeight="1" s="48">
      <c r="A9" s="56" t="inlineStr">
        <is>
          <t>id_card_mailer</t>
        </is>
      </c>
      <c r="B9" s="56" t="inlineStr">
        <is>
          <t>Operations</t>
        </is>
      </c>
      <c r="C9" s="56" t="inlineStr">
        <is>
          <t>Choice and the carriers</t>
        </is>
      </c>
      <c r="D9" s="57" t="inlineStr">
        <is>
          <t>Cards routed to the employer and never distributed; mid-year line additions missing the production run</t>
        </is>
      </c>
      <c r="E9" s="57" t="inlineStr">
        <is>
          <t>P-31</t>
        </is>
      </c>
    </row>
    <row r="10" ht="42" customHeight="1" s="48">
      <c r="A10" s="58" t="inlineStr">
        <is>
          <t>denial_letter_eob</t>
        </is>
      </c>
      <c r="B10" s="58" t="inlineStr">
        <is>
          <t>Carrier</t>
        </is>
      </c>
      <c r="C10" s="58" t="inlineStr">
        <is>
          <t>The carrier</t>
        </is>
      </c>
      <c r="D10" s="59" t="inlineStr">
        <is>
          <t>Reason given as 'ineligible' with no waiting period named and no eligibility date; cost share not explained</t>
        </is>
      </c>
      <c r="E10" s="59" t="inlineStr">
        <is>
          <t>C-12, C-16, C-08</t>
        </is>
      </c>
    </row>
    <row r="11" ht="42" customHeight="1" s="48">
      <c r="A11" s="56" t="inlineStr">
        <is>
          <t>invoice_statement</t>
        </is>
      </c>
      <c r="B11" s="56" t="inlineStr">
        <is>
          <t>Operations / Finance</t>
        </is>
      </c>
      <c r="C11" s="56" t="inlineStr">
        <is>
          <t>Choice</t>
        </is>
      </c>
      <c r="D11" s="57" t="inlineStr">
        <is>
          <t>Leavers still billed; change codes unexplained; admin fee stepping between bands unannounced</t>
        </is>
      </c>
      <c r="E11" s="57" t="inlineStr">
        <is>
          <t>A-09, A-27, A-45, P-33</t>
        </is>
      </c>
    </row>
    <row r="12" ht="42" customHeight="1" s="48">
      <c r="A12" s="58" t="inlineStr">
        <is>
          <t>employer_portal</t>
        </is>
      </c>
      <c r="B12" s="58" t="inlineStr">
        <is>
          <t>Digital</t>
        </is>
      </c>
      <c r="C12" s="58" t="inlineStr">
        <is>
          <t>Choice</t>
        </is>
      </c>
      <c r="D12" s="59" t="inlineStr">
        <is>
          <t>Submission accepted with no confirmation that it was applied; undiagnostic upload errors</t>
        </is>
      </c>
      <c r="E12" s="59" t="inlineStr">
        <is>
          <t>A-02, A-07, A-10</t>
        </is>
      </c>
    </row>
    <row r="13" ht="42" customHeight="1" s="48">
      <c r="A13" s="56" t="inlineStr">
        <is>
          <t>renewal_pack</t>
        </is>
      </c>
      <c r="B13" s="56" t="inlineStr">
        <is>
          <t>Account Management</t>
        </is>
      </c>
      <c r="C13" s="56" t="inlineStr">
        <is>
          <t>Choice</t>
        </is>
      </c>
      <c r="D13" s="57" t="inlineStr">
        <is>
          <t>Participation position not flagged before the anniversary; network gaps for out-of-state staff not surfaced before a line is bought</t>
        </is>
      </c>
      <c r="E13" s="57" t="inlineStr">
        <is>
          <t>P-18, P-36, C-28</t>
        </is>
      </c>
    </row>
    <row r="14" ht="42" customHeight="1" s="48">
      <c r="A14" s="58" t="inlineStr">
        <is>
          <t>broker_material</t>
        </is>
      </c>
      <c r="B14" s="58" t="inlineStr">
        <is>
          <t>Broker Relations</t>
        </is>
      </c>
      <c r="C14" s="58" t="inlineStr">
        <is>
          <t>The broker</t>
        </is>
      </c>
      <c r="D14" s="59" t="inlineStr">
        <is>
          <t>Plan comparison presented as fact; takeover credit assumed</t>
        </is>
      </c>
      <c r="E14" s="59" t="inlineStr">
        <is>
          <t>P-28, P-29, C-19</t>
        </is>
      </c>
    </row>
    <row r="15" ht="42" customHeight="1" s="48">
      <c r="A15" s="56" t="inlineStr">
        <is>
          <t>agent_conversation</t>
        </is>
      </c>
      <c r="B15" s="56" t="inlineStr">
        <is>
          <t>Operations</t>
        </is>
      </c>
      <c r="C15" s="56" t="inlineStr">
        <is>
          <t>Choice</t>
        </is>
      </c>
      <c r="D15" s="57" t="inlineStr">
        <is>
          <t>The rule stated incorrectly on the call itself</t>
        </is>
      </c>
      <c r="E15" s="57" t="inlineStr">
        <is>
          <t>Any</t>
        </is>
      </c>
    </row>
    <row r="16" ht="42" customHeight="1" s="48">
      <c r="A16" s="58" t="inlineStr">
        <is>
          <t>cobra_notice</t>
        </is>
      </c>
      <c r="B16" s="58" t="inlineStr">
        <is>
          <t>Compliance</t>
        </is>
      </c>
      <c r="C16" s="58" t="inlineStr">
        <is>
          <t>Choice for Cal-COBRA, the employer for federal</t>
        </is>
      </c>
      <c r="D16" s="59" t="inlineStr">
        <is>
          <t>Notice sent to a stale address; employer assuming Choice sent a federal notice it did not send</t>
        </is>
      </c>
      <c r="E16" s="59" t="inlineStr">
        <is>
          <t>A-34, A-38, A-39, A-42</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K20"/>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47" min="1" max="1"/>
    <col width="22" customWidth="1" style="47" min="2" max="2"/>
    <col width="17" customWidth="1" style="47" min="3" max="3"/>
    <col width="38" customWidth="1" style="47" min="4" max="4"/>
    <col width="30" customWidth="1" style="47" min="5" max="5"/>
    <col width="32" customWidth="1" style="47" min="6" max="6"/>
    <col width="24" customWidth="1" style="47" min="7" max="7"/>
    <col width="13" customWidth="1" style="47" min="8" max="8"/>
    <col width="8" customWidth="1" style="47" min="9" max="9"/>
    <col width="26" customWidth="1" style="47" min="10" max="10"/>
    <col width="46" customWidth="1" style="47" min="11" max="11"/>
  </cols>
  <sheetData>
    <row r="1" ht="21.75" customHeight="1" s="48">
      <c r="A1" s="53" t="inlineStr">
        <is>
          <t>Metrics — 12 published, 2 base measures</t>
        </is>
      </c>
    </row>
    <row r="2" ht="74.25" customHeight="1" s="48">
      <c r="A2" s="54" t="inlineStr">
        <is>
          <t>Consolidated from an earlier list of twenty-four. The reduction came from separating what the pipeline tags from what the platform calculates: most of the original twenty-four were the same calculation pointed at a different tag. Complaint rate by employer and by broker are one metric with a dimension; first-contact resolution and resolution rate by category are one metric with a filter; escalation rate and refusal rate are inverses of each other. Every metric here is one of four calculation patterns, so the development team builds four functions and dimensions them rather than twenty-four reports. The Build note column carries the failure mode for each — read those before implementing.</t>
        </is>
      </c>
    </row>
    <row r="3" ht="6" customHeight="1" s="48"/>
    <row r="4" ht="31.5" customHeight="1" s="48">
      <c r="A4" s="55" t="inlineStr">
        <is>
          <t>#</t>
        </is>
      </c>
      <c r="B4" s="55" t="inlineStr">
        <is>
          <t>Metric</t>
        </is>
      </c>
      <c r="C4" s="55" t="inlineStr">
        <is>
          <t>Pattern</t>
        </is>
      </c>
      <c r="D4" s="55" t="inlineStr">
        <is>
          <t>Plain-English meaning</t>
        </is>
      </c>
      <c r="E4" s="55" t="inlineStr">
        <is>
          <t>Numerator</t>
        </is>
      </c>
      <c r="F4" s="55" t="inlineStr">
        <is>
          <t>Denominator</t>
        </is>
      </c>
      <c r="G4" s="55" t="inlineStr">
        <is>
          <t>Dimensions</t>
        </is>
      </c>
      <c r="H4" s="55" t="inlineStr">
        <is>
          <t>Window</t>
        </is>
      </c>
      <c r="I4" s="55" t="inlineStr">
        <is>
          <t>Min n</t>
        </is>
      </c>
      <c r="J4" s="55" t="inlineStr">
        <is>
          <t>Replaces</t>
        </is>
      </c>
      <c r="K4" s="55" t="inlineStr">
        <is>
          <t>Build note / risk</t>
        </is>
      </c>
    </row>
    <row r="5" ht="67.5" customHeight="1" s="48">
      <c r="A5" s="56" t="n">
        <v>1</v>
      </c>
      <c r="B5" s="56" t="inlineStr">
        <is>
          <t>Contact rate</t>
        </is>
      </c>
      <c r="C5" s="56" t="inlineStr">
        <is>
          <t>Normalised rate</t>
        </is>
      </c>
      <c r="D5" s="57" t="inlineStr">
        <is>
          <t>How often a given population picks up the phone, per 1,000 people covered, per year.</t>
        </is>
      </c>
      <c r="E5" s="57" t="inlineStr">
        <is>
          <t>Calls matching the dimension filter × (52 ÷ weeks)</t>
        </is>
      </c>
      <c r="F5" s="57" t="inlineStr">
        <is>
          <t>Lives enrolled in that population ÷ 1,000</t>
        </is>
      </c>
      <c r="G5" s="57" t="inlineStr">
        <is>
          <t>Product line · employer · industry · region</t>
        </is>
      </c>
      <c r="H5" s="56" t="inlineStr">
        <is>
          <t>12wk</t>
        </is>
      </c>
      <c r="I5" s="56" t="inlineStr">
        <is>
          <t>30</t>
        </is>
      </c>
      <c r="J5" s="57" t="inlineStr">
        <is>
          <t>Contact rate by product line; industry rate</t>
        </is>
      </c>
      <c r="K5" s="57" t="inlineStr">
        <is>
          <t>Population must be the calls' own population. Dividing sample calls by book-wide enrollment is the classic denominator error.</t>
        </is>
      </c>
    </row>
    <row r="6" ht="67.5" customHeight="1" s="48">
      <c r="A6" s="58" t="n">
        <v>2</v>
      </c>
      <c r="B6" s="58" t="inlineStr">
        <is>
          <t>Complaint rate</t>
        </is>
      </c>
      <c r="C6" s="58" t="inlineStr">
        <is>
          <t>Normalised rate</t>
        </is>
      </c>
      <c r="D6" s="59" t="inlineStr">
        <is>
          <t>How much dissatisfaction a group or a broker generates relative to their size — so dysfunction outranks size.</t>
        </is>
      </c>
      <c r="E6" s="59" t="inlineStr">
        <is>
          <t>Calls with complaint.present and the given attributed_to</t>
        </is>
      </c>
      <c r="F6" s="59" t="inlineStr">
        <is>
          <t>Employer: lives ÷ 100.  Broker: groups in book</t>
        </is>
      </c>
      <c r="G6" s="59" t="inlineStr">
        <is>
          <t>Employer · broker · attribution target</t>
        </is>
      </c>
      <c r="H6" s="58" t="inlineStr">
        <is>
          <t>12wk</t>
        </is>
      </c>
      <c r="I6" s="58" t="inlineStr">
        <is>
          <t>10 calls</t>
        </is>
      </c>
      <c r="J6" s="59" t="inlineStr">
        <is>
          <t>Complaint rate — employer; complaint rate — broker</t>
        </is>
      </c>
      <c r="K6" s="59" t="inlineStr">
        <is>
          <t>Always show the raw count beside the rate. Broker rate uses book size from reference data, never from call counts.</t>
        </is>
      </c>
    </row>
    <row r="7" ht="67.5" customHeight="1" s="48">
      <c r="A7" s="56" t="n">
        <v>3</v>
      </c>
      <c r="B7" s="56" t="inlineStr">
        <is>
          <t>First-contact resolution</t>
        </is>
      </c>
      <c r="C7" s="56" t="inlineStr">
        <is>
          <t>Share</t>
        </is>
      </c>
      <c r="D7" s="57" t="inlineStr">
        <is>
          <t>Share of calls that actually ended the problem — no one called back about it.</t>
        </is>
      </c>
      <c r="E7" s="57" t="inlineStr">
        <is>
          <t>RESOLVED with no related contact from the same caller ≤14 days</t>
        </is>
      </c>
      <c r="F7" s="57" t="inlineStr">
        <is>
          <t>All calls with a resolution outcome</t>
        </is>
      </c>
      <c r="G7" s="57" t="inlineStr">
        <is>
          <t>Category · agent · product line · queue</t>
        </is>
      </c>
      <c r="H7" s="56" t="inlineStr">
        <is>
          <t>4wk</t>
        </is>
      </c>
      <c r="I7" s="56" t="inlineStr">
        <is>
          <t>30</t>
        </is>
      </c>
      <c r="J7" s="57" t="inlineStr">
        <is>
          <t>FCR; resolution rate by category</t>
        </is>
      </c>
      <c r="K7" s="57" t="inlineStr">
        <is>
          <t>PARTIALLY_RESOLVED and ESCALATED sit in the denominator, not the numerator. One denominator across the whole platform.</t>
        </is>
      </c>
    </row>
    <row r="8" ht="67.5" customHeight="1" s="48">
      <c r="A8" s="58" t="n">
        <v>4</v>
      </c>
      <c r="B8" s="58" t="inlineStr">
        <is>
          <t>Failure-driven repeat rate</t>
        </is>
      </c>
      <c r="C8" s="58" t="inlineStr">
        <is>
          <t>Share</t>
        </is>
      </c>
      <c r="D8" s="59" t="inlineStr">
        <is>
          <t>When we fail to fix it, how often does the person come back — and what does that cost us.</t>
        </is>
      </c>
      <c r="E8" s="59" t="inlineStr">
        <is>
          <t>UNRESOLVED calls followed by a contact from the same caller ≤14 days</t>
        </is>
      </c>
      <c r="F8" s="59" t="inlineStr">
        <is>
          <t>All UNRESOLVED calls in window</t>
        </is>
      </c>
      <c r="G8" s="59" t="inlineStr">
        <is>
          <t>Category · employer · product line · agent</t>
        </is>
      </c>
      <c r="H8" s="58" t="inlineStr">
        <is>
          <t>12wk</t>
        </is>
      </c>
      <c r="I8" s="58" t="inlineStr">
        <is>
          <t>30</t>
        </is>
      </c>
      <c r="J8" s="59" t="inlineStr">
        <is>
          <t>Repeat contact rate; failure-driven repeat; cost of first-contact failure</t>
        </is>
      </c>
      <c r="K8" s="59" t="inlineStr">
        <is>
          <t>Exclude the last 14 days of the window — those calls have no exposure period. The cost view is Σ AHT of the repeats, same metric.</t>
        </is>
      </c>
    </row>
    <row r="9" ht="67.5" customHeight="1" s="48">
      <c r="A9" s="56" t="n">
        <v>5</v>
      </c>
      <c r="B9" s="56" t="inlineStr">
        <is>
          <t>Self-inflicted demand</t>
        </is>
      </c>
      <c r="C9" s="56" t="inlineStr">
        <is>
          <t>Share</t>
        </is>
      </c>
      <c r="D9" s="57" t="inlineStr">
        <is>
          <t>How much of our call volume we caused ourselves rather than the member needing something new.</t>
        </is>
      </c>
      <c r="E9" s="57" t="inlineStr">
        <is>
          <t>Failure-driven repeats + calls chasing an already-submitted action + calls caused by a logged process defect</t>
        </is>
      </c>
      <c r="F9" s="57" t="inlineStr">
        <is>
          <t>All calls in window</t>
        </is>
      </c>
      <c r="G9" s="57" t="inlineStr">
        <is>
          <t>Category · employer · defect type</t>
        </is>
      </c>
      <c r="H9" s="56" t="inlineStr">
        <is>
          <t>12wk</t>
        </is>
      </c>
      <c r="I9" s="56" t="inlineStr">
        <is>
          <t>60</t>
        </is>
      </c>
      <c r="J9" s="57" t="inlineStr">
        <is>
          <t>Self-inflicted demand</t>
        </is>
      </c>
      <c r="K9" s="57" t="inlineStr">
        <is>
          <t>Publish the three components separately so a reader can dispute one without discarding the total.</t>
        </is>
      </c>
    </row>
    <row r="10" ht="67.5" customHeight="1" s="48">
      <c r="A10" s="58" t="n">
        <v>6</v>
      </c>
      <c r="B10" s="58" t="inlineStr">
        <is>
          <t>Escalation integrity</t>
        </is>
      </c>
      <c r="C10" s="58" t="inlineStr">
        <is>
          <t>Share</t>
        </is>
      </c>
      <c r="D10" s="59" t="inlineStr">
        <is>
          <t>When a call genuinely needed a supervisor, did it get one.</t>
        </is>
      </c>
      <c r="E10" s="59" t="inlineStr">
        <is>
          <t>Calls with escalation.handled = true</t>
        </is>
      </c>
      <c r="F10" s="59" t="inlineStr">
        <is>
          <t>Calls with escalation.triggered = true</t>
        </is>
      </c>
      <c r="G10" s="59" t="inlineStr">
        <is>
          <t>Agent · trigger type · queue</t>
        </is>
      </c>
      <c r="H10" s="58" t="inlineStr">
        <is>
          <t>12wk</t>
        </is>
      </c>
      <c r="I10" s="58" t="inlineStr">
        <is>
          <t>30 triggers</t>
        </is>
      </c>
      <c r="J10" s="59" t="inlineStr">
        <is>
          <t>Escalation rate; escalation refusal rate</t>
        </is>
      </c>
      <c r="K10" s="59" t="inlineStr">
        <is>
          <t>Refusal rate is the inverse view of the same metric. Against all calls 0% reads as good news; against warranted calls it reads as a control failure.</t>
        </is>
      </c>
    </row>
    <row r="11" ht="67.5" customHeight="1" s="48">
      <c r="A11" s="56" t="n">
        <v>7</v>
      </c>
      <c r="B11" s="56" t="inlineStr">
        <is>
          <t>Control exception rate</t>
        </is>
      </c>
      <c r="C11" s="56" t="inlineStr">
        <is>
          <t>Share</t>
        </is>
      </c>
      <c r="D11" s="57" t="inlineStr">
        <is>
          <t>How often we broke our own compliance rules on a call.</t>
        </is>
      </c>
      <c r="E11" s="57" t="inlineStr">
        <is>
          <t>Calls with ≥1 control_exception, by type</t>
        </is>
      </c>
      <c r="F11" s="57" t="inlineStr">
        <is>
          <t>All calls requiring that control</t>
        </is>
      </c>
      <c r="G11" s="57" t="inlineStr">
        <is>
          <t>Exception type · agent · queue</t>
        </is>
      </c>
      <c r="H11" s="56" t="inlineStr">
        <is>
          <t>4wk</t>
        </is>
      </c>
      <c r="I11" s="56" t="inlineStr">
        <is>
          <t>30</t>
        </is>
      </c>
      <c r="J11" s="57" t="inlineStr">
        <is>
          <t>Disclosure omission rate; verification failure rate</t>
        </is>
      </c>
      <c r="K11" s="57" t="inlineStr">
        <is>
          <t>Deterministic — no model judgement. Owner is Compliance, not the call centre. Report by exception type, not as one blended number.</t>
        </is>
      </c>
    </row>
    <row r="12" ht="67.5" customHeight="1" s="48">
      <c r="A12" s="58" t="n">
        <v>8</v>
      </c>
      <c r="B12" s="58" t="inlineStr">
        <is>
          <t>Knowledge failure rate</t>
        </is>
      </c>
      <c r="C12" s="58" t="inlineStr">
        <is>
          <t>Share</t>
        </is>
      </c>
      <c r="D12" s="59" t="inlineStr">
        <is>
          <t>How often we told someone something that was factually wrong, and which rule we got wrong.</t>
        </is>
      </c>
      <c r="E12" s="59" t="inlineStr">
        <is>
          <t>Calls with knowledge_failure.present</t>
        </is>
      </c>
      <c r="F12" s="59" t="inlineStr">
        <is>
          <t>All calls in window</t>
        </is>
      </c>
      <c r="G12" s="59" t="inlineStr">
        <is>
          <t>Rule ID · product line · agent</t>
        </is>
      </c>
      <c r="H12" s="58" t="inlineStr">
        <is>
          <t>4wk</t>
        </is>
      </c>
      <c r="I12" s="58" t="inlineStr">
        <is>
          <t>30</t>
        </is>
      </c>
      <c r="J12" s="59" t="inlineStr">
        <is>
          <t>Knowledge failure rate</t>
        </is>
      </c>
      <c r="K12" s="59" t="inlineStr">
        <is>
          <t>Must roll up by rule ID. The output is a list of knowledge base articles to rewrite, ranked by call count.</t>
        </is>
      </c>
    </row>
    <row r="13" ht="67.5" customHeight="1" s="48">
      <c r="A13" s="56" t="n">
        <v>9</v>
      </c>
      <c r="B13" s="56" t="inlineStr">
        <is>
          <t>Cost to serve</t>
        </is>
      </c>
      <c r="C13" s="56" t="inlineStr">
        <is>
          <t>Time aggregate</t>
        </is>
      </c>
      <c r="D13" s="57" t="inlineStr">
        <is>
          <t>How many minutes of our people a covered life consumes in a year — against a flat per-group fee.</t>
        </is>
      </c>
      <c r="E13" s="57" t="inlineStr">
        <is>
          <t>Σ aht_seconds × (52 ÷ weeks) ÷ 60</t>
        </is>
      </c>
      <c r="F13" s="57" t="inlineStr">
        <is>
          <t>Lives enrolled in that population</t>
        </is>
      </c>
      <c r="G13" s="57" t="inlineStr">
        <is>
          <t>Product line · employer · industry</t>
        </is>
      </c>
      <c r="H13" s="56" t="inlineStr">
        <is>
          <t>12wk</t>
        </is>
      </c>
      <c r="I13" s="56" t="inlineStr">
        <is>
          <t>30</t>
        </is>
      </c>
      <c r="J13" s="57" t="inlineStr">
        <is>
          <t>Cost to serve</t>
        </is>
      </c>
      <c r="K13" s="57" t="inlineStr">
        <is>
          <t>The margin metric. Admin fee is flat per group regardless of service consumed, so this is margin variance made visible.</t>
        </is>
      </c>
    </row>
    <row r="14" ht="67.5" customHeight="1" s="48">
      <c r="A14" s="58" t="n">
        <v>10</v>
      </c>
      <c r="B14" s="58" t="inlineStr">
        <is>
          <t>Account risk flag</t>
        </is>
      </c>
      <c r="C14" s="58" t="inlineStr">
        <is>
          <t>Composite flag</t>
        </is>
      </c>
      <c r="D14" s="59" t="inlineStr">
        <is>
          <t>Which employers are showing warning signs across more than one dimension at once.</t>
        </is>
      </c>
      <c r="E14" s="59" t="inlineStr">
        <is>
          <t>Employers meeting ≥2 of: complaint rate up month-on-month · a failure-driven repeat · market_test intent · a CHOICE-attributed UNRESOLVED inside the renewal window</t>
        </is>
      </c>
      <c r="F14" s="59" t="inlineStr">
        <is>
          <t>Employers with ≥3 calls in window</t>
        </is>
      </c>
      <c r="G14" s="59" t="inlineStr">
        <is>
          <t>Employer · renewal month · broker</t>
        </is>
      </c>
      <c r="H14" s="58" t="inlineStr">
        <is>
          <t>12wk</t>
        </is>
      </c>
      <c r="I14" s="58" t="inlineStr">
        <is>
          <t>10 calls per employer</t>
        </is>
      </c>
      <c r="J14" s="59" t="inlineStr">
        <is>
          <t>Signal density; account at risk; revenue at risk</t>
        </is>
      </c>
      <c r="K14" s="59" t="inlineStr">
        <is>
          <t>NOT a churn prediction and must never be labelled one — no termination outcomes exist in this dataset to validate against. Revenue at risk is a display of this metric: Σ premium of flagged employers. Signal density is its input.</t>
        </is>
      </c>
    </row>
    <row r="15" ht="67.5" customHeight="1" s="48">
      <c r="A15" s="56" t="n">
        <v>11</v>
      </c>
      <c r="B15" s="56" t="inlineStr">
        <is>
          <t>Commercial intent capture</t>
        </is>
      </c>
      <c r="C15" s="56" t="inlineStr">
        <is>
          <t>Share</t>
        </is>
      </c>
      <c r="D15" s="57" t="inlineStr">
        <is>
          <t>How often someone told us they want to buy more, or want to leave — and whether anyone acted.</t>
        </is>
      </c>
      <c r="E15" s="57" t="inlineStr">
        <is>
          <t>Calls with intent expansion / market_test / cancellation</t>
        </is>
      </c>
      <c r="F15" s="57" t="inlineStr">
        <is>
          <t>All calls in window</t>
        </is>
      </c>
      <c r="G15" s="57" t="inlineStr">
        <is>
          <t>Intent type · employer · broker · routed yes/no</t>
        </is>
      </c>
      <c r="H15" s="56" t="inlineStr">
        <is>
          <t>12wk</t>
        </is>
      </c>
      <c r="I15" s="56" t="inlineStr">
        <is>
          <t>10</t>
        </is>
      </c>
      <c r="J15" s="57" t="inlineStr">
        <is>
          <t>Expansion intent; market-test language</t>
        </is>
      </c>
      <c r="K15" s="57" t="inlineStr">
        <is>
          <t>Verbatim with turn reference. The routed flag is the finding: in the current service model, none of it reaches sales.</t>
        </is>
      </c>
    </row>
    <row r="16" ht="67.5" customHeight="1" s="48">
      <c r="A16" s="58" t="n">
        <v>12</v>
      </c>
      <c r="B16" s="58" t="inlineStr">
        <is>
          <t>Agent quality score</t>
        </is>
      </c>
      <c r="C16" s="58" t="inlineStr">
        <is>
          <t>Composite flag</t>
        </is>
      </c>
      <c r="D16" s="59" t="inlineStr">
        <is>
          <t>How well one agent handled one call, with the evidence that produced the number.</t>
        </is>
      </c>
      <c r="E16" s="59" t="inlineStr">
        <is>
          <t>100 − capped penalties + offset (max 15)</t>
        </is>
      </c>
      <c r="F16" s="59" t="inlineStr">
        <is>
          <t>n/a — per call</t>
        </is>
      </c>
      <c r="G16" s="59" t="inlineStr">
        <is>
          <t>Agent · category · product line · tenet</t>
        </is>
      </c>
      <c r="H16" s="58" t="inlineStr">
        <is>
          <t>per call</t>
        </is>
      </c>
      <c r="I16" s="58" t="inlineStr">
        <is>
          <t>n/a</t>
        </is>
      </c>
      <c r="J16" s="59" t="inlineStr">
        <is>
          <t>Agent quality score; % calls clean (tenet)</t>
        </is>
      </c>
      <c r="K16" s="59" t="inlineStr">
        <is>
          <t>Tenet clean % is a view over the same markers: calls with zero negative markers in a tenet ÷ all calls. Binary and unweighted — state the applicable-calls caveat on the tile.</t>
        </is>
      </c>
    </row>
    <row r="17" ht="67.5" customHeight="1" s="48">
      <c r="A17" s="56" t="inlineStr">
        <is>
          <t>B1</t>
        </is>
      </c>
      <c r="B17" s="56" t="inlineStr">
        <is>
          <t>Call volume</t>
        </is>
      </c>
      <c r="C17" s="56" t="inlineStr">
        <is>
          <t>Base measure</t>
        </is>
      </c>
      <c r="D17" s="57" t="inlineStr">
        <is>
          <t>How many calls, cut any way.</t>
        </is>
      </c>
      <c r="E17" s="57" t="inlineStr">
        <is>
          <t>Count of calls</t>
        </is>
      </c>
      <c r="F17" s="57" t="inlineStr">
        <is>
          <t>n/a</t>
        </is>
      </c>
      <c r="G17" s="57" t="inlineStr">
        <is>
          <t>any</t>
        </is>
      </c>
      <c r="H17" s="56" t="inlineStr">
        <is>
          <t>any</t>
        </is>
      </c>
      <c r="I17" s="56" t="inlineStr">
        <is>
          <t>—</t>
        </is>
      </c>
      <c r="J17" s="57" t="inlineStr">
        <is>
          <t>—</t>
        </is>
      </c>
      <c r="K17" s="57" t="inlineStr">
        <is>
          <t>The denominator for most shares above.</t>
        </is>
      </c>
    </row>
    <row r="18" ht="67.5" customHeight="1" s="48">
      <c r="A18" s="58" t="inlineStr">
        <is>
          <t>B2</t>
        </is>
      </c>
      <c r="B18" s="58" t="inlineStr">
        <is>
          <t>AHT</t>
        </is>
      </c>
      <c r="C18" s="58" t="inlineStr">
        <is>
          <t>Base measure</t>
        </is>
      </c>
      <c r="D18" s="59" t="inlineStr">
        <is>
          <t>Average talk time per call.</t>
        </is>
      </c>
      <c r="E18" s="59" t="inlineStr">
        <is>
          <t>Σ aht_seconds</t>
        </is>
      </c>
      <c r="F18" s="59" t="inlineStr">
        <is>
          <t>Call count</t>
        </is>
      </c>
      <c r="G18" s="59" t="inlineStr">
        <is>
          <t>any</t>
        </is>
      </c>
      <c r="H18" s="58" t="inlineStr">
        <is>
          <t>4wk</t>
        </is>
      </c>
      <c r="I18" s="58" t="inlineStr">
        <is>
          <t>30</t>
        </is>
      </c>
      <c r="J18" s="59" t="inlineStr">
        <is>
          <t>AHT</t>
        </is>
      </c>
      <c r="K18" s="59" t="inlineStr">
        <is>
          <t>Never publish as a target. In this dataset the best agents run longest and the worst run shortest, so an AHT target ranks the poor tier first.</t>
        </is>
      </c>
    </row>
    <row r="20" ht="43.5" customHeight="1" s="48">
      <c r="A20" s="60" t="inlineStr">
        <is>
          <t>Dropped</t>
        </is>
      </c>
      <c r="B20" s="61" t="inlineStr">
        <is>
          <t>Repeat contact rate for any reason — removed, because it can rise when service improves and is therefore not a quality signal; retained only as context inside metric 4. Signal density and revenue at risk — folded into metric 10 as an input and a display. Resolution rate by category — a dimension of metric 3, not a metric.</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J2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47" min="1" max="1"/>
    <col width="14" customWidth="1" style="47" min="2" max="2"/>
    <col width="34" customWidth="1" style="47" min="3" max="3"/>
    <col width="48" customWidth="1" style="47" min="4" max="4"/>
    <col width="34" customWidth="1" style="47" min="5" max="5"/>
    <col width="20" customWidth="1" style="47" min="6" max="6"/>
    <col width="18" customWidth="1" style="47" min="7" max="7"/>
    <col width="34" customWidth="1" style="47" min="8" max="9"/>
    <col width="30" customWidth="1" style="47" min="10" max="10"/>
  </cols>
  <sheetData>
    <row r="1" ht="21.75" customHeight="1" s="48">
      <c r="A1" s="53" t="inlineStr">
        <is>
          <t>Intelligence register</t>
        </is>
      </c>
    </row>
    <row r="2" ht="86.25" customHeight="1" s="48">
      <c r="A2" s="54" t="inlineStr">
        <is>
          <t>This replaces the Claims Register, and the change is more than a rename. A claim is a finding; intelligence is a finding an executive can act on. Each entry therefore runs through three layers — the signal that fired, what the pattern means to the business, and the decision it supports — and is filed under one of seven lenses rather than sitting in a flat list. Seven is deliberate: the same discipline that reduced twenty-four metrics to twelve applies here, and a taxonomy with twenty categories is a taxonomy nobody navigates. The Sufficiency column is the honest part — it says whether 360 calls can actually support the statement, and where it cannot, the entry is reframed to a wider window rather than published with a small denominator.</t>
        </is>
      </c>
    </row>
    <row r="3" ht="6" customHeight="1" s="48"/>
    <row r="4" ht="31.5" customHeight="1" s="48">
      <c r="A4" s="55" t="inlineStr">
        <is>
          <t>#</t>
        </is>
      </c>
      <c r="B4" s="55" t="inlineStr">
        <is>
          <t>Lens</t>
        </is>
      </c>
      <c r="C4" s="55" t="inlineStr">
        <is>
          <t>Business question it answers</t>
        </is>
      </c>
      <c r="D4" s="55" t="inlineStr">
        <is>
          <t>What the platform says</t>
        </is>
      </c>
      <c r="E4" s="55" t="inlineStr">
        <is>
          <t>Evidence behind it</t>
        </is>
      </c>
      <c r="F4" s="55" t="inlineStr">
        <is>
          <t>Population</t>
        </is>
      </c>
      <c r="G4" s="55" t="inlineStr">
        <is>
          <t>Who acts</t>
        </is>
      </c>
      <c r="H4" s="55" t="inlineStr">
        <is>
          <t>Action implied</t>
        </is>
      </c>
      <c r="I4" s="55" t="inlineStr">
        <is>
          <t>Sufficiency at 360</t>
        </is>
      </c>
      <c r="J4" s="55" t="inlineStr">
        <is>
          <t>Drill path</t>
        </is>
      </c>
    </row>
    <row r="5" ht="85.5" customHeight="1" s="48">
      <c r="A5" s="56" t="n">
        <v>1</v>
      </c>
      <c r="B5" s="56" t="inlineStr">
        <is>
          <t>CUSTOMER</t>
        </is>
      </c>
      <c r="C5" s="57" t="inlineStr">
        <is>
          <t>Which customers need attention, and how soon?</t>
        </is>
      </c>
      <c r="D5" s="57" t="inlineStr">
        <is>
          <t>Three employers are behind a fifth of all complaints about us, and two of them renew in January.</t>
        </is>
      </c>
      <c r="E5" s="57" t="inlineStr">
        <is>
          <t>Complaints per 100 enrolled, cross-referenced with renewal month from reference data</t>
        </is>
      </c>
      <c r="F5" s="56" t="inlineStr">
        <is>
          <t>~18 calls each</t>
        </is>
      </c>
      <c r="G5" s="57" t="inlineStr">
        <is>
          <t>Account Management</t>
        </is>
      </c>
      <c r="H5" s="57" t="inlineStr">
        <is>
          <t>Three named calls to make this month, before the renewal packs go out</t>
        </is>
      </c>
      <c r="I5" s="57" t="inlineStr">
        <is>
          <t>Sufficient. Also run the shared-broker check automatically — if two of the three use the same broker it is one problem, not three</t>
        </is>
      </c>
      <c r="J5" s="57" t="inlineStr">
        <is>
          <t>Lens → employer → calls → quoted turn</t>
        </is>
      </c>
    </row>
    <row r="6" ht="85.5" customHeight="1" s="48">
      <c r="A6" s="58" t="n">
        <v>2</v>
      </c>
      <c r="B6" s="58" t="inlineStr">
        <is>
          <t>CUSTOMER</t>
        </is>
      </c>
      <c r="C6" s="59" t="inlineStr">
        <is>
          <t>Which accounts are deteriorating across more than one dimension at once?</t>
        </is>
      </c>
      <c r="D6" s="59" t="inlineStr">
        <is>
          <t>Twelve to sixteen employers meet two or more risk conditions. Five renew inside 90 days.</t>
        </is>
      </c>
      <c r="E6" s="59" t="inlineStr">
        <is>
          <t>Composite of complaint-rate movement, failure-driven repeats, exit language and unresolved calls in the renewal window</t>
        </is>
      </c>
      <c r="F6" s="58" t="inlineStr">
        <is>
          <t>12–16 employers</t>
        </is>
      </c>
      <c r="G6" s="59" t="inlineStr">
        <is>
          <t>Account Management</t>
        </is>
      </c>
      <c r="H6" s="59" t="inlineStr">
        <is>
          <t>A watchlist with dates, reviewed weekly</t>
        </is>
      </c>
      <c r="I6" s="59" t="inlineStr">
        <is>
          <t>Sufficient to name a list. Explicitly not a churn prediction — there is no termination history here to validate against</t>
        </is>
      </c>
      <c r="J6" s="59" t="inlineStr">
        <is>
          <t>Lens → watchlist → account → signals → calls</t>
        </is>
      </c>
    </row>
    <row r="7" ht="85.5" customHeight="1" s="48">
      <c r="A7" s="56" t="n">
        <v>3</v>
      </c>
      <c r="B7" s="56" t="inlineStr">
        <is>
          <t>CUSTOMER</t>
        </is>
      </c>
      <c r="C7" s="57" t="inlineStr">
        <is>
          <t>What are these accounts worth if we lose them?</t>
        </is>
      </c>
      <c r="D7" s="57" t="inlineStr">
        <is>
          <t>Flagged accounts represent N groups, M employees and roughly $X of annual premium.</t>
        </is>
      </c>
      <c r="E7" s="57" t="inlineStr">
        <is>
          <t>Annual premium from reference data, summed over flagged employers</t>
        </is>
      </c>
      <c r="F7" s="56" t="inlineStr">
        <is>
          <t>12–16 employers</t>
        </is>
      </c>
      <c r="G7" s="57" t="inlineStr">
        <is>
          <t>Adam / Account Management</t>
        </is>
      </c>
      <c r="H7" s="57" t="inlineStr">
        <is>
          <t>Prioritise retention effort by exposure, not by noise</t>
        </is>
      </c>
      <c r="I7" s="57" t="inlineStr">
        <is>
          <t>Sufficient. Present as exposure, never as expected loss — we have no probability to apply to it</t>
        </is>
      </c>
      <c r="J7" s="57" t="inlineStr">
        <is>
          <t>Lens → total → account list → account</t>
        </is>
      </c>
    </row>
    <row r="8" ht="85.5" customHeight="1" s="48">
      <c r="A8" s="58" t="n">
        <v>4</v>
      </c>
      <c r="B8" s="58" t="inlineStr">
        <is>
          <t>OPERATIONS</t>
        </is>
      </c>
      <c r="C8" s="59" t="inlineStr">
        <is>
          <t>How much of our call volume did we create ourselves?</t>
        </is>
      </c>
      <c r="D8" s="59" t="inlineStr">
        <is>
          <t>Roughly one call in five exists because we failed somewhere upstream.</t>
        </is>
      </c>
      <c r="E8" s="59" t="inlineStr">
        <is>
          <t>Failure-driven repeats, plus calls chasing an already-submitted action, plus calls caused by a logged process defect</t>
        </is>
      </c>
      <c r="F8" s="58" t="inlineStr">
        <is>
          <t>~70 calls</t>
        </is>
      </c>
      <c r="G8" s="59" t="inlineStr">
        <is>
          <t>Adam / Operations</t>
        </is>
      </c>
      <c r="H8" s="59" t="inlineStr">
        <is>
          <t>Investigate the top three causes; each has a named remediation</t>
        </is>
      </c>
      <c r="I8" s="59" t="inlineStr">
        <is>
          <t>Sufficient. Publish the three components separately so a reader can dispute one without binning the total</t>
        </is>
      </c>
      <c r="J8" s="59" t="inlineStr">
        <is>
          <t>Lens → component → cause → calls</t>
        </is>
      </c>
    </row>
    <row r="9" ht="85.5" customHeight="1" s="48">
      <c r="A9" s="56" t="n">
        <v>5</v>
      </c>
      <c r="B9" s="56" t="inlineStr">
        <is>
          <t>OPERATIONS</t>
        </is>
      </c>
      <c r="C9" s="57" t="inlineStr">
        <is>
          <t>Where does the process break, and what does it cost?</t>
        </is>
      </c>
      <c r="D9" s="57" t="inlineStr">
        <is>
          <t>Three systemic process failures drive recurring demand: portal submissions that are accepted and not applied, terminations that keep billing, and cards that are never issued on mid-year line additions.</t>
        </is>
      </c>
      <c r="E9" s="57" t="inlineStr">
        <is>
          <t>process_breakdown and billing_defect signals, aggregated by touchpoint</t>
        </is>
      </c>
      <c r="F9" s="56" t="inlineStr">
        <is>
          <t>Varies by defect</t>
        </is>
      </c>
      <c r="G9" s="57" t="inlineStr">
        <is>
          <t>Operations / Digital</t>
        </is>
      </c>
      <c r="H9" s="57" t="inlineStr">
        <is>
          <t>A ranked backlog with call counts and minutes attached</t>
        </is>
      </c>
      <c r="I9" s="57" t="inlineStr">
        <is>
          <t>Sufficient for the top three by volume</t>
        </is>
      </c>
      <c r="J9" s="57" t="inlineStr">
        <is>
          <t>Lens → touchpoint → defect → calls</t>
        </is>
      </c>
    </row>
    <row r="10" ht="85.5" customHeight="1" s="48">
      <c r="A10" s="58" t="n">
        <v>6</v>
      </c>
      <c r="B10" s="58" t="inlineStr">
        <is>
          <t>OPERATIONS</t>
        </is>
      </c>
      <c r="C10" s="59" t="inlineStr">
        <is>
          <t>When people asked for help beyond the agent, did they get it?</t>
        </is>
      </c>
      <c r="D10" s="59" t="inlineStr">
        <is>
          <t>People asked to speak to someone senior 43 times. In 25 of those nothing happened and no alternative was offered.</t>
        </is>
      </c>
      <c r="E10" s="59" t="inlineStr">
        <is>
          <t>escalation.requested_by_caller against escalation.handled</t>
        </is>
      </c>
      <c r="F10" s="58" t="inlineStr">
        <is>
          <t>43 requests</t>
        </is>
      </c>
      <c r="G10" s="59" t="inlineStr">
        <is>
          <t>Operations</t>
        </is>
      </c>
      <c r="H10" s="59" t="inlineStr">
        <is>
          <t>A routing path that exists, and agent authority to use it</t>
        </is>
      </c>
      <c r="I10" s="59" t="inlineStr">
        <is>
          <t>Sufficient. Almost no interpretation involved, which makes it a good first proof of the evidence model</t>
        </is>
      </c>
      <c r="J10" s="59" t="inlineStr">
        <is>
          <t>Lens → refused calls → quoted turn</t>
        </is>
      </c>
    </row>
    <row r="11" ht="85.5" customHeight="1" s="48">
      <c r="A11" s="56" t="n">
        <v>7</v>
      </c>
      <c r="B11" s="56" t="inlineStr">
        <is>
          <t>FINANCIAL</t>
        </is>
      </c>
      <c r="C11" s="57" t="inlineStr">
        <is>
          <t>Where is operational capacity actually going?</t>
        </is>
      </c>
      <c r="D11" s="57" t="inlineStr">
        <is>
          <t>A life member consumes roughly four times the service minutes of a dental member, and a chiropractic member about two and a half times.</t>
        </is>
      </c>
      <c r="E11" s="57" t="inlineStr">
        <is>
          <t>Talk time per enrolled life per year, by product line</t>
        </is>
      </c>
      <c r="F11" s="56" t="inlineStr">
        <is>
          <t>32 calls on the thinnest line</t>
        </is>
      </c>
      <c r="G11" s="57" t="inlineStr">
        <is>
          <t>Adam</t>
        </is>
      </c>
      <c r="H11" s="57" t="inlineStr">
        <is>
          <t>Review whether administration economics match service consumption</t>
        </is>
      </c>
      <c r="I11" s="57" t="inlineStr">
        <is>
          <t>Sufficient. Chiro is the binding cell at 32 calls</t>
        </is>
      </c>
      <c r="J11" s="57" t="inlineStr">
        <is>
          <t>Lens → line → employers → calls</t>
        </is>
      </c>
    </row>
    <row r="12" ht="85.5" customHeight="1" s="48">
      <c r="A12" s="58" t="n">
        <v>8</v>
      </c>
      <c r="B12" s="58" t="inlineStr">
        <is>
          <t>FINANCIAL</t>
        </is>
      </c>
      <c r="C12" s="59" t="inlineStr">
        <is>
          <t>Is what we charge aligned with what we spend?</t>
        </is>
      </c>
      <c r="D12" s="59" t="inlineStr">
        <is>
          <t>The administration fee steps by headcount — $25, $30, $35, $50 — and never by service consumed. A 21-life group and a 199-life group both pay $35.</t>
        </is>
      </c>
      <c r="E12" s="59" t="inlineStr">
        <is>
          <t>Fee bands from rule P-33 against cost-to-serve by employer</t>
        </is>
      </c>
      <c r="F12" s="58" t="inlineStr">
        <is>
          <t>All 70 employers</t>
        </is>
      </c>
      <c r="G12" s="59" t="inlineStr">
        <is>
          <t>Adam</t>
        </is>
      </c>
      <c r="H12" s="59" t="inlineStr">
        <is>
          <t>A pricing and product design question, not a call centre one</t>
        </is>
      </c>
      <c r="I12" s="59" t="inlineStr">
        <is>
          <t>Sufficient. The fee bands are published fact; the service variance is measured</t>
        </is>
      </c>
      <c r="J12" s="59" t="inlineStr">
        <is>
          <t>Lens → band → employer → cost to serve</t>
        </is>
      </c>
    </row>
    <row r="13" ht="85.5" customHeight="1" s="48">
      <c r="A13" s="56" t="n">
        <v>9</v>
      </c>
      <c r="B13" s="56" t="inlineStr">
        <is>
          <t>FINANCIAL</t>
        </is>
      </c>
      <c r="C13" s="57" t="inlineStr">
        <is>
          <t>What is first-contact failure costing us?</t>
        </is>
      </c>
      <c r="D13" s="57" t="inlineStr">
        <is>
          <t>When we do not fix it first time, 38% of people call back within two weeks. That is N hours a month spent on things we already discussed.</t>
        </is>
      </c>
      <c r="E13" s="57" t="inlineStr">
        <is>
          <t>Unresolved calls followed by a contact from the same caller within 14 days, and the minutes those took</t>
        </is>
      </c>
      <c r="F13" s="56" t="inlineStr">
        <is>
          <t>76 unresolved</t>
        </is>
      </c>
      <c r="G13" s="57" t="inlineStr">
        <is>
          <t>Adam / Operations</t>
        </is>
      </c>
      <c r="H13" s="57" t="inlineStr">
        <is>
          <t>Fund the fix for the top cause</t>
        </is>
      </c>
      <c r="I13" s="57" t="inlineStr">
        <is>
          <t>Sufficient. Exclude the last 14 days of the window — those calls have not had time to come back</t>
        </is>
      </c>
      <c r="J13" s="57" t="inlineStr">
        <is>
          <t>Lens → cause → repeat pairs → calls</t>
        </is>
      </c>
    </row>
    <row r="14" ht="85.5" customHeight="1" s="48">
      <c r="A14" s="58" t="n">
        <v>10</v>
      </c>
      <c r="B14" s="58" t="inlineStr">
        <is>
          <t>COMMERCIAL</t>
        </is>
      </c>
      <c r="C14" s="59" t="inlineStr">
        <is>
          <t>What are customers trying to buy that we are not selling them?</t>
        </is>
      </c>
      <c r="D14" s="59" t="inlineStr">
        <is>
          <t>Fourteen employers asked about products they do not hold, covering N employees. None of it reached anyone in sales.</t>
        </is>
      </c>
      <c r="E14" s="59" t="inlineStr">
        <is>
          <t>intent = expansion, verbatim, with the routed flag</t>
        </is>
      </c>
      <c r="F14" s="58" t="inlineStr">
        <is>
          <t>18 calls</t>
        </is>
      </c>
      <c r="G14" s="59" t="inlineStr">
        <is>
          <t>Adam / Sales</t>
        </is>
      </c>
      <c r="H14" s="59" t="inlineStr">
        <is>
          <t>A routing rule that sends expansion intent to account management the same day</t>
        </is>
      </c>
      <c r="I14" s="59" t="inlineStr">
        <is>
          <t>Sufficient. The routed flag is the finding — in the current service model it is never routed</t>
        </is>
      </c>
      <c r="J14" s="59" t="inlineStr">
        <is>
          <t>Lens → intent → employer → quoted turn</t>
        </is>
      </c>
    </row>
    <row r="15" ht="85.5" customHeight="1" s="48">
      <c r="A15" s="56" t="n">
        <v>11</v>
      </c>
      <c r="B15" s="56" t="inlineStr">
        <is>
          <t>COMMERCIAL</t>
        </is>
      </c>
      <c r="C15" s="57" t="inlineStr">
        <is>
          <t>Who is telling us they are leaving, and are we hearing it?</t>
        </is>
      </c>
      <c r="D15" s="57" t="inlineStr">
        <is>
          <t>Fourteen employers used explicit exit or market-test language. In most cases the call ended with a note on the account.</t>
        </is>
      </c>
      <c r="E15" s="57" t="inlineStr">
        <is>
          <t>intent = market_test or cancellation, verbatim, against escalation.handled</t>
        </is>
      </c>
      <c r="F15" s="56" t="inlineStr">
        <is>
          <t>14 calls</t>
        </is>
      </c>
      <c r="G15" s="57" t="inlineStr">
        <is>
          <t>Account Management</t>
        </is>
      </c>
      <c r="H15" s="57" t="inlineStr">
        <is>
          <t>Treat exit language as an escalation trigger, not a sentiment tag</t>
        </is>
      </c>
      <c r="I15" s="57" t="inlineStr">
        <is>
          <t>Sufficient to name a list, not to quote a rate</t>
        </is>
      </c>
      <c r="J15" s="57" t="inlineStr">
        <is>
          <t>Lens → intent → account → calls</t>
        </is>
      </c>
    </row>
    <row r="16" ht="85.5" customHeight="1" s="48">
      <c r="A16" s="58" t="n">
        <v>12</v>
      </c>
      <c r="B16" s="58" t="inlineStr">
        <is>
          <t>PRODUCT</t>
        </is>
      </c>
      <c r="C16" s="59" t="inlineStr">
        <is>
          <t>Which benefits exist on paper but cannot be used in practice?</t>
        </is>
      </c>
      <c r="D16" s="59" t="inlineStr">
        <is>
          <t>Chiropractic is unusable for employees outside California, because Landmark's insured plans are California-only and there is no out-of-network payment at all.</t>
        </is>
      </c>
      <c r="E16" s="59" t="inlineStr">
        <is>
          <t>network_adequacy signals joined to employer region and workforce distribution</t>
        </is>
      </c>
      <c r="F16" s="58" t="inlineStr">
        <is>
          <t>Employers with out-of-state staff</t>
        </is>
      </c>
      <c r="G16" s="59" t="inlineStr">
        <is>
          <t>Product / Network Management</t>
        </is>
      </c>
      <c r="H16" s="59" t="inlineStr">
        <is>
          <t>A census-versus-network check at quotation, and plain-language geographic limits in the employer confirmation</t>
        </is>
      </c>
      <c r="I16" s="59" t="inlineStr">
        <is>
          <t>Sufficient to name the pattern. Rule C-28 and C-29 make it factual rather than anecdotal</t>
        </is>
      </c>
      <c r="J16" s="59" t="inlineStr">
        <is>
          <t>Lens → line → employer → calls</t>
        </is>
      </c>
    </row>
    <row r="17" ht="85.5" customHeight="1" s="48">
      <c r="A17" s="56" t="n">
        <v>13</v>
      </c>
      <c r="B17" s="56" t="inlineStr">
        <is>
          <t>PRODUCT</t>
        </is>
      </c>
      <c r="C17" s="57" t="inlineStr">
        <is>
          <t>Where do customers discover a limitation only after they have bought?</t>
        </is>
      </c>
      <c r="D17" s="57" t="inlineStr">
        <is>
          <t>Employers are learning about participation minimums, network geography and takeover credit after the sale rather than during it.</t>
        </is>
      </c>
      <c r="E17" s="57" t="inlineStr">
        <is>
          <t>member_communication_gap and knowledge_error signals with touchpoint = enrolment_meeting or renewal_pack</t>
        </is>
      </c>
      <c r="F17" s="56" t="inlineStr">
        <is>
          <t>Varies by rule</t>
        </is>
      </c>
      <c r="G17" s="57" t="inlineStr">
        <is>
          <t>Product / Marketing</t>
        </is>
      </c>
      <c r="H17" s="57" t="inlineStr">
        <is>
          <t>Move the disclosure earlier in the journey</t>
        </is>
      </c>
      <c r="I17" s="57" t="inlineStr">
        <is>
          <t>Sufficient by touchpoint, thin by individual rule</t>
        </is>
      </c>
      <c r="J17" s="57" t="inlineStr">
        <is>
          <t>Lens → touchpoint → rule → calls</t>
        </is>
      </c>
    </row>
    <row r="18" ht="85.5" customHeight="1" s="48">
      <c r="A18" s="58" t="n">
        <v>14</v>
      </c>
      <c r="B18" s="58" t="inlineStr">
        <is>
          <t>RISK</t>
        </is>
      </c>
      <c r="C18" s="59" t="inlineStr">
        <is>
          <t>What is dangerous even when the service looked fine?</t>
        </is>
      </c>
      <c r="D18" s="59" t="inlineStr">
        <is>
          <t>N calls were answered with no recording disclosure. In M more, plan or claim detail was given before we confirmed who we were speaking to — and those calls were resolved and the members were satisfied.</t>
        </is>
      </c>
      <c r="E18" s="59" t="inlineStr">
        <is>
          <t>control_exceptions by type, shown against outcome</t>
        </is>
      </c>
      <c r="F18" s="58" t="inlineStr">
        <is>
          <t>22 and 30 calls</t>
        </is>
      </c>
      <c r="G18" s="59" t="inlineStr">
        <is>
          <t>Adam (Compliance)</t>
        </is>
      </c>
      <c r="H18" s="59" t="inlineStr">
        <is>
          <t>Scripted greeting check and a verification gate, both monitored</t>
        </is>
      </c>
      <c r="I18" s="59" t="inlineStr">
        <is>
          <t>Sufficient once verification is raised to 30. This is the clearest case that service metrics and risk metrics must be separate</t>
        </is>
      </c>
      <c r="J18" s="59" t="inlineStr">
        <is>
          <t>Lens → exception type → calls → opening turns</t>
        </is>
      </c>
    </row>
    <row r="19" ht="85.5" customHeight="1" s="48">
      <c r="A19" s="56" t="n">
        <v>15</v>
      </c>
      <c r="B19" s="56" t="inlineStr">
        <is>
          <t>RISK</t>
        </is>
      </c>
      <c r="C19" s="57" t="inlineStr">
        <is>
          <t>Which obligations sit with us and which sit with the employer?</t>
        </is>
      </c>
      <c r="D19" s="57" t="inlineStr">
        <is>
          <t>Federal COBRA notification is solely the employer's duty; Cal-COBRA notification is ours. Employers are conflating the two, and the letter we send is not the notice they think it is.</t>
        </is>
      </c>
      <c r="E19" s="57" t="inlineStr">
        <is>
          <t>Calls tagged touchpoint = cobra_notice against rules A-34 and A-38</t>
        </is>
      </c>
      <c r="F19" s="56" t="inlineStr">
        <is>
          <t>Varies</t>
        </is>
      </c>
      <c r="G19" s="57" t="inlineStr">
        <is>
          <t>Adam (Compliance)</t>
        </is>
      </c>
      <c r="H19" s="57" t="inlineStr">
        <is>
          <t>Clarify in the employer communication which notice is which</t>
        </is>
      </c>
      <c r="I19" s="57" t="inlineStr">
        <is>
          <t>Thin at 360 — name the pattern, do not quote a rate</t>
        </is>
      </c>
      <c r="J19" s="57" t="inlineStr">
        <is>
          <t>Lens → touchpoint → calls</t>
        </is>
      </c>
    </row>
    <row r="20" ht="85.5" customHeight="1" s="48">
      <c r="A20" s="58" t="n">
        <v>16</v>
      </c>
      <c r="B20" s="58" t="inlineStr">
        <is>
          <t>ORGANIZATION</t>
        </is>
      </c>
      <c r="C20" s="59" t="inlineStr">
        <is>
          <t>What does this organisation repeatedly fail to explain?</t>
        </is>
      </c>
      <c r="D20" s="59" t="inlineStr">
        <is>
          <t>One rule accounts for most of our knowledge failures: the employer-elected new-hire waiting period being confused with the carrier's twelve-month waiting period on major services. It traces to one page.</t>
        </is>
      </c>
      <c r="E20" s="59" t="inlineStr">
        <is>
          <t>knowledge_failure grouped by rule_id and touchpoint</t>
        </is>
      </c>
      <c r="F20" s="58" t="inlineStr">
        <is>
          <t>~16 calls on the top rule</t>
        </is>
      </c>
      <c r="G20" s="59" t="inlineStr">
        <is>
          <t>Adam (Knowledge Management)</t>
        </is>
      </c>
      <c r="H20" s="59" t="inlineStr">
        <is>
          <t>Rewrite the article. A day's work with evidence attached</t>
        </is>
      </c>
      <c r="I20" s="59" t="inlineStr">
        <is>
          <t>Enough to name the count and the rule, not to quote a rate</t>
        </is>
      </c>
      <c r="J20" s="59" t="inlineStr">
        <is>
          <t>Lens → rule → touchpoint → calls</t>
        </is>
      </c>
    </row>
    <row r="21" ht="85.5" customHeight="1" s="48">
      <c r="A21" s="56" t="n">
        <v>17</v>
      </c>
      <c r="B21" s="56" t="inlineStr">
        <is>
          <t>ORGANIZATION</t>
        </is>
      </c>
      <c r="C21" s="57" t="inlineStr">
        <is>
          <t>What improvements are our own people proposing, and is anyone acting on them?</t>
        </is>
      </c>
      <c r="D21" s="57" t="inlineStr">
        <is>
          <t>Agents proposed N specific process changes inside calls this quarter. All N are currently unvalidated.</t>
        </is>
      </c>
      <c r="E21" s="57" t="inlineStr">
        <is>
          <t>process_gap tags grouped by touchpoint and proposed_change, with status</t>
        </is>
      </c>
      <c r="F21" s="56" t="inlineStr">
        <is>
          <t>Varies</t>
        </is>
      </c>
      <c r="G21" s="57" t="inlineStr">
        <is>
          <t>Process owner by touchpoint</t>
        </is>
      </c>
      <c r="H21" s="57" t="inlineStr">
        <is>
          <t>Validate, action or reject each. The lifecycle status is the metric</t>
        </is>
      </c>
      <c r="I21" s="57" t="inlineStr">
        <is>
          <t>New in v8. Sufficiency depends on tagging rate — measure it before quoting it</t>
        </is>
      </c>
      <c r="J21" s="57" t="inlineStr">
        <is>
          <t>Lens → touchpoint → proposal → calls</t>
        </is>
      </c>
    </row>
    <row r="22" ht="85.5" customHeight="1" s="48">
      <c r="A22" s="58" t="n">
        <v>18</v>
      </c>
      <c r="B22" s="58" t="inlineStr">
        <is>
          <t>ORGANIZATION</t>
        </is>
      </c>
      <c r="C22" s="59" t="inlineStr">
        <is>
          <t>Which brokers are underserving their clients, including the ones we cannot see today?</t>
        </is>
      </c>
      <c r="D22" s="59" t="inlineStr">
        <is>
          <t>Three brokers sit far above the channel median on complaints per client. All three have fewer than six clients — which is precisely why nobody has noticed them.</t>
        </is>
      </c>
      <c r="E22" s="59" t="inlineStr">
        <is>
          <t>Named-aloud broker attribution divided by groups in book, against the channel median</t>
        </is>
      </c>
      <c r="F22" s="58" t="inlineStr">
        <is>
          <t>4–6 calls per broker</t>
        </is>
      </c>
      <c r="G22" s="59" t="inlineStr">
        <is>
          <t>Rebekah / Broker Relations</t>
        </is>
      </c>
      <c r="H22" s="59" t="inlineStr">
        <is>
          <t>A conversation with three agencies, and a rate-based watchlist rather than a volume one</t>
        </is>
      </c>
      <c r="I22" s="59" t="inlineStr">
        <is>
          <t>Enough to name three. Not enough for a precise rate — say 'well above average', not '8.5 times'</t>
        </is>
      </c>
      <c r="J22" s="59" t="inlineStr">
        <is>
          <t>Lens → broker → groups → calls</t>
        </is>
      </c>
    </row>
    <row r="24" ht="43.5" customHeight="1" s="48">
      <c r="A24" s="60" t="inlineStr">
        <is>
          <t>Dropped</t>
        </is>
      </c>
      <c r="B24" s="61" t="inlineStr">
        <is>
          <t>'25% of calls last week were repeats' — at 30 calls a week that is about seven calls and says nothing; entry 9 replaces it. 'Half of last week's unresolved calls were billing' — that is two calls; the resolution-rate-by-category view replaces it. Both were right in shape and wrong in window. The fix is the timeframe, not the sample.</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47" min="1" max="1"/>
    <col width="44" customWidth="1" style="47" min="2" max="3"/>
    <col width="13" customWidth="1" style="47" min="4" max="4"/>
    <col width="42" customWidth="1" style="47" min="5" max="5"/>
    <col width="46" customWidth="1" style="47" min="6" max="6"/>
  </cols>
  <sheetData>
    <row r="1" ht="21.75" customHeight="1" s="48">
      <c r="A1" s="53" t="inlineStr">
        <is>
          <t>Questions worth asking — trigger rules</t>
        </is>
      </c>
    </row>
    <row r="2" ht="74.25" customHeight="1" s="48">
      <c r="A2" s="54" t="inlineStr">
        <is>
          <t>The platform should not only answer questions that were asked; it should notice when the evidence has become unusual and propose the question worth asking next. This sheet is that capability, written honestly as a rules engine with explicit thresholds rather than presented as emergent insight. Every trigger is a stated condition with a stated number, and the reason for each threshold is recorded so it can be argued with and tuned. That transparency is the point: a rules file someone can read and change is defensible, whereas a dashboard that implies intuition it does not have will not survive the first person who asks how it works.</t>
        </is>
      </c>
    </row>
    <row r="3" ht="6" customHeight="1" s="48"/>
    <row r="4" ht="31.5" customHeight="1" s="48">
      <c r="A4" s="55" t="inlineStr">
        <is>
          <t>#</t>
        </is>
      </c>
      <c r="B4" s="55" t="inlineStr">
        <is>
          <t>Trigger rule (explicit)</t>
        </is>
      </c>
      <c r="C4" s="55" t="inlineStr">
        <is>
          <t>Question surfaced</t>
        </is>
      </c>
      <c r="D4" s="55" t="inlineStr">
        <is>
          <t>Lens</t>
        </is>
      </c>
      <c r="E4" s="55" t="inlineStr">
        <is>
          <t>What answering it requires</t>
        </is>
      </c>
      <c r="F4" s="55" t="inlineStr">
        <is>
          <t>Why the threshold sits here</t>
        </is>
      </c>
    </row>
    <row r="5" ht="61.5" customHeight="1" s="48">
      <c r="A5" s="56" t="n">
        <v>1</v>
      </c>
      <c r="B5" s="57" t="inlineStr">
        <is>
          <t>≥4 employers raise the same signal type at the same touchpoint within a rolling 4 weeks</t>
        </is>
      </c>
      <c r="C5" s="57" t="inlineStr">
        <is>
          <t>Is this a common process defect rather than four unrelated incidents?</t>
        </is>
      </c>
      <c r="D5" s="56" t="inlineStr">
        <is>
          <t>OPERATIONS</t>
        </is>
      </c>
      <c r="E5" s="57" t="inlineStr">
        <is>
          <t>Group the calls by touchpoint and defect, and check whether they share a carrier, a region or a broker</t>
        </is>
      </c>
      <c r="F5" s="57" t="inlineStr">
        <is>
          <t>Four is the point at which coincidence becomes unlikely at this volume, and it is the smallest number that can be broken down one level further and still show a pattern</t>
        </is>
      </c>
    </row>
    <row r="6" ht="61.5" customHeight="1" s="48">
      <c r="A6" s="58" t="n">
        <v>2</v>
      </c>
      <c r="B6" s="59" t="inlineStr">
        <is>
          <t>≥3 calls name the same broker adversely within a rolling 12 weeks, from ≥2 different employers</t>
        </is>
      </c>
      <c r="C6" s="59" t="inlineStr">
        <is>
          <t>Is this isolated to one unhappy client or systemic across this broker's book?</t>
        </is>
      </c>
      <c r="D6" s="58" t="inlineStr">
        <is>
          <t>CUSTOMER</t>
        </is>
      </c>
      <c r="E6" s="59" t="inlineStr">
        <is>
          <t>Pull the broker's groups from the Broker Master and check how many of their book appear at all</t>
        </is>
      </c>
      <c r="F6" s="59" t="inlineStr">
        <is>
          <t>Two employers rules out a single disgruntled client. Three calls is the minimum that can distinguish a pattern from a bad week</t>
        </is>
      </c>
    </row>
    <row r="7" ht="61.5" customHeight="1" s="48">
      <c r="A7" s="56" t="n">
        <v>3</v>
      </c>
      <c r="B7" s="57" t="inlineStr">
        <is>
          <t>A product line's contact rate per 1,000 enrolled exceeds 2× the corpus median</t>
        </is>
      </c>
      <c r="C7" s="57" t="inlineStr">
        <is>
          <t>Is the service burden concentrated in a particular employer type or plan configuration?</t>
        </is>
      </c>
      <c r="D7" s="56" t="inlineStr">
        <is>
          <t>FINANCIAL</t>
        </is>
      </c>
      <c r="E7" s="57" t="inlineStr">
        <is>
          <t>Break the line's calls down by employer size, industry and plan design</t>
        </is>
      </c>
      <c r="F7" s="57" t="inlineStr">
        <is>
          <t>2× is where the difference stops being explainable by enrolment mix alone</t>
        </is>
      </c>
    </row>
    <row r="8" ht="61.5" customHeight="1" s="48">
      <c r="A8" s="58" t="n">
        <v>4</v>
      </c>
      <c r="B8" s="59" t="inlineStr">
        <is>
          <t>An employer's complaint rate rises for 2 consecutive 4-week windows AND their renewal falls within 90 days</t>
        </is>
      </c>
      <c r="C8" s="59" t="inlineStr">
        <is>
          <t>Should this account be moved to active retention before the renewal pack goes out?</t>
        </is>
      </c>
      <c r="D8" s="58" t="inlineStr">
        <is>
          <t>CUSTOMER</t>
        </is>
      </c>
      <c r="E8" s="59" t="inlineStr">
        <is>
          <t>Open the account's calls in date order and read what changed between the two windows</t>
        </is>
      </c>
      <c r="F8" s="59" t="inlineStr">
        <is>
          <t>Two consecutive windows filters noise. 90 days is the point at which intervention is still possible</t>
        </is>
      </c>
    </row>
    <row r="9" ht="61.5" customHeight="1" s="48">
      <c r="A9" s="56" t="n">
        <v>5</v>
      </c>
      <c r="B9" s="57" t="inlineStr">
        <is>
          <t>≥5 calls in a rolling 4 weeks cite the same rule_id in a knowledge_failure</t>
        </is>
      </c>
      <c r="C9" s="57" t="inlineStr">
        <is>
          <t>Is this a training problem, a process problem, or an information-design problem?</t>
        </is>
      </c>
      <c r="D9" s="56" t="inlineStr">
        <is>
          <t>ORGANIZATION</t>
        </is>
      </c>
      <c r="E9" s="57" t="inlineStr">
        <is>
          <t>Check whether the failures cluster on one agent (training), one touchpoint (information design) or across both (process)</t>
        </is>
      </c>
      <c r="F9" s="57" t="inlineStr">
        <is>
          <t>Five separates a rule people get wrong from a person who got it wrong</t>
        </is>
      </c>
    </row>
    <row r="10" ht="61.5" customHeight="1" s="48">
      <c r="A10" s="58" t="n">
        <v>6</v>
      </c>
      <c r="B10" s="59" t="inlineStr">
        <is>
          <t>≥3 calls propose the same process_gap at the same touchpoint</t>
        </is>
      </c>
      <c r="C10" s="59" t="inlineStr">
        <is>
          <t>Should this document or screen be rewritten, and what would it save?</t>
        </is>
      </c>
      <c r="D10" s="58" t="inlineStr">
        <is>
          <t>ORGANIZATION</t>
        </is>
      </c>
      <c r="E10" s="59" t="inlineStr">
        <is>
          <t>Aggregate the proposals, attach the call minutes consumed, and route to the touchpoint owner</t>
        </is>
      </c>
      <c r="F10" s="59" t="inlineStr">
        <is>
          <t>Three independent people proposing the same change is stronger evidence than any single articulate one</t>
        </is>
      </c>
    </row>
    <row r="11" ht="61.5" customHeight="1" s="48">
      <c r="A11" s="56" t="n">
        <v>7</v>
      </c>
      <c r="B11" s="57" t="inlineStr">
        <is>
          <t>Escalation refusal rate exceeds 40% in a rolling 12 weeks</t>
        </is>
      </c>
      <c r="C11" s="57" t="inlineStr">
        <is>
          <t>Do our agents have a route to escalate, or have we asked them to hold a line they cannot hold?</t>
        </is>
      </c>
      <c r="D11" s="56" t="inlineStr">
        <is>
          <t>OPERATIONS</t>
        </is>
      </c>
      <c r="E11" s="57" t="inlineStr">
        <is>
          <t>Check refusals by trigger type — a refusal on retention risk means something different from one on a billing limit</t>
        </is>
      </c>
      <c r="F11" s="57" t="inlineStr">
        <is>
          <t>40% is the point at which the cause is more likely structural than individual</t>
        </is>
      </c>
    </row>
    <row r="12" ht="61.5" customHeight="1" s="48">
      <c r="A12" s="58" t="n">
        <v>8</v>
      </c>
      <c r="B12" s="59" t="inlineStr">
        <is>
          <t>An employer generates ≥2 calls with unrouted expansion intent in a rolling 12 weeks</t>
        </is>
      </c>
      <c r="C12" s="59" t="inlineStr">
        <is>
          <t>Why has an account asking to buy more not reached anyone who can sell to them?</t>
        </is>
      </c>
      <c r="D12" s="58" t="inlineStr">
        <is>
          <t>COMMERCIAL</t>
        </is>
      </c>
      <c r="E12" s="59" t="inlineStr">
        <is>
          <t>Open both calls and check whether the same line was asked about twice</t>
        </is>
      </c>
      <c r="F12" s="59" t="inlineStr">
        <is>
          <t>Twice is intent. Once is a question</t>
        </is>
      </c>
    </row>
    <row r="13" ht="61.5" customHeight="1" s="48">
      <c r="A13" s="56" t="n">
        <v>9</v>
      </c>
      <c r="B13" s="57" t="inlineStr">
        <is>
          <t>A control exception type occurs on ≥3 calls handled by the same agent in a rolling 4 weeks</t>
        </is>
      </c>
      <c r="C13" s="57" t="inlineStr">
        <is>
          <t>Is this an individual habit or a gap in what we told everybody?</t>
        </is>
      </c>
      <c r="D13" s="56" t="inlineStr">
        <is>
          <t>RISK</t>
        </is>
      </c>
      <c r="E13" s="57" t="inlineStr">
        <is>
          <t>Compare that agent's rate to the cohort rate for the same exception type</t>
        </is>
      </c>
      <c r="F13" s="57" t="inlineStr">
        <is>
          <t>Three from one agent in four weeks is a habit; below that it is chance</t>
        </is>
      </c>
    </row>
    <row r="14" ht="61.5" customHeight="1" s="48">
      <c r="A14" s="58" t="n">
        <v>10</v>
      </c>
      <c r="B14" s="59" t="inlineStr">
        <is>
          <t>A group's payment or participation position changes AND a complaint is logged within the same 4 weeks</t>
        </is>
      </c>
      <c r="C14" s="59" t="inlineStr">
        <is>
          <t>Are the conversation and the account record telling the same story?</t>
        </is>
      </c>
      <c r="D14" s="58" t="inlineStr">
        <is>
          <t>CUSTOMER</t>
        </is>
      </c>
      <c r="E14" s="59" t="inlineStr">
        <is>
          <t>This requires the transactional join that is currently out of scope — the rule is defined and dormant</t>
        </is>
      </c>
      <c r="F14" s="59" t="inlineStr">
        <is>
          <t>Recorded here deliberately so the capability is designed for, even though the data is parked</t>
        </is>
      </c>
    </row>
    <row r="16" ht="37.5" customHeight="1" s="48">
      <c r="A16" s="60" t="inlineStr">
        <is>
          <t>Discipline</t>
        </is>
      </c>
      <c r="B16" s="61" t="inlineStr">
        <is>
          <t>A surfaced question must be answerable by the platform within two clicks, or it should not be surfaced. Thresholds are configuration, not code, and every threshold change is versioned like a rubric change. Trigger 10 is included while dormant so that the model does not have to be redesigned when the transactional data arrives.</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F41"/>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47" min="1" max="1"/>
    <col width="20" customWidth="1" style="47" min="2" max="2"/>
    <col width="62" customWidth="1" style="47" min="3" max="3"/>
    <col width="40" customWidth="1" style="47" min="4" max="4"/>
    <col width="30" customWidth="1" style="47" min="5" max="5"/>
    <col width="20" customWidth="1" style="47" min="6" max="6"/>
  </cols>
  <sheetData>
    <row r="1" ht="21.75" customHeight="1" s="48">
      <c r="A1" s="53" t="inlineStr">
        <is>
          <t>Program layer — what a group may buy</t>
        </is>
      </c>
    </row>
    <row r="2" ht="74.25" customHeight="1" s="48">
      <c r="A2" s="54" t="inlineStr">
        <is>
          <t>Set by ChoiceBuilder and sourced from the Program Guidelines, the Underwriting Guidelines and the Employer Application. These rules decide what an employer is permitted to buy, who is eligible for it, what they must contribute and what participation they must maintain, and they govern most employer conversations at sale and at renewal. Every row carries its source document and a confidence value. Nothing marked UNVERIFIED — shaded amber — may be used to assert that an agent gave wrong information or that a member was misinformed; it may only be used to shape a question. Tagging a knowledge failure against a rule that turns out not to exist is worse than not tagging it at all.</t>
        </is>
      </c>
    </row>
    <row r="3" ht="6" customHeight="1" s="48"/>
    <row r="4" ht="31.5" customHeight="1" s="48">
      <c r="A4" s="55" t="inlineStr">
        <is>
          <t>Rule ID</t>
        </is>
      </c>
      <c r="B4" s="55" t="inlineStr">
        <is>
          <t>Area</t>
        </is>
      </c>
      <c r="C4" s="55" t="inlineStr">
        <is>
          <t>Rule</t>
        </is>
      </c>
      <c r="D4" s="55" t="inlineStr">
        <is>
          <t>Commonly confused with</t>
        </is>
      </c>
      <c r="E4" s="55" t="inlineStr">
        <is>
          <t>Source</t>
        </is>
      </c>
      <c r="F4" s="55" t="inlineStr">
        <is>
          <t>Confidence</t>
        </is>
      </c>
    </row>
    <row r="5" ht="55.5" customHeight="1" s="48">
      <c r="A5" s="56" t="inlineStr">
        <is>
          <t>P-01</t>
        </is>
      </c>
      <c r="B5" s="56" t="inlineStr">
        <is>
          <t>Group eligibility</t>
        </is>
      </c>
      <c r="C5" s="57" t="inlineStr">
        <is>
          <t>Group size 2–500 eligible employees.</t>
        </is>
      </c>
      <c r="D5" s="57" t="inlineStr">
        <is>
          <t>ChoiceBuilder being small-group only.</t>
        </is>
      </c>
      <c r="E5" s="57" t="inlineStr">
        <is>
          <t>Program Guidelines</t>
        </is>
      </c>
      <c r="F5" s="56" t="inlineStr">
        <is>
          <t>VERIFIED</t>
        </is>
      </c>
    </row>
    <row r="6" ht="55.5" customHeight="1" s="48">
      <c r="A6" s="58" t="inlineStr">
        <is>
          <t>P-02</t>
        </is>
      </c>
      <c r="B6" s="58" t="inlineStr">
        <is>
          <t>Group eligibility</t>
        </is>
      </c>
      <c r="C6" s="59" t="inlineStr">
        <is>
          <t>The group's home office must be domiciled in California. The address cannot be a PO Box.</t>
        </is>
      </c>
      <c r="D6" s="59" t="inlineStr">
        <is>
          <t>Employees needing to be in California.</t>
        </is>
      </c>
      <c r="E6" s="59" t="inlineStr">
        <is>
          <t>Program Guidelines; Underwriting Guidelines</t>
        </is>
      </c>
      <c r="F6" s="58" t="inlineStr">
        <is>
          <t>VERIFIED</t>
        </is>
      </c>
    </row>
    <row r="7" ht="55.5" customHeight="1" s="48">
      <c r="A7" s="56" t="inlineStr">
        <is>
          <t>P-03</t>
        </is>
      </c>
      <c r="B7" s="56" t="inlineStr">
        <is>
          <t>Group eligibility</t>
        </is>
      </c>
      <c r="C7" s="57" t="inlineStr">
        <is>
          <t>Valid federal tax ID (not an SSN), matching the group applying, and a company business checking account.</t>
        </is>
      </c>
      <c r="D7" s="57" t="inlineStr">
        <is>
          <t>Sole proprietors being ineligible.</t>
        </is>
      </c>
      <c r="E7" s="57" t="inlineStr">
        <is>
          <t>Program Guidelines; Underwriting Guidelines</t>
        </is>
      </c>
      <c r="F7" s="56" t="inlineStr">
        <is>
          <t>VERIFIED</t>
        </is>
      </c>
    </row>
    <row r="8" ht="55.5" customHeight="1" s="48">
      <c r="A8" s="58" t="inlineStr">
        <is>
          <t>P-04</t>
        </is>
      </c>
      <c r="B8" s="58" t="inlineStr">
        <is>
          <t>Group eligibility</t>
        </is>
      </c>
      <c r="C8" s="59" t="inlineStr">
        <is>
          <t>PEO sub-groups are eligible. A company leasing out workers may enrol only its core staff — leased-out workers are not eligible through the leasing company, which must itself have a California office.</t>
        </is>
      </c>
      <c r="D8" s="59" t="inlineStr">
        <is>
          <t>All workers on a leasing company's books being eligible.</t>
        </is>
      </c>
      <c r="E8" s="59" t="inlineStr">
        <is>
          <t>Program Guidelines; Underwriting Guidelines</t>
        </is>
      </c>
      <c r="F8" s="58" t="inlineStr">
        <is>
          <t>VERIFIED</t>
        </is>
      </c>
    </row>
    <row r="9" ht="55.5" customHeight="1" s="48">
      <c r="A9" s="56" t="inlineStr">
        <is>
          <t>P-05</t>
        </is>
      </c>
      <c r="B9" s="56" t="inlineStr">
        <is>
          <t>Group eligibility</t>
        </is>
      </c>
      <c r="C9" s="57" t="inlineStr">
        <is>
          <t>Owners and partners are eligible to enrol as employees.</t>
        </is>
      </c>
      <c r="D9" s="57" t="inlineStr">
        <is>
          <t>Owners being excluded as non-employees.</t>
        </is>
      </c>
      <c r="E9" s="57" t="inlineStr">
        <is>
          <t>Underwriting Guidelines</t>
        </is>
      </c>
      <c r="F9" s="56" t="inlineStr">
        <is>
          <t>VERIFIED</t>
        </is>
      </c>
    </row>
    <row r="10" ht="55.5" customHeight="1" s="48">
      <c r="A10" s="58" t="inlineStr">
        <is>
          <t>P-06</t>
        </is>
      </c>
      <c r="B10" s="58" t="inlineStr">
        <is>
          <t>Employee eligibility</t>
        </is>
      </c>
      <c r="C10" s="59" t="inlineStr">
        <is>
          <t>Four conditions must all be met and kept: meet the employer's waiting period; be actively working the hours the employer requires; be a permanent employee not eligible for union-offered coverage; and be paid salary or hourly, not 1099 or commission.</t>
        </is>
      </c>
      <c r="D10" s="59" t="inlineStr">
        <is>
          <t>Any worker on the payroll qualifying.</t>
        </is>
      </c>
      <c r="E10" s="59" t="inlineStr">
        <is>
          <t>Employer Admin Guide, Coverage Eligibility Requirements</t>
        </is>
      </c>
      <c r="F10" s="58" t="inlineStr">
        <is>
          <t>VERIFIED</t>
        </is>
      </c>
    </row>
    <row r="11" ht="55.5" customHeight="1" s="48">
      <c r="A11" s="56" t="inlineStr">
        <is>
          <t>P-07</t>
        </is>
      </c>
      <c r="B11" s="56" t="inlineStr">
        <is>
          <t>Employee eligibility</t>
        </is>
      </c>
      <c r="C11" s="57" t="inlineStr">
        <is>
          <t>The employee must live or work in the plan's service area.</t>
        </is>
      </c>
      <c r="D11" s="57" t="inlineStr">
        <is>
          <t>Nationwide availability.</t>
        </is>
      </c>
      <c r="E11" s="57" t="inlineStr">
        <is>
          <t>Underwriting Guidelines</t>
        </is>
      </c>
      <c r="F11" s="56" t="inlineStr">
        <is>
          <t>VERIFIED</t>
        </is>
      </c>
    </row>
    <row r="12" ht="55.5" customHeight="1" s="48">
      <c r="A12" s="58" t="inlineStr">
        <is>
          <t>P-08</t>
        </is>
      </c>
      <c r="B12" s="58" t="inlineStr">
        <is>
          <t>Employee eligibility</t>
        </is>
      </c>
      <c r="C12" s="59" t="inlineStr">
        <is>
          <t>Minimum working hours for eligibility is a group election — 20+ or 30+ hours per week in California — and can only be changed at renewal.</t>
        </is>
      </c>
      <c r="D12" s="59" t="inlineStr">
        <is>
          <t>A fixed 30-hour or 40-hour rule.</t>
        </is>
      </c>
      <c r="E12" s="59" t="inlineStr">
        <is>
          <t>Employer Admin Guide, Change in Group Policy</t>
        </is>
      </c>
      <c r="F12" s="58" t="inlineStr">
        <is>
          <t>VERIFIED</t>
        </is>
      </c>
    </row>
    <row r="13" ht="55.5" customHeight="1" s="48">
      <c r="A13" s="56" t="inlineStr">
        <is>
          <t>P-09</t>
        </is>
      </c>
      <c r="B13" s="56" t="inlineStr">
        <is>
          <t>Plan selection</t>
        </is>
      </c>
      <c r="C13" s="57" t="inlineStr">
        <is>
          <t>Dental is mandatory. An employer must offer dental to enrol with ChoiceBuilder, and must offer one PPO carrier alongside the DeltaCare USA DHMO. Only ONE PPO carrier may be chosen.</t>
        </is>
      </c>
      <c r="D13" s="57" t="inlineStr">
        <is>
          <t>Vision-only or chiro-only groups, which do not exist.</t>
        </is>
      </c>
      <c r="E13" s="57" t="inlineStr">
        <is>
          <t>Underwriting Guidelines; Program Guidelines</t>
        </is>
      </c>
      <c r="F13" s="56" t="inlineStr">
        <is>
          <t>VERIFIED</t>
        </is>
      </c>
    </row>
    <row r="14" ht="55.5" customHeight="1" s="48">
      <c r="A14" s="58" t="inlineStr">
        <is>
          <t>P-10</t>
        </is>
      </c>
      <c r="B14" s="58" t="inlineStr">
        <is>
          <t>Plan selection</t>
        </is>
      </c>
      <c r="C14" s="59" t="inlineStr">
        <is>
          <t>One vision carrier and one life carrier per group. All family members must select the same carrier and the same benefit design.</t>
        </is>
      </c>
      <c r="D14" s="59" t="inlineStr">
        <is>
          <t>Employee-level or family-member-level carrier choice.</t>
        </is>
      </c>
      <c r="E14" s="59" t="inlineStr">
        <is>
          <t>Program Guidelines; Employer Admin Guide FAQs</t>
        </is>
      </c>
      <c r="F14" s="58" t="inlineStr">
        <is>
          <t>VERIFIED</t>
        </is>
      </c>
    </row>
    <row r="15" ht="55.5" customHeight="1" s="48">
      <c r="A15" s="56" t="inlineStr">
        <is>
          <t>P-11</t>
        </is>
      </c>
      <c r="B15" s="56" t="inlineStr">
        <is>
          <t>Effective dates</t>
        </is>
      </c>
      <c r="C15" s="57" t="inlineStr">
        <is>
          <t>First of the month only. Employers may apply up to 60 days in advance; the rate in force at the effective date applies. The group may not change its effective date after approval.</t>
        </is>
      </c>
      <c r="D15" s="57" t="inlineStr">
        <is>
          <t>The quoted rate being locked at application.</t>
        </is>
      </c>
      <c r="E15" s="57" t="inlineStr">
        <is>
          <t>Program Guidelines; Underwriting Guidelines</t>
        </is>
      </c>
      <c r="F15" s="56" t="inlineStr">
        <is>
          <t>VERIFIED</t>
        </is>
      </c>
    </row>
    <row r="16" ht="55.5" customHeight="1" s="48">
      <c r="A16" s="58" t="inlineStr">
        <is>
          <t>P-12</t>
        </is>
      </c>
      <c r="B16" s="58" t="inlineStr">
        <is>
          <t>Effective dates</t>
        </is>
      </c>
      <c r="C16" s="59" t="inlineStr">
        <is>
          <t>Employees must be hired on or before the group effective date to be eligible at initial enrolment.</t>
        </is>
      </c>
      <c r="D16" s="59" t="inlineStr">
        <is>
          <t>Later hires joining the initial enrolment.</t>
        </is>
      </c>
      <c r="E16" s="59" t="inlineStr">
        <is>
          <t>Underwriting Guidelines</t>
        </is>
      </c>
      <c r="F16" s="58" t="inlineStr">
        <is>
          <t>VERIFIED</t>
        </is>
      </c>
    </row>
    <row r="17" ht="55.5" customHeight="1" s="48">
      <c r="A17" s="56" t="inlineStr">
        <is>
          <t>P-13</t>
        </is>
      </c>
      <c r="B17" s="56" t="inlineStr">
        <is>
          <t>Rates</t>
        </is>
      </c>
      <c r="C17" s="57" t="inlineStr">
        <is>
          <t>12-month rate guarantee.</t>
        </is>
      </c>
      <c r="D17" s="57" t="inlineStr">
        <is>
          <t>Rates being fixed indefinitely.</t>
        </is>
      </c>
      <c r="E17" s="57" t="inlineStr">
        <is>
          <t>Program Guidelines</t>
        </is>
      </c>
      <c r="F17" s="56" t="inlineStr">
        <is>
          <t>VERIFIED</t>
        </is>
      </c>
    </row>
    <row r="18" ht="55.5" customHeight="1" s="48">
      <c r="A18" s="58" t="inlineStr">
        <is>
          <t>P-14</t>
        </is>
      </c>
      <c r="B18" s="58" t="inlineStr">
        <is>
          <t>Waiting period</t>
        </is>
      </c>
      <c r="C18" s="59" t="inlineStr">
        <is>
          <t>Elected by the employer from date of hire, 30, 60, 90, 180 or 365 days. Coverage begins the FIRST DAY OF THE MONTH FOLLOWING completion. Applies to all employees. May be waived at initial group enrolment. Changeable at renewal only, within 30 days of the anniversary.</t>
        </is>
      </c>
      <c r="D18" s="59" t="inlineStr">
        <is>
          <t>Carrier waiting periods on major services (C-12), which are a different rule with a different owner.</t>
        </is>
      </c>
      <c r="E18" s="59" t="inlineStr">
        <is>
          <t>Program Guidelines; Employer Admin Guide</t>
        </is>
      </c>
      <c r="F18" s="58" t="inlineStr">
        <is>
          <t>VERIFIED</t>
        </is>
      </c>
    </row>
    <row r="19" ht="55.5" customHeight="1" s="48">
      <c r="A19" s="56" t="inlineStr">
        <is>
          <t>P-15</t>
        </is>
      </c>
      <c r="B19" s="56" t="inlineStr">
        <is>
          <t>Contribution</t>
        </is>
      </c>
      <c r="C19" s="57" t="inlineStr">
        <is>
          <t>Employer-sponsored dental and vision: minimum 50% of the lowest cost benefit design for each employee. Changeable at renewal only. If raised to 100%, 100% participation is required other than employees waiving for other group coverage.</t>
        </is>
      </c>
      <c r="D19" s="57" t="inlineStr">
        <is>
          <t>50% of the employee's chosen design.</t>
        </is>
      </c>
      <c r="E19" s="57" t="inlineStr">
        <is>
          <t>Program Guidelines; Employer Admin Guide</t>
        </is>
      </c>
      <c r="F19" s="56" t="inlineStr">
        <is>
          <t>VERIFIED</t>
        </is>
      </c>
    </row>
    <row r="20" ht="55.5" customHeight="1" s="48">
      <c r="A20" s="58" t="inlineStr">
        <is>
          <t>P-16</t>
        </is>
      </c>
      <c r="B20" s="58" t="inlineStr">
        <is>
          <t>Contribution</t>
        </is>
      </c>
      <c r="C20" s="59" t="inlineStr">
        <is>
          <t>Chiropractic/acupuncture and life must be 100% employer-paid.</t>
        </is>
      </c>
      <c r="D20" s="59" t="inlineStr">
        <is>
          <t>These being available employee-paid.</t>
        </is>
      </c>
      <c r="E20" s="59" t="inlineStr">
        <is>
          <t>Program Guidelines</t>
        </is>
      </c>
      <c r="F20" s="58" t="inlineStr">
        <is>
          <t>VERIFIED</t>
        </is>
      </c>
    </row>
    <row r="21" ht="55.5" customHeight="1" s="48">
      <c r="A21" s="56" t="inlineStr">
        <is>
          <t>P-17</t>
        </is>
      </c>
      <c r="B21" s="56" t="inlineStr">
        <is>
          <t>Contribution</t>
        </is>
      </c>
      <c r="C21" s="57" t="inlineStr">
        <is>
          <t>Dependent contribution, if any, is at the employer's discretion.</t>
        </is>
      </c>
      <c r="D21" s="57" t="inlineStr">
        <is>
          <t>A mandated dependent contribution.</t>
        </is>
      </c>
      <c r="E21" s="57" t="inlineStr">
        <is>
          <t>Program Guidelines</t>
        </is>
      </c>
      <c r="F21" s="56" t="inlineStr">
        <is>
          <t>VERIFIED</t>
        </is>
      </c>
    </row>
    <row r="22" ht="55.5" customHeight="1" s="48">
      <c r="A22" s="58" t="inlineStr">
        <is>
          <t>P-18</t>
        </is>
      </c>
      <c r="B22" s="58" t="inlineStr">
        <is>
          <t>Participation</t>
        </is>
      </c>
      <c r="C22" s="59" t="inlineStr">
        <is>
          <t>Employer-sponsored dental: minimum 2 enrolled AND 70% participation.</t>
        </is>
      </c>
      <c r="D22" s="59" t="inlineStr">
        <is>
          <t>The voluntary headcount minimums.</t>
        </is>
      </c>
      <c r="E22" s="59" t="inlineStr">
        <is>
          <t>Program Guidelines</t>
        </is>
      </c>
      <c r="F22" s="58" t="inlineStr">
        <is>
          <t>VERIFIED</t>
        </is>
      </c>
    </row>
    <row r="23" ht="55.5" customHeight="1" s="48">
      <c r="A23" s="56" t="inlineStr">
        <is>
          <t>P-19</t>
        </is>
      </c>
      <c r="B23" s="56" t="inlineStr">
        <is>
          <t>Participation</t>
        </is>
      </c>
      <c r="C23" s="57" t="inlineStr">
        <is>
          <t>Employer-sponsored vision: minimum 2 enrolled AND 70% participation.</t>
        </is>
      </c>
      <c r="D23" s="57" t="inlineStr">
        <is>
          <t>Voluntary vision, which has no minimum.</t>
        </is>
      </c>
      <c r="E23" s="57" t="inlineStr">
        <is>
          <t>Program Guidelines</t>
        </is>
      </c>
      <c r="F23" s="56" t="inlineStr">
        <is>
          <t>VERIFIED</t>
        </is>
      </c>
    </row>
    <row r="24" ht="55.5" customHeight="1" s="48">
      <c r="A24" s="58" t="inlineStr">
        <is>
          <t>P-20</t>
        </is>
      </c>
      <c r="B24" s="58" t="inlineStr">
        <is>
          <t>Participation</t>
        </is>
      </c>
      <c r="C24" s="59" t="inlineStr">
        <is>
          <t>Employer-sponsored chiropractic/acupuncture: 100% participation, 100% employer-paid.</t>
        </is>
      </c>
      <c r="D24" s="59" t="inlineStr">
        <is>
          <t>A percentage minimum.</t>
        </is>
      </c>
      <c r="E24" s="59" t="inlineStr">
        <is>
          <t>Program Guidelines</t>
        </is>
      </c>
      <c r="F24" s="58" t="inlineStr">
        <is>
          <t>VERIFIED</t>
        </is>
      </c>
    </row>
    <row r="25" ht="55.5" customHeight="1" s="48">
      <c r="A25" s="56" t="inlineStr">
        <is>
          <t>P-21</t>
        </is>
      </c>
      <c r="B25" s="56" t="inlineStr">
        <is>
          <t>Participation</t>
        </is>
      </c>
      <c r="C25" s="57" t="inlineStr">
        <is>
          <t>Life/AD&amp;D is employer-sponsored ONLY, 100% participation, 100% employer-paid. There is no voluntary or employee-elected life.</t>
        </is>
      </c>
      <c r="D25" s="57" t="inlineStr">
        <is>
          <t>Voluntary life with employee elections.</t>
        </is>
      </c>
      <c r="E25" s="57" t="inlineStr">
        <is>
          <t>Program Guidelines Step 4</t>
        </is>
      </c>
      <c r="F25" s="56" t="inlineStr">
        <is>
          <t>VERIFIED</t>
        </is>
      </c>
    </row>
    <row r="26" ht="55.5" customHeight="1" s="48">
      <c r="A26" s="58" t="inlineStr">
        <is>
          <t>P-22</t>
        </is>
      </c>
      <c r="B26" s="58" t="inlineStr">
        <is>
          <t>Participation</t>
        </is>
      </c>
      <c r="C26" s="59" t="inlineStr">
        <is>
          <t>When employer-sponsored life is offered, ALL employees eligible for dental must enrol in life, even if they do not enrol in dental. An Enrollment Form is required for each.</t>
        </is>
      </c>
      <c r="D26" s="59" t="inlineStr">
        <is>
          <t>Life following dental enrolment.</t>
        </is>
      </c>
      <c r="E26" s="59" t="inlineStr">
        <is>
          <t>Employer Admin Guide, New Hires</t>
        </is>
      </c>
      <c r="F26" s="58" t="inlineStr">
        <is>
          <t>VERIFIED</t>
        </is>
      </c>
    </row>
    <row r="27" ht="55.5" customHeight="1" s="48">
      <c r="A27" s="56" t="inlineStr">
        <is>
          <t>P-23</t>
        </is>
      </c>
      <c r="B27" s="56" t="inlineStr">
        <is>
          <t>Participation</t>
        </is>
      </c>
      <c r="C27" s="57" t="inlineStr">
        <is>
          <t>Voluntary dental, groups 10–500: Anthem 5 eligible / 2 enrolled; all other dental 10 eligible / 5 enrolled.</t>
        </is>
      </c>
      <c r="D27" s="57" t="inlineStr">
        <is>
          <t>A percentage minimum.</t>
        </is>
      </c>
      <c r="E27" s="57" t="inlineStr">
        <is>
          <t>Program Guidelines</t>
        </is>
      </c>
      <c r="F27" s="56" t="inlineStr">
        <is>
          <t>VERIFIED</t>
        </is>
      </c>
    </row>
    <row r="28" ht="55.5" customHeight="1" s="48">
      <c r="A28" s="58" t="inlineStr">
        <is>
          <t>P-24</t>
        </is>
      </c>
      <c r="B28" s="58" t="inlineStr">
        <is>
          <t>Participation</t>
        </is>
      </c>
      <c r="C28" s="59" t="inlineStr">
        <is>
          <t>Voluntary dental, groups 2–9: Anthem 5 eligible / 2 enrolled; MetLife 2 eligible / 2 enrolled.</t>
        </is>
      </c>
      <c r="D28" s="59" t="inlineStr">
        <is>
          <t>The 10–500 thresholds.</t>
        </is>
      </c>
      <c r="E28" s="59" t="inlineStr">
        <is>
          <t>Program Guidelines; Underwriting Guidelines</t>
        </is>
      </c>
      <c r="F28" s="58" t="inlineStr">
        <is>
          <t>VERIFIED</t>
        </is>
      </c>
    </row>
    <row r="29" ht="55.5" customHeight="1" s="48">
      <c r="A29" s="56" t="inlineStr">
        <is>
          <t>P-25</t>
        </is>
      </c>
      <c r="B29" s="56" t="inlineStr">
        <is>
          <t>Participation</t>
        </is>
      </c>
      <c r="C29" s="57" t="inlineStr">
        <is>
          <t>Voluntary vision: NO minimum participation requirement.</t>
        </is>
      </c>
      <c r="D29" s="57" t="inlineStr">
        <is>
          <t>The 70% employer-sponsored rule.</t>
        </is>
      </c>
      <c r="E29" s="57" t="inlineStr">
        <is>
          <t>Program Guidelines Step 2</t>
        </is>
      </c>
      <c r="F29" s="56" t="inlineStr">
        <is>
          <t>VERIFIED</t>
        </is>
      </c>
    </row>
    <row r="30" ht="55.5" customHeight="1" s="48">
      <c r="A30" s="58" t="inlineStr">
        <is>
          <t>P-26</t>
        </is>
      </c>
      <c r="B30" s="58" t="inlineStr">
        <is>
          <t>Participation</t>
        </is>
      </c>
      <c r="C30" s="59" t="inlineStr">
        <is>
          <t>Voluntary chiropractic/acupuncture: NO minimum participation requirement.</t>
        </is>
      </c>
      <c r="D30" s="59" t="inlineStr">
        <is>
          <t>The 100% employer-sponsored rule.</t>
        </is>
      </c>
      <c r="E30" s="59" t="inlineStr">
        <is>
          <t>Program Guidelines Step 3</t>
        </is>
      </c>
      <c r="F30" s="58" t="inlineStr">
        <is>
          <t>VERIFIED</t>
        </is>
      </c>
    </row>
    <row r="31" ht="55.5" customHeight="1" s="48">
      <c r="A31" s="56" t="inlineStr">
        <is>
          <t>P-27</t>
        </is>
      </c>
      <c r="B31" s="56" t="inlineStr">
        <is>
          <t>Participation</t>
        </is>
      </c>
      <c r="C31" s="57" t="inlineStr">
        <is>
          <t>There are no participation requirements between carriers.</t>
        </is>
      </c>
      <c r="D31" s="57" t="inlineStr">
        <is>
          <t>Take-up on one carrier affecting another.</t>
        </is>
      </c>
      <c r="E31" s="57" t="inlineStr">
        <is>
          <t>choicebuilder / mycalchoice employer page</t>
        </is>
      </c>
      <c r="F31" s="56" t="inlineStr">
        <is>
          <t>VERIFIED (SECONDARY)</t>
        </is>
      </c>
    </row>
    <row r="32" ht="55.5" customHeight="1" s="48">
      <c r="A32" s="58" t="inlineStr">
        <is>
          <t>P-28</t>
        </is>
      </c>
      <c r="B32" s="58" t="inlineStr">
        <is>
          <t>Orthodontia</t>
        </is>
      </c>
      <c r="C32" s="59" t="inlineStr">
        <is>
          <t>Availability is gated by carrier and group size: Ameritas 5+ eligible; Anthem 10+ eligible (employer-sponsored only); Delta 10+ enrolled on PPO (sponsored) or 25+ eligible (voluntary); MetLife 10+ eligible with 5+ enrolled.</t>
        </is>
      </c>
      <c r="D32" s="59" t="inlineStr">
        <is>
          <t>Ortho being universally available subject only to a wait.</t>
        </is>
      </c>
      <c r="E32" s="59" t="inlineStr">
        <is>
          <t>Program Guidelines</t>
        </is>
      </c>
      <c r="F32" s="58" t="inlineStr">
        <is>
          <t>VERIFIED</t>
        </is>
      </c>
    </row>
    <row r="33" ht="55.5" customHeight="1" s="48">
      <c r="A33" s="56" t="inlineStr">
        <is>
          <t>P-29</t>
        </is>
      </c>
      <c r="B33" s="56" t="inlineStr">
        <is>
          <t>Takeover credit</t>
        </is>
      </c>
      <c r="C33" s="57" t="inlineStr">
        <is>
          <t>Available at initial enrolment ONLY. The 12-month waiting period for major services and/or ortho is waived on proof of 12 consecutive months of prior coverage — no partial credit. Ortho takeover requires a bill from the 12 months before the ChoiceBuilder effective date showing ortho coverage. MetLife ortho takeover is automatic for groups with prior coverage.</t>
        </is>
      </c>
      <c r="D33" s="57" t="inlineStr">
        <is>
          <t>The waiting period being unconditional, or credit being available later.</t>
        </is>
      </c>
      <c r="E33" s="57" t="inlineStr">
        <is>
          <t>Underwriting Guidelines; Employer Application CB0210A</t>
        </is>
      </c>
      <c r="F33" s="56" t="inlineStr">
        <is>
          <t>VERIFIED</t>
        </is>
      </c>
    </row>
    <row r="34" ht="55.5" customHeight="1" s="48">
      <c r="A34" s="58" t="inlineStr">
        <is>
          <t>P-30</t>
        </is>
      </c>
      <c r="B34" s="58" t="inlineStr">
        <is>
          <t>Waivers</t>
        </is>
      </c>
      <c r="C34" s="59" t="inlineStr">
        <is>
          <t>Employees waiving dental or vision must complete the waiver portion of the Enrollment Form. Under Knox-Keene s.1357(d)(4)(A) the employer must retain the written waiver. If the employee later seeks coverage and no waiver was obtained, the EMPLOYER may be liable for the cost of healthcare services the employee incurs.</t>
        </is>
      </c>
      <c r="D34" s="59" t="inlineStr">
        <is>
          <t>A verbal decline being sufficient.</t>
        </is>
      </c>
      <c r="E34" s="59" t="inlineStr">
        <is>
          <t>Employer Admin Guide, New Hires</t>
        </is>
      </c>
      <c r="F34" s="58" t="inlineStr">
        <is>
          <t>VERIFIED</t>
        </is>
      </c>
    </row>
    <row r="35" ht="55.5" customHeight="1" s="48">
      <c r="A35" s="56" t="inlineStr">
        <is>
          <t>P-31</t>
        </is>
      </c>
      <c r="B35" s="56" t="inlineStr">
        <is>
          <t>Waivers</t>
        </is>
      </c>
      <c r="C35" s="57" t="inlineStr">
        <is>
          <t>Employees cannot waive coverage where the employer contributes 100%, unless the waiver is due to other group coverage.</t>
        </is>
      </c>
      <c r="D35" s="57" t="inlineStr">
        <is>
          <t>Waiver being always available.</t>
        </is>
      </c>
      <c r="E35" s="57" t="inlineStr">
        <is>
          <t>Employer Application CB0210A</t>
        </is>
      </c>
      <c r="F35" s="56" t="inlineStr">
        <is>
          <t>VERIFIED</t>
        </is>
      </c>
    </row>
    <row r="36" ht="55.5" customHeight="1" s="48">
      <c r="A36" s="58" t="inlineStr">
        <is>
          <t>P-32</t>
        </is>
      </c>
      <c r="B36" s="58" t="inlineStr">
        <is>
          <t>Waivers</t>
        </is>
      </c>
      <c r="C36" s="59" t="inlineStr">
        <is>
          <t>Husband-and-wife groups: if both are enrolling, whether together or separately, waiver forms are not required. If enrolling separately, two fully completed applications are required.</t>
        </is>
      </c>
      <c r="D36" s="59" t="inlineStr">
        <is>
          <t>One application covering both.</t>
        </is>
      </c>
      <c r="E36" s="59" t="inlineStr">
        <is>
          <t>Underwriting Guidelines</t>
        </is>
      </c>
      <c r="F36" s="58" t="inlineStr">
        <is>
          <t>VERIFIED</t>
        </is>
      </c>
    </row>
    <row r="37" ht="55.5" customHeight="1" s="48">
      <c r="A37" s="56" t="inlineStr">
        <is>
          <t>P-33</t>
        </is>
      </c>
      <c r="B37" s="56" t="inlineStr">
        <is>
          <t>Billing</t>
        </is>
      </c>
      <c r="C37" s="57" t="inlineStr">
        <is>
          <t>Monthly administration fee banded by headcount: $25 (2–8), $30 (9–20), $35 (21–199), $50 (200+). Based on employees enrolled in any coverage at the time of invoicing, so it is subject to change monthly. ChoiceBuilder is additionally remunerated by the carriers from premium.</t>
        </is>
      </c>
      <c r="D37" s="57" t="inlineStr">
        <is>
          <t>A flat or per-employee fee.</t>
        </is>
      </c>
      <c r="E37" s="57" t="inlineStr">
        <is>
          <t>Program Guidelines; Employer Admin Guide</t>
        </is>
      </c>
      <c r="F37" s="56" t="inlineStr">
        <is>
          <t>VERIFIED</t>
        </is>
      </c>
    </row>
    <row r="38" ht="55.5" customHeight="1" s="48">
      <c r="A38" s="58" t="inlineStr">
        <is>
          <t>P-34</t>
        </is>
      </c>
      <c r="B38" s="58" t="inlineStr">
        <is>
          <t>Submission</t>
        </is>
      </c>
      <c r="C38" s="59" t="inlineStr">
        <is>
          <t>Group submission requires the Employer Application, employee Enrollment Forms and/or waivers, and a company check for the first month's premium.</t>
        </is>
      </c>
      <c r="D38" s="59" t="inlineStr">
        <is>
          <t>Application alone completing submission.</t>
        </is>
      </c>
      <c r="E38" s="59" t="inlineStr">
        <is>
          <t>Program Guidelines Step 6</t>
        </is>
      </c>
      <c r="F38" s="58" t="inlineStr">
        <is>
          <t>VERIFIED</t>
        </is>
      </c>
    </row>
    <row r="39" ht="55.5" customHeight="1" s="48">
      <c r="A39" s="56" t="inlineStr">
        <is>
          <t>P-35</t>
        </is>
      </c>
      <c r="B39" s="56" t="inlineStr">
        <is>
          <t>Submission</t>
        </is>
      </c>
      <c r="C39" s="57" t="inlineStr">
        <is>
          <t>Employees enrol on the Universal Employee Enrollment Form — one form across all lines. An application is required from every employee enrolling in dental, chiro, life or vision.</t>
        </is>
      </c>
      <c r="D39" s="57" t="inlineStr">
        <is>
          <t>Separate carrier forms.</t>
        </is>
      </c>
      <c r="E39" s="57" t="inlineStr">
        <is>
          <t>Program Guidelines Step 5; Underwriting Guidelines</t>
        </is>
      </c>
      <c r="F39" s="56" t="inlineStr">
        <is>
          <t>VERIFIED</t>
        </is>
      </c>
    </row>
    <row r="40" ht="55.5" customHeight="1" s="48">
      <c r="A40" s="58" t="inlineStr">
        <is>
          <t>P-36</t>
        </is>
      </c>
      <c r="B40" s="58" t="inlineStr">
        <is>
          <t>Renewal</t>
        </is>
      </c>
      <c r="C40" s="59" t="inlineStr">
        <is>
          <t>ChoiceBuilder reserves the right to non-renew or adjust premium if contributory status or participation percentages change.</t>
        </is>
      </c>
      <c r="D40" s="59" t="inlineStr">
        <is>
          <t>Changes taking effect only at the employer's election.</t>
        </is>
      </c>
      <c r="E40" s="59" t="inlineStr">
        <is>
          <t>Employer Application CB0210A</t>
        </is>
      </c>
      <c r="F40" s="58" t="inlineStr">
        <is>
          <t>VERIFIED</t>
        </is>
      </c>
    </row>
    <row r="41" ht="55.5" customHeight="1" s="48">
      <c r="A41" s="56" t="inlineStr">
        <is>
          <t>P-37</t>
        </is>
      </c>
      <c r="B41" s="56" t="inlineStr">
        <is>
          <t>Contracts</t>
        </is>
      </c>
      <c r="C41" s="57" t="inlineStr">
        <is>
          <t>Contracts (Group Service Agreement and/or Master Policy) are held by the ChoiceBuilder Welfare Benefit Insurance Master Trust and are downloadable by the group from the Forms tab after login.</t>
        </is>
      </c>
      <c r="D41" s="57" t="inlineStr">
        <is>
          <t>The employer holding the policy directly.</t>
        </is>
      </c>
      <c r="E41" s="57" t="inlineStr">
        <is>
          <t>Employer Admin Guide, Welcome</t>
        </is>
      </c>
      <c r="F41" s="56" t="inlineStr">
        <is>
          <t>VERIFIED</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50"/>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47" min="1" max="1"/>
    <col width="20" customWidth="1" style="47" min="2" max="2"/>
    <col width="58" customWidth="1" style="47" min="3" max="3"/>
    <col width="36" customWidth="1" style="47" min="4" max="4"/>
    <col width="38" customWidth="1" style="47" min="5" max="5"/>
    <col width="26" customWidth="1" style="47" min="6" max="6"/>
    <col width="18" customWidth="1" style="47" min="7" max="7"/>
  </cols>
  <sheetData>
    <row r="1" ht="21.75" customHeight="1" s="48">
      <c r="A1" s="53" t="inlineStr">
        <is>
          <t>Administration layer — what happens after the sale</t>
        </is>
      </c>
    </row>
    <row r="2" ht="74.25" customHeight="1" s="48">
      <c r="A2" s="54" t="inlineStr">
        <is>
          <t>Sourced almost entirely from the ChoiceBuilder Employer Administrative Guide, which we found late and which turned out to be the most complete single document in the set. These rules govern enrolment, mid-year changes, terminations, dependent eligibility, billing, grace periods, COBRA and Cal-COBRA, and the renewal timeline — in other words, most of what an employer actually calls about. What makes this layer valuable for the platform is that nearly every rule carries a date or a deadline, so an agent is either right or wrong against a published document rather than against an opinion. That makes it the best available material for a knowledge failure metric.</t>
        </is>
      </c>
    </row>
    <row r="3" ht="6" customHeight="1" s="48"/>
    <row r="4" ht="31.5" customHeight="1" s="48">
      <c r="A4" s="55" t="inlineStr">
        <is>
          <t>Rule ID</t>
        </is>
      </c>
      <c r="B4" s="55" t="inlineStr">
        <is>
          <t>Area</t>
        </is>
      </c>
      <c r="C4" s="55" t="inlineStr">
        <is>
          <t>Rule</t>
        </is>
      </c>
      <c r="D4" s="55" t="inlineStr">
        <is>
          <t>Commonly confused with</t>
        </is>
      </c>
      <c r="E4" s="55" t="inlineStr">
        <is>
          <t>Call scenarios it generates</t>
        </is>
      </c>
      <c r="F4" s="55" t="inlineStr">
        <is>
          <t>Source</t>
        </is>
      </c>
      <c r="G4" s="55" t="inlineStr">
        <is>
          <t>Confidence</t>
        </is>
      </c>
    </row>
    <row r="5" ht="61.5" customHeight="1" s="48">
      <c r="A5" s="56" t="inlineStr">
        <is>
          <t>A-01</t>
        </is>
      </c>
      <c r="B5" s="56" t="inlineStr">
        <is>
          <t>New hires</t>
        </is>
      </c>
      <c r="C5" s="57" t="inlineStr">
        <is>
          <t>New employees and dependents are eligible the first day of the month following completion of the group's waiting period.</t>
        </is>
      </c>
      <c r="D5" s="57" t="inlineStr">
        <is>
          <t>The waiting period end date itself being the effective date.</t>
        </is>
      </c>
      <c r="E5" s="57" t="inlineStr">
        <is>
          <t>New hire given the wrong start date; employee hired on the 2nd waiting almost two months.</t>
        </is>
      </c>
      <c r="F5" s="57" t="inlineStr">
        <is>
          <t>Employer Admin Guide</t>
        </is>
      </c>
      <c r="G5" s="56" t="inlineStr">
        <is>
          <t>VERIFIED</t>
        </is>
      </c>
    </row>
    <row r="6" ht="61.5" customHeight="1" s="48">
      <c r="A6" s="58" t="inlineStr">
        <is>
          <t>A-02</t>
        </is>
      </c>
      <c r="B6" s="58" t="inlineStr">
        <is>
          <t>New hires</t>
        </is>
      </c>
      <c r="C6" s="59" t="inlineStr">
        <is>
          <t>The Enrollment Form must reach ChoiceBuilder no more than 60 days before, and no more than 30 days after, the employee's effective date.</t>
        </is>
      </c>
      <c r="D6" s="59" t="inlineStr">
        <is>
          <t>An open-ended submission window.</t>
        </is>
      </c>
      <c r="E6" s="59" t="inlineStr">
        <is>
          <t>Form submitted on day 45 and rejected.</t>
        </is>
      </c>
      <c r="F6" s="59" t="inlineStr">
        <is>
          <t>Employer Admin Guide</t>
        </is>
      </c>
      <c r="G6" s="58" t="inlineStr">
        <is>
          <t>VERIFIED</t>
        </is>
      </c>
    </row>
    <row r="7" ht="61.5" customHeight="1" s="48">
      <c r="A7" s="56" t="inlineStr">
        <is>
          <t>A-03</t>
        </is>
      </c>
      <c r="B7" s="56" t="inlineStr">
        <is>
          <t>Military leave</t>
        </is>
      </c>
      <c r="C7" s="57" t="inlineStr">
        <is>
          <t>An employee previously covered before military service may re-enrol without completing the waiting period. The form must arrive within 60 days of return to work with a written request to waive the waiting period.</t>
        </is>
      </c>
      <c r="D7" s="57" t="inlineStr">
        <is>
          <t>The waiting period restarting.</t>
        </is>
      </c>
      <c r="E7" s="57" t="inlineStr">
        <is>
          <t>Returning reservist told to wait 90 days.</t>
        </is>
      </c>
      <c r="F7" s="57" t="inlineStr">
        <is>
          <t>Employer Admin Guide</t>
        </is>
      </c>
      <c r="G7" s="56" t="inlineStr">
        <is>
          <t>VERIFIED</t>
        </is>
      </c>
    </row>
    <row r="8" ht="61.5" customHeight="1" s="48">
      <c r="A8" s="58" t="inlineStr">
        <is>
          <t>A-04</t>
        </is>
      </c>
      <c r="B8" s="58" t="inlineStr">
        <is>
          <t>Rehires</t>
        </is>
      </c>
      <c r="C8" s="59" t="inlineStr">
        <is>
          <t>A rehire may skip the waiting period if they previously completed it, were previously enrolled, are rehired within six months of losing ChoiceBuilder coverage, and re-enrol in the SAME benefits. Effective first of the month following rehire.</t>
        </is>
      </c>
      <c r="D8" s="59" t="inlineStr">
        <is>
          <t>Any rehire skipping the wait.</t>
        </is>
      </c>
      <c r="E8" s="59" t="inlineStr">
        <is>
          <t>Seasonal worker rehired at seven months and made to wait.</t>
        </is>
      </c>
      <c r="F8" s="59" t="inlineStr">
        <is>
          <t>Employer Admin Guide</t>
        </is>
      </c>
      <c r="G8" s="58" t="inlineStr">
        <is>
          <t>VERIFIED</t>
        </is>
      </c>
    </row>
    <row r="9" ht="61.5" customHeight="1" s="48">
      <c r="A9" s="56" t="inlineStr">
        <is>
          <t>A-05</t>
        </is>
      </c>
      <c r="B9" s="56" t="inlineStr">
        <is>
          <t>Voluntary termination</t>
        </is>
      </c>
      <c r="C9" s="57" t="inlineStr">
        <is>
          <t>An employee withdrawing coverage takes effect the last day of the month FOLLOWING receipt. It is NOT processed retroactively, and the employee cannot re-enrol until renewal.</t>
        </is>
      </c>
      <c r="D9" s="57" t="inlineStr">
        <is>
          <t>Immediate or backdated cancellation.</t>
        </is>
      </c>
      <c r="E9" s="57" t="inlineStr">
        <is>
          <t>Employee wanting a refund for a month already billed.</t>
        </is>
      </c>
      <c r="F9" s="57" t="inlineStr">
        <is>
          <t>Employer Admin Guide</t>
        </is>
      </c>
      <c r="G9" s="56" t="inlineStr">
        <is>
          <t>VERIFIED</t>
        </is>
      </c>
    </row>
    <row r="10" ht="61.5" customHeight="1" s="48">
      <c r="A10" s="58" t="inlineStr">
        <is>
          <t>A-06</t>
        </is>
      </c>
      <c r="B10" s="58" t="inlineStr">
        <is>
          <t>Involuntary termination</t>
        </is>
      </c>
      <c r="C10" s="59" t="inlineStr">
        <is>
          <t>Coverage is cancelled at the end of the month following the last day employed, eligible, or date of death. Where a termination or loss of hours falls on the last day of a month, coverage ends that same day.</t>
        </is>
      </c>
      <c r="D10" s="59" t="inlineStr">
        <is>
          <t>Coverage ending on the termination date.</t>
        </is>
      </c>
      <c r="E10" s="59" t="inlineStr">
        <is>
          <t>Leaver surprised they still had cover; employer billed an extra month they expected not to be.</t>
        </is>
      </c>
      <c r="F10" s="59" t="inlineStr">
        <is>
          <t>Employer Admin Guide</t>
        </is>
      </c>
      <c r="G10" s="58" t="inlineStr">
        <is>
          <t>VERIFIED</t>
        </is>
      </c>
    </row>
    <row r="11" ht="61.5" customHeight="1" s="48">
      <c r="A11" s="56" t="inlineStr">
        <is>
          <t>A-07</t>
        </is>
      </c>
      <c r="B11" s="56" t="inlineStr">
        <is>
          <t>Terminations</t>
        </is>
      </c>
      <c r="C11" s="57" t="inlineStr">
        <is>
          <t>Notification must not be sent before the last day of employment — requests made earlier cannot be processed. The form must be signed by an authorised group contact on file.</t>
        </is>
      </c>
      <c r="D11" s="57" t="inlineStr">
        <is>
          <t>Filing a termination in advance.</t>
        </is>
      </c>
      <c r="E11" s="57" t="inlineStr">
        <is>
          <t>Employer filing early in good faith and the termination silently failing.</t>
        </is>
      </c>
      <c r="F11" s="57" t="inlineStr">
        <is>
          <t>Employer Admin Guide</t>
        </is>
      </c>
      <c r="G11" s="56" t="inlineStr">
        <is>
          <t>VERIFIED</t>
        </is>
      </c>
    </row>
    <row r="12" ht="61.5" customHeight="1" s="48">
      <c r="A12" s="58" t="inlineStr">
        <is>
          <t>A-08</t>
        </is>
      </c>
      <c r="B12" s="58" t="inlineStr">
        <is>
          <t>Terminations</t>
        </is>
      </c>
      <c r="C12" s="59" t="inlineStr">
        <is>
          <t>Cal-COBRA requires the employer to notify ChoiceBuilder of ALL employee terminations within 30 days of the last day employed.</t>
        </is>
      </c>
      <c r="D12" s="59" t="inlineStr">
        <is>
          <t>A courtesy timescale.</t>
        </is>
      </c>
      <c r="E12" s="59" t="inlineStr">
        <is>
          <t>Late notification creating a Cal-COBRA exposure.</t>
        </is>
      </c>
      <c r="F12" s="59" t="inlineStr">
        <is>
          <t>Employer Admin Guide</t>
        </is>
      </c>
      <c r="G12" s="58" t="inlineStr">
        <is>
          <t>VERIFIED</t>
        </is>
      </c>
    </row>
    <row r="13" ht="61.5" customHeight="1" s="48">
      <c r="A13" s="56" t="inlineStr">
        <is>
          <t>A-09</t>
        </is>
      </c>
      <c r="B13" s="56" t="inlineStr">
        <is>
          <t>Billing adjustments</t>
        </is>
      </c>
      <c r="C13" s="57" t="inlineStr">
        <is>
          <t>Employers must not self-adjust the statement. Payment must be made in full as billed. ChoiceBuilder credits the premium on the statement FOLLOWING the processing of the termination.</t>
        </is>
      </c>
      <c r="D13" s="57" t="inlineStr">
        <is>
          <t>A corrected invoice arriving immediately.</t>
        </is>
      </c>
      <c r="E13" s="57" t="inlineStr">
        <is>
          <t>High-churn group paying for leavers and chasing credits — the single most common billing complaint.</t>
        </is>
      </c>
      <c r="F13" s="57" t="inlineStr">
        <is>
          <t>Employer Admin Guide</t>
        </is>
      </c>
      <c r="G13" s="56" t="inlineStr">
        <is>
          <t>VERIFIED</t>
        </is>
      </c>
    </row>
    <row r="14" ht="61.5" customHeight="1" s="48">
      <c r="A14" s="58" t="inlineStr">
        <is>
          <t>A-10</t>
        </is>
      </c>
      <c r="B14" s="58" t="inlineStr">
        <is>
          <t>Billing verification</t>
        </is>
      </c>
      <c r="C14" s="59" t="inlineStr">
        <is>
          <t>The employer is told to check the invoice immediately after a termination request and to call if the employee and premium still appear.</t>
        </is>
      </c>
      <c r="D14" s="59" t="inlineStr">
        <is>
          <t>The system confirming silently.</t>
        </is>
      </c>
      <c r="E14" s="59" t="inlineStr">
        <is>
          <t>The employer who did not check and is six cycles out.</t>
        </is>
      </c>
      <c r="F14" s="59" t="inlineStr">
        <is>
          <t>Employer Admin Guide</t>
        </is>
      </c>
      <c r="G14" s="58" t="inlineStr">
        <is>
          <t>VERIFIED</t>
        </is>
      </c>
    </row>
    <row r="15" ht="61.5" customHeight="1" s="48">
      <c r="A15" s="56" t="inlineStr">
        <is>
          <t>A-11</t>
        </is>
      </c>
      <c r="B15" s="56" t="inlineStr">
        <is>
          <t>Late enrolment</t>
        </is>
      </c>
      <c r="C15" s="57" t="inlineStr">
        <is>
          <t>Permitted for loss of other coverage beyond the employee's control, exhaustion or dramatic reduction of employer contributions toward other coverage, or a change in family status. The group's waiting period must already be satisfied. Effective first of the month following receipt of all forms and documentation.</t>
        </is>
      </c>
      <c r="D15" s="57" t="inlineStr">
        <is>
          <t>Open enrolment being the only route.</t>
        </is>
      </c>
      <c r="E15" s="57" t="inlineStr">
        <is>
          <t>Employee who waived, then lost a spouse's coverage.</t>
        </is>
      </c>
      <c r="F15" s="57" t="inlineStr">
        <is>
          <t>Employer Admin Guide</t>
        </is>
      </c>
      <c r="G15" s="56" t="inlineStr">
        <is>
          <t>VERIFIED</t>
        </is>
      </c>
    </row>
    <row r="16" ht="61.5" customHeight="1" s="48">
      <c r="A16" s="58" t="inlineStr">
        <is>
          <t>A-12</t>
        </is>
      </c>
      <c r="B16" s="58" t="inlineStr">
        <is>
          <t>Family status</t>
        </is>
      </c>
      <c r="C16" s="59" t="inlineStr">
        <is>
          <t>Newly acquired dependents must be added within 60 days of the qualifying event.</t>
        </is>
      </c>
      <c r="D16" s="59" t="inlineStr">
        <is>
          <t>A 30-day window.</t>
        </is>
      </c>
      <c r="E16" s="59" t="inlineStr">
        <is>
          <t>Late newborn addition.</t>
        </is>
      </c>
      <c r="F16" s="59" t="inlineStr">
        <is>
          <t>Employer Admin Guide</t>
        </is>
      </c>
      <c r="G16" s="58" t="inlineStr">
        <is>
          <t>VERIFIED</t>
        </is>
      </c>
    </row>
    <row r="17" ht="61.5" customHeight="1" s="48">
      <c r="A17" s="56" t="inlineStr">
        <is>
          <t>A-13</t>
        </is>
      </c>
      <c r="B17" s="56" t="inlineStr">
        <is>
          <t>Family status</t>
        </is>
      </c>
      <c r="C17" s="57" t="inlineStr">
        <is>
          <t>Marriage or domestic partnership: documentation received before the 16th of the month means full-month premium and coverage from the date of the event. On or after the 16th, coverage begins the 1st of the following month.</t>
        </is>
      </c>
      <c r="D17" s="57" t="inlineStr">
        <is>
          <t>A single effective-date rule.</t>
        </is>
      </c>
      <c r="E17" s="57" t="inlineStr">
        <is>
          <t>Member married on the 14th expecting cover from the 1st.</t>
        </is>
      </c>
      <c r="F17" s="57" t="inlineStr">
        <is>
          <t>Employer Admin Guide</t>
        </is>
      </c>
      <c r="G17" s="56" t="inlineStr">
        <is>
          <t>VERIFIED</t>
        </is>
      </c>
    </row>
    <row r="18" ht="61.5" customHeight="1" s="48">
      <c r="A18" s="58" t="inlineStr">
        <is>
          <t>A-14</t>
        </is>
      </c>
      <c r="B18" s="58" t="inlineStr">
        <is>
          <t>Family status</t>
        </is>
      </c>
      <c r="C18" s="59" t="inlineStr">
        <is>
          <t>Birth, adoption, guardianship: if before the 16th, coverage begins the 1st of that month. On or after the 16th, the child is automatically covered at no cost from birth/placement to the 1st of the following month, when coverage begins.</t>
        </is>
      </c>
      <c r="D18" s="59" t="inlineStr">
        <is>
          <t>The child being uncovered until enrolment.</t>
        </is>
      </c>
      <c r="E18" s="59" t="inlineStr">
        <is>
          <t>Parent worried a newborn was uninsured.</t>
        </is>
      </c>
      <c r="F18" s="59" t="inlineStr">
        <is>
          <t>Employer Admin Guide</t>
        </is>
      </c>
      <c r="G18" s="58" t="inlineStr">
        <is>
          <t>VERIFIED</t>
        </is>
      </c>
    </row>
    <row r="19" ht="61.5" customHeight="1" s="48">
      <c r="A19" s="56" t="inlineStr">
        <is>
          <t>A-15</t>
        </is>
      </c>
      <c r="B19" s="56" t="inlineStr">
        <is>
          <t>Dependents</t>
        </is>
      </c>
      <c r="C19" s="57" t="inlineStr">
        <is>
          <t>Dependent children are eligible to age 26, and coverage ends at the end of the month following the 26th birthday, unless disabled with the disability arising before the age limit.</t>
        </is>
      </c>
      <c r="D19" s="57" t="inlineStr">
        <is>
          <t>Coverage ending on the birthday.</t>
        </is>
      </c>
      <c r="E19" s="57" t="inlineStr">
        <is>
          <t>Age-out discovered after a claim denial.</t>
        </is>
      </c>
      <c r="F19" s="57" t="inlineStr">
        <is>
          <t>Employer Admin Guide; Underwriting Guidelines</t>
        </is>
      </c>
      <c r="G19" s="56" t="inlineStr">
        <is>
          <t>VERIFIED</t>
        </is>
      </c>
    </row>
    <row r="20" ht="61.5" customHeight="1" s="48">
      <c r="A20" s="58" t="inlineStr">
        <is>
          <t>A-16</t>
        </is>
      </c>
      <c r="B20" s="58" t="inlineStr">
        <is>
          <t>Dependents</t>
        </is>
      </c>
      <c r="C20" s="59" t="inlineStr">
        <is>
          <t>An over-age dependent receives a notification letter from ChoiceBuilder roughly 90 days before termination, advising them to contact the Group Plan Administrator about COBRA. The employer is not involved in sending it but should know it happens.</t>
        </is>
      </c>
      <c r="D20" s="59" t="inlineStr">
        <is>
          <t>The employer having to notify.</t>
        </is>
      </c>
      <c r="E20" s="59" t="inlineStr">
        <is>
          <t>Dependent who never received the letter; HR unaware it was sent.</t>
        </is>
      </c>
      <c r="F20" s="59" t="inlineStr">
        <is>
          <t>Employer Admin Guide</t>
        </is>
      </c>
      <c r="G20" s="58" t="inlineStr">
        <is>
          <t>VERIFIED</t>
        </is>
      </c>
    </row>
    <row r="21" ht="61.5" customHeight="1" s="48">
      <c r="A21" s="56" t="inlineStr">
        <is>
          <t>A-17</t>
        </is>
      </c>
      <c r="B21" s="56" t="inlineStr">
        <is>
          <t>Dependents</t>
        </is>
      </c>
      <c r="C21" s="57" t="inlineStr">
        <is>
          <t>A disabled dependent past the age limit requires a Disabled Dependent Certification form, with verification of disability annually at the child's birthday.</t>
        </is>
      </c>
      <c r="D21" s="57" t="inlineStr">
        <is>
          <t>A one-off certification.</t>
        </is>
      </c>
      <c r="E21" s="57" t="inlineStr">
        <is>
          <t>Annual re-certification missed and coverage lapsing.</t>
        </is>
      </c>
      <c r="F21" s="57" t="inlineStr">
        <is>
          <t>Employer Admin Guide</t>
        </is>
      </c>
      <c r="G21" s="56" t="inlineStr">
        <is>
          <t>VERIFIED</t>
        </is>
      </c>
    </row>
    <row r="22" ht="61.5" customHeight="1" s="48">
      <c r="A22" s="58" t="inlineStr">
        <is>
          <t>A-18</t>
        </is>
      </c>
      <c r="B22" s="58" t="inlineStr">
        <is>
          <t>Dependents</t>
        </is>
      </c>
      <c r="C22" s="59" t="inlineStr">
        <is>
          <t>Domestic partners require a Declaration of Domestic Partnership filed with the Secretary of State, with a copy to ChoiceBuilder within 60 days of issue. A signed Affidavit is accepted in the interim in California.</t>
        </is>
      </c>
      <c r="D22" s="59" t="inlineStr">
        <is>
          <t>Self-declaration being sufficient.</t>
        </is>
      </c>
      <c r="E22" s="59" t="inlineStr">
        <is>
          <t>Partner enrolled on an affidavit and never followed up.</t>
        </is>
      </c>
      <c r="F22" s="59" t="inlineStr">
        <is>
          <t>Employer Admin Guide</t>
        </is>
      </c>
      <c r="G22" s="58" t="inlineStr">
        <is>
          <t>VERIFIED</t>
        </is>
      </c>
    </row>
    <row r="23" ht="61.5" customHeight="1" s="48">
      <c r="A23" s="56" t="inlineStr">
        <is>
          <t>A-19</t>
        </is>
      </c>
      <c r="B23" s="56" t="inlineStr">
        <is>
          <t>Dependent termination</t>
        </is>
      </c>
      <c r="C23" s="57" t="inlineStr">
        <is>
          <t>Divorce, annulment, dissolution, termination of domestic partnership, legal separation, a child ceasing to qualify, death of the employee, or Medicare entitlement of the employee. Coverage ends at the end of the month following the event, provided ChoiceBuilder is notified within 60 days. If a divorce is not final and the member cancels, the dependent cannot be reinstated until renewal.</t>
        </is>
      </c>
      <c r="D23" s="57" t="inlineStr">
        <is>
          <t>Reinstatement being available at any time.</t>
        </is>
      </c>
      <c r="E23" s="57" t="inlineStr">
        <is>
          <t>Cancelled-in-anger spouse who cannot be put back.</t>
        </is>
      </c>
      <c r="F23" s="57" t="inlineStr">
        <is>
          <t>Employer Admin Guide</t>
        </is>
      </c>
      <c r="G23" s="56" t="inlineStr">
        <is>
          <t>VERIFIED</t>
        </is>
      </c>
    </row>
    <row r="24" ht="61.5" customHeight="1" s="48">
      <c r="A24" s="58" t="inlineStr">
        <is>
          <t>A-20</t>
        </is>
      </c>
      <c r="B24" s="58" t="inlineStr">
        <is>
          <t>Mid-year changes</t>
        </is>
      </c>
      <c r="C24" s="59" t="inlineStr">
        <is>
          <t>Enrolment changes during the year are limited to: marriage or domestic partnership; birth, adoption, guardianship or eligible dependent child; court order; moving where current benefits are not offered; involuntary loss of minimum essential coverage; return from military or National Guard duty; release from incarceration; monthly change for Native American status; or other exceptional circumstances subject to ChoiceBuilder approval. 60 days to act.</t>
        </is>
      </c>
      <c r="D24" s="59" t="inlineStr">
        <is>
          <t>Changes being possible at will.</t>
        </is>
      </c>
      <c r="E24" s="59" t="inlineStr">
        <is>
          <t>Employee wanting to switch plan mid-year for convenience.</t>
        </is>
      </c>
      <c r="F24" s="59" t="inlineStr">
        <is>
          <t>Employer Admin Guide</t>
        </is>
      </c>
      <c r="G24" s="58" t="inlineStr">
        <is>
          <t>VERIFIED</t>
        </is>
      </c>
    </row>
    <row r="25" ht="61.5" customHeight="1" s="48">
      <c r="A25" s="56" t="inlineStr">
        <is>
          <t>A-21</t>
        </is>
      </c>
      <c r="B25" s="56" t="inlineStr">
        <is>
          <t>Carrier change</t>
        </is>
      </c>
      <c r="C25" s="57" t="inlineStr">
        <is>
          <t>A member may change carrier or benefit design only at annual renewal, OR when they move to an area with no providers under their current carrier.</t>
        </is>
      </c>
      <c r="D25" s="57" t="inlineStr">
        <is>
          <t>Free movement between carriers.</t>
        </is>
      </c>
      <c r="E25" s="57" t="inlineStr">
        <is>
          <t>Member relocating within California and stuck on a DHMO with no local dentist.</t>
        </is>
      </c>
      <c r="F25" s="57" t="inlineStr">
        <is>
          <t>Employer Admin Guide FAQs</t>
        </is>
      </c>
      <c r="G25" s="56" t="inlineStr">
        <is>
          <t>VERIFIED</t>
        </is>
      </c>
    </row>
    <row r="26" ht="61.5" customHeight="1" s="48">
      <c r="A26" s="58" t="inlineStr">
        <is>
          <t>A-22</t>
        </is>
      </c>
      <c r="B26" s="58" t="inlineStr">
        <is>
          <t>Group changes</t>
        </is>
      </c>
      <c r="C26" s="59" t="inlineStr">
        <is>
          <t>Timing by change type — Renewal only: contribution, waiting period, working-hours eligibility, chiro plan change, and any move between voluntary and employer-sponsored on dental or vision. Once a year and at renewal: adding chiro, adding life. At any time: address, company name, contact, federal tax ID, Section 125, employer-sponsored vision, and termination of coverage.</t>
        </is>
      </c>
      <c r="D26" s="59" t="inlineStr">
        <is>
          <t>All changes being available at renewal, or none mid-year.</t>
        </is>
      </c>
      <c r="E26" s="59" t="inlineStr">
        <is>
          <t>Employer trying to cut contribution mid-year; employer wanting to drop a line.</t>
        </is>
      </c>
      <c r="F26" s="59" t="inlineStr">
        <is>
          <t>Employer Admin Guide, Change in Group Policy</t>
        </is>
      </c>
      <c r="G26" s="58" t="inlineStr">
        <is>
          <t>VERIFIED</t>
        </is>
      </c>
    </row>
    <row r="27" ht="61.5" customHeight="1" s="48">
      <c r="A27" s="56" t="inlineStr">
        <is>
          <t>A-23</t>
        </is>
      </c>
      <c r="B27" s="56" t="inlineStr">
        <is>
          <t>Line termination</t>
        </is>
      </c>
      <c r="C27" s="57" t="inlineStr">
        <is>
          <t>A group may terminate a line of coverage at any time, on 30 days' notice, effective no earlier than the first of the month following the request. Written request on employer letterhead naming the last day of coverage and the lines to terminate, signed by an authorised contact.</t>
        </is>
      </c>
      <c r="D27" s="57" t="inlineStr">
        <is>
          <t>Being locked in until the anniversary.</t>
        </is>
      </c>
      <c r="E27" s="57" t="inlineStr">
        <is>
          <t>Employer wanting to drop a line their employees cannot use — this IS possible, contrary to what two transcripts assert.</t>
        </is>
      </c>
      <c r="F27" s="57" t="inlineStr">
        <is>
          <t>Employer Admin Guide</t>
        </is>
      </c>
      <c r="G27" s="56" t="inlineStr">
        <is>
          <t>VERIFIED</t>
        </is>
      </c>
    </row>
    <row r="28" ht="61.5" customHeight="1" s="48">
      <c r="A28" s="58" t="inlineStr">
        <is>
          <t>A-24</t>
        </is>
      </c>
      <c r="B28" s="58" t="inlineStr">
        <is>
          <t>Voluntary to sponsored</t>
        </is>
      </c>
      <c r="C28" s="59" t="inlineStr">
        <is>
          <t>Moving dental from employer-sponsored to voluntary at renewal requires 5 or more enrolled and a group size of 10 or more eligible. Benefits cannot be accessed until written confirmation of approval is received.</t>
        </is>
      </c>
      <c r="D28" s="59" t="inlineStr">
        <is>
          <t>The change taking effect on request.</t>
        </is>
      </c>
      <c r="E28" s="59" t="inlineStr">
        <is>
          <t>Employer who told staff the change was done.</t>
        </is>
      </c>
      <c r="F28" s="59" t="inlineStr">
        <is>
          <t>Employer Admin Guide</t>
        </is>
      </c>
      <c r="G28" s="58" t="inlineStr">
        <is>
          <t>VERIFIED</t>
        </is>
      </c>
    </row>
    <row r="29" ht="61.5" customHeight="1" s="48">
      <c r="A29" s="56" t="inlineStr">
        <is>
          <t>A-25</t>
        </is>
      </c>
      <c r="B29" s="56" t="inlineStr">
        <is>
          <t>Life changes</t>
        </is>
      </c>
      <c r="C29" s="57" t="inlineStr">
        <is>
          <t>Adding or changing life requires the form by the 25th of the month before the requested effective date, Enrollment Forms for all eligible employees, a reconciled quarterly or annual wage report if requested, and a completed statement of health for all eligible employees if the amount requested is above guaranteed issue.</t>
        </is>
      </c>
      <c r="D29" s="57" t="inlineStr">
        <is>
          <t>An individual member underwriting decision.</t>
        </is>
      </c>
      <c r="E29" s="57" t="inlineStr">
        <is>
          <t>Employer raising the benefit and triggering underwriting for everyone.</t>
        </is>
      </c>
      <c r="F29" s="57" t="inlineStr">
        <is>
          <t>Employer Admin Guide</t>
        </is>
      </c>
      <c r="G29" s="56" t="inlineStr">
        <is>
          <t>VERIFIED</t>
        </is>
      </c>
    </row>
    <row r="30" ht="61.5" customHeight="1" s="48">
      <c r="A30" s="58" t="inlineStr">
        <is>
          <t>A-26</t>
        </is>
      </c>
      <c r="B30" s="58" t="inlineStr">
        <is>
          <t>Section 125</t>
        </is>
      </c>
      <c r="C30" s="59" t="inlineStr">
        <is>
          <t>A Section 125 Premium Only Plan can be added at any time for a $100 fee, billed on the next invoice.</t>
        </is>
      </c>
      <c r="D30" s="59" t="inlineStr">
        <is>
          <t>It being included.</t>
        </is>
      </c>
      <c r="E30" s="59" t="inlineStr">
        <is>
          <t>Employer surprised by the fee.</t>
        </is>
      </c>
      <c r="F30" s="59" t="inlineStr">
        <is>
          <t>Employer Admin Guide</t>
        </is>
      </c>
      <c r="G30" s="58" t="inlineStr">
        <is>
          <t>VERIFIED</t>
        </is>
      </c>
    </row>
    <row r="31" ht="61.5" customHeight="1" s="48">
      <c r="A31" s="56" t="inlineStr">
        <is>
          <t>A-27</t>
        </is>
      </c>
      <c r="B31" s="56" t="inlineStr">
        <is>
          <t>Billing cycle</t>
        </is>
      </c>
      <c r="C31" s="57" t="inlineStr">
        <is>
          <t>Statements are produced and mailed by the 1st of each month for the FOLLOWING month's coverage. Payment is due on the 20th of the month before the coverage month. All payments apply to the oldest open balance first.</t>
        </is>
      </c>
      <c r="D31" s="57" t="inlineStr">
        <is>
          <t>Billing in arrears.</t>
        </is>
      </c>
      <c r="E31" s="57" t="inlineStr">
        <is>
          <t>Employer treating the invoice as a bill for the month just ended.</t>
        </is>
      </c>
      <c r="F31" s="57" t="inlineStr">
        <is>
          <t>Employer Admin Guide, Billing and FAQs</t>
        </is>
      </c>
      <c r="G31" s="56" t="inlineStr">
        <is>
          <t>VERIFIED</t>
        </is>
      </c>
    </row>
    <row r="32" ht="61.5" customHeight="1" s="48">
      <c r="A32" s="58" t="inlineStr">
        <is>
          <t>A-28</t>
        </is>
      </c>
      <c r="B32" s="58" t="inlineStr">
        <is>
          <t>Non-payment</t>
        </is>
      </c>
      <c r="C32" s="59" t="inlineStr">
        <is>
          <t>If premium is not received by the 25th, a Notice of Cancellation for Nonpayment and Grace Period is sent, opening a 30-day grace period. If not received by the 14th of the coverage month, a Second Notice follows. If not received by the last day of the coverage month, a Notice Confirming Cancellation is sent on the first business day of the next month. The group is liable for all premium accrued to the last day of coverage. February's 30-day grace period runs to the last day of March.</t>
        </is>
      </c>
      <c r="D32" s="59" t="inlineStr">
        <is>
          <t>An informal grace period.</t>
        </is>
      </c>
      <c r="E32" s="59" t="inlineStr">
        <is>
          <t>Group approaching termination — the strongest available leading indicator of a loss.</t>
        </is>
      </c>
      <c r="F32" s="59" t="inlineStr">
        <is>
          <t>Employer Admin Guide</t>
        </is>
      </c>
      <c r="G32" s="58" t="inlineStr">
        <is>
          <t>VERIFIED</t>
        </is>
      </c>
    </row>
    <row r="33" ht="61.5" customHeight="1" s="48">
      <c r="A33" s="56" t="inlineStr">
        <is>
          <t>A-29</t>
        </is>
      </c>
      <c r="B33" s="56" t="inlineStr">
        <is>
          <t>Reinstatement</t>
        </is>
      </c>
      <c r="C33" s="57" t="inlineStr">
        <is>
          <t>After termination for non-payment, a written reinstatement request must be submitted within 14 days of the termination effective date. If approved, the full account balance plus fees must be paid by cashier's check or money order.</t>
        </is>
      </c>
      <c r="D33" s="57" t="inlineStr">
        <is>
          <t>Reinstatement on payment alone.</t>
        </is>
      </c>
      <c r="E33" s="57" t="inlineStr">
        <is>
          <t>Group trying to come back at day 20.</t>
        </is>
      </c>
      <c r="F33" s="57" t="inlineStr">
        <is>
          <t>Employer Admin Guide FAQs</t>
        </is>
      </c>
      <c r="G33" s="56" t="inlineStr">
        <is>
          <t>VERIFIED</t>
        </is>
      </c>
    </row>
    <row r="34" ht="61.5" customHeight="1" s="48">
      <c r="A34" s="58" t="inlineStr">
        <is>
          <t>A-30</t>
        </is>
      </c>
      <c r="B34" s="58" t="inlineStr">
        <is>
          <t>Returned payments</t>
        </is>
      </c>
      <c r="C34" s="59" t="inlineStr">
        <is>
          <t>Returned checks must be replaced immediately with a cashier's check or money order — company checks are not accepted. A $25 fee applies. Three or more returned checks in 12 months requires certified funds for a year.</t>
        </is>
      </c>
      <c r="D34" s="59" t="inlineStr">
        <is>
          <t>A single-incident policy.</t>
        </is>
      </c>
      <c r="E34" s="59" t="inlineStr">
        <is>
          <t>Group on certified funds and unaware why.</t>
        </is>
      </c>
      <c r="F34" s="59" t="inlineStr">
        <is>
          <t>Employer Admin Guide</t>
        </is>
      </c>
      <c r="G34" s="58" t="inlineStr">
        <is>
          <t>VERIFIED</t>
        </is>
      </c>
    </row>
    <row r="35" ht="61.5" customHeight="1" s="48">
      <c r="A35" s="56" t="inlineStr">
        <is>
          <t>A-31</t>
        </is>
      </c>
      <c r="B35" s="56" t="inlineStr">
        <is>
          <t>Payment method</t>
        </is>
      </c>
      <c r="C35" s="57" t="inlineStr">
        <is>
          <t>Payment by check, money order or cashier's check only. Payments post within 24 hours of receipt. New groups: the second month's premium is due by the 1st of the coverage month.</t>
        </is>
      </c>
      <c r="D35" s="57" t="inlineStr">
        <is>
          <t>Card or ACH being available.</t>
        </is>
      </c>
      <c r="E35" s="57" t="inlineStr">
        <is>
          <t>Employer trying to pay by card.</t>
        </is>
      </c>
      <c r="F35" s="57" t="inlineStr">
        <is>
          <t>Employer Admin Guide</t>
        </is>
      </c>
      <c r="G35" s="56" t="inlineStr">
        <is>
          <t>VERIFIED</t>
        </is>
      </c>
    </row>
    <row r="36" ht="61.5" customHeight="1" s="48">
      <c r="A36" s="58" t="inlineStr">
        <is>
          <t>A-32</t>
        </is>
      </c>
      <c r="B36" s="58" t="inlineStr">
        <is>
          <t>Renewal timeline</t>
        </is>
      </c>
      <c r="C36" s="59" t="inlineStr">
        <is>
          <t>Renewal opens roughly 60 days before the anniversary with the renewal package; the renewal period runs the two months before the anniversary; all Enrollment and Change Request Forms must be received one month before; changes take effect on the anniversary date. Employees who previously waived may enrol at renewal.</t>
        </is>
      </c>
      <c r="D36" s="59" t="inlineStr">
        <is>
          <t>A rolling renewal window.</t>
        </is>
      </c>
      <c r="E36" s="59" t="inlineStr">
        <is>
          <t>Employer who missed the forms deadline.</t>
        </is>
      </c>
      <c r="F36" s="59" t="inlineStr">
        <is>
          <t>Employer Admin Guide, Annual Renewal Timeline</t>
        </is>
      </c>
      <c r="G36" s="58" t="inlineStr">
        <is>
          <t>VERIFIED</t>
        </is>
      </c>
    </row>
    <row r="37" ht="61.5" customHeight="1" s="48">
      <c r="A37" s="56" t="inlineStr">
        <is>
          <t>A-33</t>
        </is>
      </c>
      <c r="B37" s="56" t="inlineStr">
        <is>
          <t>COBRA — federal</t>
        </is>
      </c>
      <c r="C37" s="57" t="inlineStr">
        <is>
          <t>Applies where the group has 20+ employees on at least 50% of typical business days in the preceding calendar year. Full and part-time employees count; part-timers count as fractions. Self-employed, agents, independent contractors and directors are not counted. Controlled groups must be aggregated.</t>
        </is>
      </c>
      <c r="D37" s="57" t="inlineStr">
        <is>
          <t>Cal-COBRA, which applies to smaller groups and works differently.</t>
        </is>
      </c>
      <c r="E37" s="57" t="inlineStr">
        <is>
          <t>Employer at the 19/20 boundary; employer unsure which regime applies.</t>
        </is>
      </c>
      <c r="F37" s="57" t="inlineStr">
        <is>
          <t>Employer Admin Guide, About COBRA</t>
        </is>
      </c>
      <c r="G37" s="56" t="inlineStr">
        <is>
          <t>VERIFIED</t>
        </is>
      </c>
    </row>
    <row r="38" ht="61.5" customHeight="1" s="48">
      <c r="A38" s="58" t="inlineStr">
        <is>
          <t>A-34</t>
        </is>
      </c>
      <c r="B38" s="58" t="inlineStr">
        <is>
          <t>COBRA — federal</t>
        </is>
      </c>
      <c r="C38" s="59" t="inlineStr">
        <is>
          <t>Notification is SOLELY the employer's responsibility and is satisfied if the former member is notified within 14 days of the last day of coverage. ChoiceBuilder separately sends a letter telling the individual to contact the Group Plan Administrator.</t>
        </is>
      </c>
      <c r="D38" s="59" t="inlineStr">
        <is>
          <t>ChoiceBuilder handling federal COBRA notification.</t>
        </is>
      </c>
      <c r="E38" s="59" t="inlineStr">
        <is>
          <t>Employer assuming the letter they saw was the notice — it is not.</t>
        </is>
      </c>
      <c r="F38" s="59" t="inlineStr">
        <is>
          <t>Employer Admin Guide</t>
        </is>
      </c>
      <c r="G38" s="58" t="inlineStr">
        <is>
          <t>VERIFIED</t>
        </is>
      </c>
    </row>
    <row r="39" ht="61.5" customHeight="1" s="48">
      <c r="A39" s="56" t="inlineStr">
        <is>
          <t>A-35</t>
        </is>
      </c>
      <c r="B39" s="56" t="inlineStr">
        <is>
          <t>COBRA — federal</t>
        </is>
      </c>
      <c r="C39" s="57" t="inlineStr">
        <is>
          <t>COBRA enrollees may only continue their current coverage. Anyone moving to an area where their carrier is unavailable must contact ChoiceBuilder.</t>
        </is>
      </c>
      <c r="D39" s="57" t="inlineStr">
        <is>
          <t>COBRA enrollees choosing a new plan.</t>
        </is>
      </c>
      <c r="E39" s="57" t="inlineStr">
        <is>
          <t>Relocating COBRA enrollee.</t>
        </is>
      </c>
      <c r="F39" s="57" t="inlineStr">
        <is>
          <t>Employer Admin Guide</t>
        </is>
      </c>
      <c r="G39" s="56" t="inlineStr">
        <is>
          <t>VERIFIED</t>
        </is>
      </c>
    </row>
    <row r="40" ht="61.5" customHeight="1" s="48">
      <c r="A40" s="58" t="inlineStr">
        <is>
          <t>A-36</t>
        </is>
      </c>
      <c r="B40" s="58" t="inlineStr">
        <is>
          <t>COBRA — billing</t>
        </is>
      </c>
      <c r="C40" s="59" t="inlineStr">
        <is>
          <t>COBRA participants are billed on the group's invoice in a separate section after active employees, and the employer is responsible for paying all COBRA premium to ChoiceBuilder. Cancellation produces a retroactive credit on the next invoice if notified within the regulated timeframe.</t>
        </is>
      </c>
      <c r="D40" s="59" t="inlineStr">
        <is>
          <t>COBRA participants being billed directly.</t>
        </is>
      </c>
      <c r="E40" s="59" t="inlineStr">
        <is>
          <t>Employer unaware they are fronting COBRA premium.</t>
        </is>
      </c>
      <c r="F40" s="59" t="inlineStr">
        <is>
          <t>Employer Admin Guide</t>
        </is>
      </c>
      <c r="G40" s="58" t="inlineStr">
        <is>
          <t>VERIFIED</t>
        </is>
      </c>
    </row>
    <row r="41" ht="61.5" customHeight="1" s="48">
      <c r="A41" s="56" t="inlineStr">
        <is>
          <t>A-37</t>
        </is>
      </c>
      <c r="B41" s="56" t="inlineStr">
        <is>
          <t>Cal-COBRA</t>
        </is>
      </c>
      <c r="C41" s="57" t="inlineStr">
        <is>
          <t>Applies where the group has 2–19 eligible employees on at least 50% of typical business days in the preceding calendar year. Full-time, part-time, self-employed and leased employees all count.</t>
        </is>
      </c>
      <c r="D41" s="57" t="inlineStr">
        <is>
          <t>Federal COBRA thresholds.</t>
        </is>
      </c>
      <c r="E41" s="57" t="inlineStr">
        <is>
          <t>Small group unsure of its obligations.</t>
        </is>
      </c>
      <c r="F41" s="57" t="inlineStr">
        <is>
          <t>Employer Admin Guide, About Cal-COBRA</t>
        </is>
      </c>
      <c r="G41" s="56" t="inlineStr">
        <is>
          <t>VERIFIED</t>
        </is>
      </c>
    </row>
    <row r="42" ht="61.5" customHeight="1" s="48">
      <c r="A42" s="58" t="inlineStr">
        <is>
          <t>A-38</t>
        </is>
      </c>
      <c r="B42" s="58" t="inlineStr">
        <is>
          <t>Cal-COBRA</t>
        </is>
      </c>
      <c r="C42" s="59" t="inlineStr">
        <is>
          <t>Unlike federal COBRA, the notification duty sits with the HEALTH PLANS, who have contracted ChoiceBuilder to provide it. On notification of a qualifying event ChoiceBuilder automatically sends an election notice to the last known address by first class mail.</t>
        </is>
      </c>
      <c r="D42" s="59" t="inlineStr">
        <is>
          <t>The employer having to send it.</t>
        </is>
      </c>
      <c r="E42" s="59" t="inlineStr">
        <is>
          <t>Employer duplicating notices, or a member whose address was stale.</t>
        </is>
      </c>
      <c r="F42" s="59" t="inlineStr">
        <is>
          <t>Employer Admin Guide</t>
        </is>
      </c>
      <c r="G42" s="58" t="inlineStr">
        <is>
          <t>VERIFIED</t>
        </is>
      </c>
    </row>
    <row r="43" ht="61.5" customHeight="1" s="48">
      <c r="A43" s="56" t="inlineStr">
        <is>
          <t>A-39</t>
        </is>
      </c>
      <c r="B43" s="56" t="inlineStr">
        <is>
          <t>Cal-COBRA</t>
        </is>
      </c>
      <c r="C43" s="57" t="inlineStr">
        <is>
          <t>The employer must notify ChoiceBuilder of employee address changes within 30 days, and of terminations, deaths and reductions in hours causing loss of coverage within 30 days.</t>
        </is>
      </c>
      <c r="D43" s="57" t="inlineStr">
        <is>
          <t>An annual reconciliation being sufficient.</t>
        </is>
      </c>
      <c r="E43" s="57" t="inlineStr">
        <is>
          <t>Notice sent to a stale address — ChoiceBuilder is expressly not responsible for misdirected notices.</t>
        </is>
      </c>
      <c r="F43" s="57" t="inlineStr">
        <is>
          <t>Employer Admin Guide</t>
        </is>
      </c>
      <c r="G43" s="56" t="inlineStr">
        <is>
          <t>VERIFIED</t>
        </is>
      </c>
    </row>
    <row r="44" ht="61.5" customHeight="1" s="48">
      <c r="A44" s="58" t="inlineStr">
        <is>
          <t>A-40</t>
        </is>
      </c>
      <c r="B44" s="58" t="inlineStr">
        <is>
          <t>Continuation length</t>
        </is>
      </c>
      <c r="C44" s="59" t="inlineStr">
        <is>
          <t>Qualifying events from 1 January 2003 onward give up to 36 months of Cal-COBRA continuation.</t>
        </is>
      </c>
      <c r="D44" s="59" t="inlineStr">
        <is>
          <t>18 months.</t>
        </is>
      </c>
      <c r="E44" s="59" t="inlineStr">
        <is>
          <t>Member told the wrong duration.</t>
        </is>
      </c>
      <c r="F44" s="59" t="inlineStr">
        <is>
          <t>Employer Admin Guide, Related Laws</t>
        </is>
      </c>
      <c r="G44" s="58" t="inlineStr">
        <is>
          <t>VERIFIED</t>
        </is>
      </c>
    </row>
    <row r="45" ht="61.5" customHeight="1" s="48">
      <c r="A45" s="56" t="inlineStr">
        <is>
          <t>A-41</t>
        </is>
      </c>
      <c r="B45" s="56" t="inlineStr">
        <is>
          <t>Continuation</t>
        </is>
      </c>
      <c r="C45" s="57" t="inlineStr">
        <is>
          <t>If the group's ChoiceBuilder coverage terminates, ALL members including COBRA and Cal-COBRA continuees are terminated.</t>
        </is>
      </c>
      <c r="D45" s="57" t="inlineStr">
        <is>
          <t>Continuees being insulated from the group's termination.</t>
        </is>
      </c>
      <c r="E45" s="57" t="inlineStr">
        <is>
          <t>Group terminating for non-payment and taking its continuees with it.</t>
        </is>
      </c>
      <c r="F45" s="57" t="inlineStr">
        <is>
          <t>Employer Admin Guide</t>
        </is>
      </c>
      <c r="G45" s="56" t="inlineStr">
        <is>
          <t>VERIFIED</t>
        </is>
      </c>
    </row>
    <row r="46" ht="61.5" customHeight="1" s="48">
      <c r="A46" s="58" t="inlineStr">
        <is>
          <t>A-42</t>
        </is>
      </c>
      <c r="B46" s="58" t="inlineStr">
        <is>
          <t>Domestic partners</t>
        </is>
      </c>
      <c r="C46" s="59" t="inlineStr">
        <is>
          <t>Domestic partners are NOT qualified beneficiaries under federal COBRA and have no separate election right — they may only continue if the employee does. Under Cal-COBRA, following the Insurance Equality Act of 2005, a registered domestic partner has the same election rights as a spouse.</t>
        </is>
      </c>
      <c r="D46" s="59" t="inlineStr">
        <is>
          <t>One rule across both regimes.</t>
        </is>
      </c>
      <c r="E46" s="59" t="inlineStr">
        <is>
          <t>Partner denied continuation; partner wrongly denied under Cal-COBRA.</t>
        </is>
      </c>
      <c r="F46" s="59" t="inlineStr">
        <is>
          <t>Employer Admin Guide</t>
        </is>
      </c>
      <c r="G46" s="58" t="inlineStr">
        <is>
          <t>VERIFIED</t>
        </is>
      </c>
    </row>
    <row r="47" ht="61.5" customHeight="1" s="48">
      <c r="A47" s="56" t="inlineStr">
        <is>
          <t>A-43</t>
        </is>
      </c>
      <c r="B47" s="56" t="inlineStr">
        <is>
          <t>HIPAA</t>
        </is>
      </c>
      <c r="C47" s="57" t="inlineStr">
        <is>
          <t>A Certificate of Coverage is sent automatically on termination, with further copies on request.</t>
        </is>
      </c>
      <c r="D47" s="57" t="inlineStr">
        <is>
          <t>The employer having to request it.</t>
        </is>
      </c>
      <c r="E47" s="57" t="inlineStr">
        <is>
          <t>Member needing proof of prior coverage for a takeover credit.</t>
        </is>
      </c>
      <c r="F47" s="57" t="inlineStr">
        <is>
          <t>Employer Admin Guide, Related Laws</t>
        </is>
      </c>
      <c r="G47" s="56" t="inlineStr">
        <is>
          <t>VERIFIED</t>
        </is>
      </c>
    </row>
    <row r="48" ht="61.5" customHeight="1" s="48">
      <c r="A48" s="58" t="inlineStr">
        <is>
          <t>A-44</t>
        </is>
      </c>
      <c r="B48" s="58" t="inlineStr">
        <is>
          <t>Life continuation</t>
        </is>
      </c>
      <c r="C48" s="59" t="inlineStr">
        <is>
          <t>Life coverage may allow disability extensions and policy conversion under the master policy. The EMPLOYER is responsible for the initial notification of these rights.</t>
        </is>
      </c>
      <c r="D48" s="59" t="inlineStr">
        <is>
          <t>ChoiceBuilder or the carrier notifying.</t>
        </is>
      </c>
      <c r="E48" s="59" t="inlineStr">
        <is>
          <t>Bereaved family or disabled employee who was never told — high-consequence, low-volume.</t>
        </is>
      </c>
      <c r="F48" s="59" t="inlineStr">
        <is>
          <t>Employer Admin Guide, Related Laws</t>
        </is>
      </c>
      <c r="G48" s="58" t="inlineStr">
        <is>
          <t>VERIFIED</t>
        </is>
      </c>
    </row>
    <row r="49" ht="61.5" customHeight="1" s="48">
      <c r="A49" s="56" t="inlineStr">
        <is>
          <t>A-45</t>
        </is>
      </c>
      <c r="B49" s="56" t="inlineStr">
        <is>
          <t>Statement codes</t>
        </is>
      </c>
      <c r="C49" s="57" t="inlineStr">
        <is>
          <t>Invoice change codes: AC add COBRA, AD add dependent, AE add employee, CA change age, CE change enroll date, CI change information, CP change plan, CO correction, NP non-payment, RD/RE/RG reinstate dependent/employee/group, VC life volume change, XC/XD/XE/XG cancel COBRA/dependent/employee/group.</t>
        </is>
      </c>
      <c r="D49" s="57" t="inlineStr">
        <is>
          <t>Codes being internal only — they are on the employer's statement.</t>
        </is>
      </c>
      <c r="E49" s="57" t="inlineStr">
        <is>
          <t>Employer querying a code they do not recognise.</t>
        </is>
      </c>
      <c r="F49" s="57" t="inlineStr">
        <is>
          <t>Employer Admin Guide, Premium Statement</t>
        </is>
      </c>
      <c r="G49" s="56" t="inlineStr">
        <is>
          <t>VERIFIED</t>
        </is>
      </c>
    </row>
    <row r="50" ht="61.5" customHeight="1" s="48">
      <c r="A50" s="63" t="inlineStr">
        <is>
          <t>A-46</t>
        </is>
      </c>
      <c r="B50" s="63" t="inlineStr">
        <is>
          <t>Full-roster billing</t>
        </is>
      </c>
      <c r="C50" s="64" t="inlineStr">
        <is>
          <t>Monthly full-roster reconciliation as an alternative to transactional submission.</t>
        </is>
      </c>
      <c r="D50" s="64" t="inlineStr">
        <is>
          <t>—</t>
        </is>
      </c>
      <c r="E50" s="64" t="inlineStr">
        <is>
          <t>Two transcripts offer this as a remedy.</t>
        </is>
      </c>
      <c r="F50" s="64" t="inlineStr">
        <is>
          <t>No published citation found. The Admin Guide describes only per-employee forms — this may not exist.</t>
        </is>
      </c>
      <c r="G50" s="63" t="inlineStr">
        <is>
          <t>UNVERIFIED</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F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47" min="1" max="1"/>
    <col width="22" customWidth="1" style="47" min="2" max="2"/>
    <col width="60" customWidth="1" style="47" min="3" max="3"/>
    <col width="38" customWidth="1" style="47" min="4" max="4"/>
    <col width="28" customWidth="1" style="47" min="5" max="5"/>
    <col width="18" customWidth="1" style="47" min="6" max="6"/>
  </cols>
  <sheetData>
    <row r="1" ht="21.75" customHeight="1" s="48">
      <c r="A1" s="53" t="inlineStr">
        <is>
          <t>Carrier layer — what a member actually receives</t>
        </is>
      </c>
    </row>
    <row r="2" ht="86.25" customHeight="1" s="48">
      <c r="A2" s="54" t="inlineStr">
        <is>
          <t>Set by the carriers rather than by ChoiceBuilder, and sourced from evidence-of-coverage documents, plan summaries and carrier member material. Waiting periods, annual maximums, frequency limits, network rules, referral requirements and conversion rights all live here, and so does most member confusion. Earlier versions of this workbook had almost none of this layer, which is precisely why member call reasons read thin and generic. One caution on numbers: a rule marked VERIFIED is verified as a rule of that carrier's plan family, but the specific figures — copays, allowances, maximums, visit limits — vary by the design a group selected and live on that group's own benefit summary. A transcript must never quote a figure as fact unless it comes from that group's design.</t>
        </is>
      </c>
    </row>
    <row r="3" ht="6" customHeight="1" s="48"/>
    <row r="4" ht="31.5" customHeight="1" s="48">
      <c r="A4" s="55" t="inlineStr">
        <is>
          <t>Rule ID</t>
        </is>
      </c>
      <c r="B4" s="55" t="inlineStr">
        <is>
          <t>Carrier / line</t>
        </is>
      </c>
      <c r="C4" s="55" t="inlineStr">
        <is>
          <t>Rule</t>
        </is>
      </c>
      <c r="D4" s="55" t="inlineStr">
        <is>
          <t>Commonly confused with</t>
        </is>
      </c>
      <c r="E4" s="55" t="inlineStr">
        <is>
          <t>Source</t>
        </is>
      </c>
      <c r="F4" s="55" t="inlineStr">
        <is>
          <t>Confidence</t>
        </is>
      </c>
    </row>
    <row r="5" ht="54" customHeight="1" s="48">
      <c r="A5" s="56" t="inlineStr">
        <is>
          <t>C-01</t>
        </is>
      </c>
      <c r="B5" s="56" t="inlineStr">
        <is>
          <t>DeltaCare USA — DHMO</t>
        </is>
      </c>
      <c r="C5" s="57" t="inlineStr">
        <is>
          <t>Benefits are payable only through the assigned contract dentist. Out-of-network is not covered except emergencies.</t>
        </is>
      </c>
      <c r="D5" s="57" t="inlineStr">
        <is>
          <t>A PPO, where any dentist can be used at a lower level.</t>
        </is>
      </c>
      <c r="E5" s="57" t="inlineStr">
        <is>
          <t>DeltaCare USA EOC</t>
        </is>
      </c>
      <c r="F5" s="56" t="inlineStr">
        <is>
          <t>VERIFIED</t>
        </is>
      </c>
    </row>
    <row r="6" ht="54" customHeight="1" s="48">
      <c r="A6" s="58" t="inlineStr">
        <is>
          <t>C-02</t>
        </is>
      </c>
      <c r="B6" s="58" t="inlineStr">
        <is>
          <t>DeltaCare USA — DHMO</t>
        </is>
      </c>
      <c r="C6" s="59" t="inlineStr">
        <is>
          <t>Specialist care requires a referral from the assigned general dentist AND preauthorization by Delta Dental.</t>
        </is>
      </c>
      <c r="D6" s="59" t="inlineStr">
        <is>
          <t>Self-referral to an in-network specialist.</t>
        </is>
      </c>
      <c r="E6" s="59" t="inlineStr">
        <is>
          <t>DeltaCare USA EOC</t>
        </is>
      </c>
      <c r="F6" s="58" t="inlineStr">
        <is>
          <t>VERIFIED</t>
        </is>
      </c>
    </row>
    <row r="7" ht="54" customHeight="1" s="48">
      <c r="A7" s="56" t="inlineStr">
        <is>
          <t>C-03</t>
        </is>
      </c>
      <c r="B7" s="56" t="inlineStr">
        <is>
          <t>DeltaCare USA — DHMO</t>
        </is>
      </c>
      <c r="C7" s="57" t="inlineStr">
        <is>
          <t>Dependent children may see a pediatric dentist through age 13 without a referral.</t>
        </is>
      </c>
      <c r="D7" s="57" t="inlineStr">
        <is>
          <t>The adult referral rule applying to children.</t>
        </is>
      </c>
      <c r="E7" s="57" t="inlineStr">
        <is>
          <t>Delta Dental member site</t>
        </is>
      </c>
      <c r="F7" s="56" t="inlineStr">
        <is>
          <t>VERIFIED</t>
        </is>
      </c>
    </row>
    <row r="8" ht="54" customHeight="1" s="48">
      <c r="A8" s="58" t="inlineStr">
        <is>
          <t>C-04</t>
        </is>
      </c>
      <c r="B8" s="58" t="inlineStr">
        <is>
          <t>DeltaCare USA — DHMO</t>
        </is>
      </c>
      <c r="C8" s="59" t="inlineStr">
        <is>
          <t>Out-of-area emergency care is covered subject to the plan limit; out-of-area generally means 35+ miles from the assigned dentist.</t>
        </is>
      </c>
      <c r="D8" s="59" t="inlineStr">
        <is>
          <t>Routine care while travelling.</t>
        </is>
      </c>
      <c r="E8" s="59" t="inlineStr">
        <is>
          <t>DeltaCare USA EOC</t>
        </is>
      </c>
      <c r="F8" s="58" t="inlineStr">
        <is>
          <t>VERIFIED</t>
        </is>
      </c>
    </row>
    <row r="9" ht="54" customHeight="1" s="48">
      <c r="A9" s="56" t="inlineStr">
        <is>
          <t>C-05</t>
        </is>
      </c>
      <c r="B9" s="56" t="inlineStr">
        <is>
          <t>DeltaCare USA — DHMO</t>
        </is>
      </c>
      <c r="C9" s="57" t="inlineStr">
        <is>
          <t>Where no DeltaCare specialist is within the lesser of 35 miles or one hour's commute, the member is authorized to use a PPO, Premier or non-network specialist.</t>
        </is>
      </c>
      <c r="D9" s="57" t="inlineStr">
        <is>
          <t>Out-of-network never being available.</t>
        </is>
      </c>
      <c r="E9" s="57" t="inlineStr">
        <is>
          <t>Delta Dental plan comparison</t>
        </is>
      </c>
      <c r="F9" s="56" t="inlineStr">
        <is>
          <t>VERIFIED</t>
        </is>
      </c>
    </row>
    <row r="10" ht="54" customHeight="1" s="48">
      <c r="A10" s="58" t="inlineStr">
        <is>
          <t>C-06</t>
        </is>
      </c>
      <c r="B10" s="58" t="inlineStr">
        <is>
          <t>DeltaCare USA — DHMO</t>
        </is>
      </c>
      <c r="C10" s="59" t="inlineStr">
        <is>
          <t>Each family member MAY choose a different Primary Care Dentist, and may change it by contacting Delta Dental — some restrictions apply.</t>
        </is>
      </c>
      <c r="D10" s="59" t="inlineStr">
        <is>
          <t>All family members sharing one dentist.</t>
        </is>
      </c>
      <c r="E10" s="59" t="inlineStr">
        <is>
          <t>Employer Admin Guide FAQs</t>
        </is>
      </c>
      <c r="F10" s="58" t="inlineStr">
        <is>
          <t>VERIFIED</t>
        </is>
      </c>
    </row>
    <row r="11" ht="54" customHeight="1" s="48">
      <c r="A11" s="56" t="inlineStr">
        <is>
          <t>C-07</t>
        </is>
      </c>
      <c r="B11" s="56" t="inlineStr">
        <is>
          <t>DeltaCare USA — DHMO</t>
        </is>
      </c>
      <c r="C11" s="57" t="inlineStr">
        <is>
          <t>Members should not receive bills for care provided or approved by their dental office; if they do, Delta Dental customer service handles it.</t>
        </is>
      </c>
      <c r="D11" s="57" t="inlineStr">
        <is>
          <t>The member owing the balance.</t>
        </is>
      </c>
      <c r="E11" s="57" t="inlineStr">
        <is>
          <t>Employer Admin Guide FAQs</t>
        </is>
      </c>
      <c r="F11" s="56" t="inlineStr">
        <is>
          <t>VERIFIED</t>
        </is>
      </c>
    </row>
    <row r="12" ht="54" customHeight="1" s="48">
      <c r="A12" s="58" t="inlineStr">
        <is>
          <t>C-08</t>
        </is>
      </c>
      <c r="B12" s="58" t="inlineStr">
        <is>
          <t>DeltaCare USA — DHMO</t>
        </is>
      </c>
      <c r="C12" s="59" t="inlineStr">
        <is>
          <t>No annual deductible; fixed copayments per procedure. Coordination of benefits does not apply.</t>
        </is>
      </c>
      <c r="D12" s="59" t="inlineStr">
        <is>
          <t>Coinsurance; dual coverage reducing cost.</t>
        </is>
      </c>
      <c r="E12" s="59" t="inlineStr">
        <is>
          <t>DeltaCare USA EOC; Delta plan comparison</t>
        </is>
      </c>
      <c r="F12" s="58" t="inlineStr">
        <is>
          <t>VERIFIED</t>
        </is>
      </c>
    </row>
    <row r="13" ht="54" customHeight="1" s="48">
      <c r="A13" s="56" t="inlineStr">
        <is>
          <t>C-09</t>
        </is>
      </c>
      <c r="B13" s="56" t="inlineStr">
        <is>
          <t>DeltaCare USA — DHMO</t>
        </is>
      </c>
      <c r="C13" s="57" t="inlineStr">
        <is>
          <t>California only; the member must live in a served zip code service area.</t>
        </is>
      </c>
      <c r="D13" s="57" t="inlineStr">
        <is>
          <t>National availability.</t>
        </is>
      </c>
      <c r="E13" s="57" t="inlineStr">
        <is>
          <t>Delta Dental plan pages</t>
        </is>
      </c>
      <c r="F13" s="56" t="inlineStr">
        <is>
          <t>VERIFIED</t>
        </is>
      </c>
    </row>
    <row r="14" ht="54" customHeight="1" s="48">
      <c r="A14" s="58" t="inlineStr">
        <is>
          <t>C-10</t>
        </is>
      </c>
      <c r="B14" s="58" t="inlineStr">
        <is>
          <t>DeltaCare USA — DHMO</t>
        </is>
      </c>
      <c r="C14" s="59" t="inlineStr">
        <is>
          <t>Frequency limits apply — e.g. bitewing x-rays limited to one series of four films per six months.</t>
        </is>
      </c>
      <c r="D14" s="59" t="inlineStr">
        <is>
          <t>Unlimited preventive care.</t>
        </is>
      </c>
      <c r="E14" s="59" t="inlineStr">
        <is>
          <t>DeltaCare USA EOC</t>
        </is>
      </c>
      <c r="F14" s="58" t="inlineStr">
        <is>
          <t>VERIFIED</t>
        </is>
      </c>
    </row>
    <row r="15" ht="54" customHeight="1" s="48">
      <c r="A15" s="56" t="inlineStr">
        <is>
          <t>C-11</t>
        </is>
      </c>
      <c r="B15" s="56" t="inlineStr">
        <is>
          <t>DeltaCare USA — DHMO</t>
        </is>
      </c>
      <c r="C15" s="57" t="inlineStr">
        <is>
          <t>If the assigned dentist's contract ends, work already started is completed, and continuity of care may be available on specific request.</t>
        </is>
      </c>
      <c r="D15" s="57" t="inlineStr">
        <is>
          <t>Care ending immediately.</t>
        </is>
      </c>
      <c r="E15" s="57" t="inlineStr">
        <is>
          <t>DeltaCare USA EOC</t>
        </is>
      </c>
      <c r="F15" s="56" t="inlineStr">
        <is>
          <t>VERIFIED</t>
        </is>
      </c>
    </row>
    <row r="16" ht="54" customHeight="1" s="48">
      <c r="A16" s="58" t="inlineStr">
        <is>
          <t>C-12</t>
        </is>
      </c>
      <c r="B16" s="58" t="inlineStr">
        <is>
          <t>Ameritas — dental PPO</t>
        </is>
      </c>
      <c r="C16" s="59" t="inlineStr">
        <is>
          <t>Major services carry a 12-month waiting period; orthodontia carries a 12-month waiting period. Both apply only to groups without comparable prior coverage (see P-29).</t>
        </is>
      </c>
      <c r="D16" s="59" t="inlineStr">
        <is>
          <t>The employer-elected new-hire waiting period (P-14).</t>
        </is>
      </c>
      <c r="E16" s="59" t="inlineStr">
        <is>
          <t>Ameritas plan summary via CaliforniaChoice</t>
        </is>
      </c>
      <c r="F16" s="58" t="inlineStr">
        <is>
          <t>VERIFIED</t>
        </is>
      </c>
    </row>
    <row r="17" ht="54" customHeight="1" s="48">
      <c r="A17" s="56" t="inlineStr">
        <is>
          <t>C-13</t>
        </is>
      </c>
      <c r="B17" s="56" t="inlineStr">
        <is>
          <t>Ameritas — dental PPO</t>
        </is>
      </c>
      <c r="C17" s="57" t="inlineStr">
        <is>
          <t>On some designs Type 1 preventive is not deducted from the annual maximum, preserving it for basic and major work.</t>
        </is>
      </c>
      <c r="D17" s="57" t="inlineStr">
        <is>
          <t>Preventive consuming the maximum.</t>
        </is>
      </c>
      <c r="E17" s="57" t="inlineStr">
        <is>
          <t>Ameritas plan summaries</t>
        </is>
      </c>
      <c r="F17" s="56" t="inlineStr">
        <is>
          <t>VERIFIED</t>
        </is>
      </c>
    </row>
    <row r="18" ht="54" customHeight="1" s="48">
      <c r="A18" s="58" t="inlineStr">
        <is>
          <t>C-14</t>
        </is>
      </c>
      <c r="B18" s="58" t="inlineStr">
        <is>
          <t>Ameritas — dental PPO</t>
        </is>
      </c>
      <c r="C18" s="59" t="inlineStr">
        <is>
          <t>Dental Rewards: using less than a benefit threshold carries additional benefit forward — typically $250, plus $100–150 more for using a network provider.</t>
        </is>
      </c>
      <c r="D18" s="59" t="inlineStr">
        <is>
          <t>A full rollover of unused maximum.</t>
        </is>
      </c>
      <c r="E18" s="59" t="inlineStr">
        <is>
          <t>Ameritas plan summary via CaliforniaChoice</t>
        </is>
      </c>
      <c r="F18" s="58" t="inlineStr">
        <is>
          <t>VERIFIED</t>
        </is>
      </c>
    </row>
    <row r="19" ht="54" customHeight="1" s="48">
      <c r="A19" s="56" t="inlineStr">
        <is>
          <t>C-15</t>
        </is>
      </c>
      <c r="B19" s="56" t="inlineStr">
        <is>
          <t>Ameritas — dental PPO</t>
        </is>
      </c>
      <c r="C19" s="57" t="inlineStr">
        <is>
          <t>Pretreatment estimates are recommended but not required.</t>
        </is>
      </c>
      <c r="D19" s="57" t="inlineStr">
        <is>
          <t>Preauthorization being mandatory.</t>
        </is>
      </c>
      <c r="E19" s="57" t="inlineStr">
        <is>
          <t>Ameritas plan summaries</t>
        </is>
      </c>
      <c r="F19" s="56" t="inlineStr">
        <is>
          <t>VERIFIED</t>
        </is>
      </c>
    </row>
    <row r="20" ht="54" customHeight="1" s="48">
      <c r="A20" s="58" t="inlineStr">
        <is>
          <t>C-16</t>
        </is>
      </c>
      <c r="B20" s="58" t="inlineStr">
        <is>
          <t>Ameritas — dental PPO</t>
        </is>
      </c>
      <c r="C20" s="59" t="inlineStr">
        <is>
          <t>Network providers charge 25–50% below regular rates, so network pricing continues to apply beyond the annual maximum.</t>
        </is>
      </c>
      <c r="D20" s="59" t="inlineStr">
        <is>
          <t>No benefit remaining once the maximum is exhausted — the most commonly missed benefit in dental.</t>
        </is>
      </c>
      <c r="E20" s="59" t="inlineStr">
        <is>
          <t>Ameritas / CaliforniaChoice carrier page</t>
        </is>
      </c>
      <c r="F20" s="58" t="inlineStr">
        <is>
          <t>VERIFIED</t>
        </is>
      </c>
    </row>
    <row r="21" ht="54" customHeight="1" s="48">
      <c r="A21" s="56" t="inlineStr">
        <is>
          <t>C-17</t>
        </is>
      </c>
      <c r="B21" s="56" t="inlineStr">
        <is>
          <t>MetLife — dental PPO</t>
        </is>
      </c>
      <c r="C21" s="57" t="inlineStr">
        <is>
          <t>In-network reimbursement is the negotiated fee. Out-of-network is the negotiated fee on the Silver plan, and the Usual &amp; Customary fee on Platinum and Platinum-Plus — U&amp;C being the lowest of the dentist's actual charge, their usual charge, or the prevailing charge in the area as determined by MetLife.</t>
        </is>
      </c>
      <c r="D21" s="57" t="inlineStr">
        <is>
          <t>One out-of-network basis across all designs.</t>
        </is>
      </c>
      <c r="E21" s="57" t="inlineStr">
        <is>
          <t>ChoiceBuilder Benefit Summary CB.5234</t>
        </is>
      </c>
      <c r="F21" s="56" t="inlineStr">
        <is>
          <t>VERIFIED</t>
        </is>
      </c>
    </row>
    <row r="22" ht="54" customHeight="1" s="48">
      <c r="A22" s="58" t="inlineStr">
        <is>
          <t>C-18</t>
        </is>
      </c>
      <c r="B22" s="58" t="inlineStr">
        <is>
          <t>MetLife — dental PPO</t>
        </is>
      </c>
      <c r="C22" s="59" t="inlineStr">
        <is>
          <t>Benefits paid for preventive services do not count toward the annual maximum; only basic and major do.</t>
        </is>
      </c>
      <c r="D22" s="59" t="inlineStr">
        <is>
          <t>Preventive consuming the maximum.</t>
        </is>
      </c>
      <c r="E22" s="59" t="inlineStr">
        <is>
          <t>ChoiceBuilder Benefit Summary CB.5234</t>
        </is>
      </c>
      <c r="F22" s="58" t="inlineStr">
        <is>
          <t>VERIFIED</t>
        </is>
      </c>
    </row>
    <row r="23" ht="54" customHeight="1" s="48">
      <c r="A23" s="56" t="inlineStr">
        <is>
          <t>C-19</t>
        </is>
      </c>
      <c r="B23" s="56" t="inlineStr">
        <is>
          <t>MetLife — dental PPO</t>
        </is>
      </c>
      <c r="C23" s="57" t="inlineStr">
        <is>
          <t>Orthodontic takeover credit is automatic for groups with prior coverage, and there are no ortho waiting periods for groups without prior coverage.</t>
        </is>
      </c>
      <c r="D23" s="57" t="inlineStr">
        <is>
          <t>The Ameritas 12-month rule applying to MetLife.</t>
        </is>
      </c>
      <c r="E23" s="57" t="inlineStr">
        <is>
          <t>Employer Application CB0210A</t>
        </is>
      </c>
      <c r="F23" s="56" t="inlineStr">
        <is>
          <t>VERIFIED</t>
        </is>
      </c>
    </row>
    <row r="24" ht="54" customHeight="1" s="48">
      <c r="A24" s="58" t="inlineStr">
        <is>
          <t>C-20</t>
        </is>
      </c>
      <c r="B24" s="58" t="inlineStr">
        <is>
          <t>Dental PPO (general)</t>
        </is>
      </c>
      <c r="C24" s="59" t="inlineStr">
        <is>
          <t>No primary care dentist required; any dentist may be used, with richer benefits in network. Each family member may use a different dentist, and a different one each visit. Away from home, benefits are covered at a lower out-of-network amount.</t>
        </is>
      </c>
      <c r="D24" s="59" t="inlineStr">
        <is>
          <t>DHMO restrictions.</t>
        </is>
      </c>
      <c r="E24" s="59" t="inlineStr">
        <is>
          <t>Employer Admin Guide FAQs</t>
        </is>
      </c>
      <c r="F24" s="58" t="inlineStr">
        <is>
          <t>VERIFIED</t>
        </is>
      </c>
    </row>
    <row r="25" ht="54" customHeight="1" s="48">
      <c r="A25" s="56" t="inlineStr">
        <is>
          <t>C-21</t>
        </is>
      </c>
      <c r="B25" s="56" t="inlineStr">
        <is>
          <t>Vision (general)</t>
        </is>
      </c>
      <c r="C25" s="57" t="inlineStr">
        <is>
          <t>The plan pays for an eye exam once every 12 months. Any vision provider may be used, with richer benefits and lower cost in network.</t>
        </is>
      </c>
      <c r="D25" s="57" t="inlineStr">
        <is>
          <t>Exams being available more often.</t>
        </is>
      </c>
      <c r="E25" s="57" t="inlineStr">
        <is>
          <t>Employer Admin Guide FAQs</t>
        </is>
      </c>
      <c r="F25" s="56" t="inlineStr">
        <is>
          <t>VERIFIED</t>
        </is>
      </c>
    </row>
    <row r="26" ht="54" customHeight="1" s="48">
      <c r="A26" s="58" t="inlineStr">
        <is>
          <t>C-22</t>
        </is>
      </c>
      <c r="B26" s="58" t="inlineStr">
        <is>
          <t>VSP — vision</t>
        </is>
      </c>
      <c r="C26" s="59" t="inlineStr">
        <is>
          <t>The frame allowance is a budget, not a copay — the member pays the balance above it, typically with 20% off the excess.</t>
        </is>
      </c>
      <c r="D26" s="59" t="inlineStr">
        <is>
          <t>A copay covering the whole frame.</t>
        </is>
      </c>
      <c r="E26" s="59" t="inlineStr">
        <is>
          <t>VSP member material</t>
        </is>
      </c>
      <c r="F26" s="58" t="inlineStr">
        <is>
          <t>VERIFIED (SECONDARY)</t>
        </is>
      </c>
    </row>
    <row r="27" ht="54" customHeight="1" s="48">
      <c r="A27" s="56" t="inlineStr">
        <is>
          <t>C-23</t>
        </is>
      </c>
      <c r="B27" s="56" t="inlineStr">
        <is>
          <t>VSP — vision</t>
        </is>
      </c>
      <c r="C27" s="57" t="inlineStr">
        <is>
          <t>Lens enhancements — progressive, anti-reflective, photochromic, high-index — carry their own copays or are uncovered, and are the most common source of unexpected cost.</t>
        </is>
      </c>
      <c r="D27" s="57" t="inlineStr">
        <is>
          <t>The lens copay covering all lens types.</t>
        </is>
      </c>
      <c r="E27" s="57" t="inlineStr">
        <is>
          <t>VSP plan materials</t>
        </is>
      </c>
      <c r="F27" s="56" t="inlineStr">
        <is>
          <t>VERIFIED (SECONDARY)</t>
        </is>
      </c>
    </row>
    <row r="28" ht="54" customHeight="1" s="48">
      <c r="A28" s="58" t="inlineStr">
        <is>
          <t>C-24</t>
        </is>
      </c>
      <c r="B28" s="58" t="inlineStr">
        <is>
          <t>VSP — vision</t>
        </is>
      </c>
      <c r="C28" s="59" t="inlineStr">
        <is>
          <t>Glasses OR contacts in a benefit period, not both. Taking contacts can defer the frame benefit. Unused allowance cannot be banked.</t>
        </is>
      </c>
      <c r="D28" s="59" t="inlineStr">
        <is>
          <t>Being able to use both, or carry a balance.</t>
        </is>
      </c>
      <c r="E28" s="59" t="inlineStr">
        <is>
          <t>VSP plan materials</t>
        </is>
      </c>
      <c r="F28" s="58" t="inlineStr">
        <is>
          <t>VERIFIED (SECONDARY)</t>
        </is>
      </c>
    </row>
    <row r="29" ht="54" customHeight="1" s="48">
      <c r="A29" s="56" t="inlineStr">
        <is>
          <t>C-25</t>
        </is>
      </c>
      <c r="B29" s="56" t="inlineStr">
        <is>
          <t>VSP — vision</t>
        </is>
      </c>
      <c r="C29" s="57" t="inlineStr">
        <is>
          <t>Out-of-network is reimbursed against a Schedule of Allowances and the member files the claim. Medical eye conditions are billed to the medical plan, not the vision plan.</t>
        </is>
      </c>
      <c r="D29" s="57" t="inlineStr">
        <is>
          <t>Out-of-network being uncovered, or vision covering all eye care.</t>
        </is>
      </c>
      <c r="E29" s="57" t="inlineStr">
        <is>
          <t>VSP member material</t>
        </is>
      </c>
      <c r="F29" s="56" t="inlineStr">
        <is>
          <t>VERIFIED (SECONDARY)</t>
        </is>
      </c>
    </row>
    <row r="30" ht="54" customHeight="1" s="48">
      <c r="A30" s="58" t="inlineStr">
        <is>
          <t>C-26</t>
        </is>
      </c>
      <c r="B30" s="58" t="inlineStr">
        <is>
          <t>VSP — vision</t>
        </is>
      </c>
      <c r="C30" s="59" t="inlineStr">
        <is>
          <t>20% off additional glasses and sunglasses from any VSP doctor within 12 months of the last WellVision Exam; laser surgery benefit included on some designs.</t>
        </is>
      </c>
      <c r="D30" s="59" t="inlineStr">
        <is>
          <t>A one-pair-only benefit.</t>
        </is>
      </c>
      <c r="E30" s="59" t="inlineStr">
        <is>
          <t>ChoiceBuilder Benefit Summary CB.5234</t>
        </is>
      </c>
      <c r="F30" s="58" t="inlineStr">
        <is>
          <t>VERIFIED</t>
        </is>
      </c>
    </row>
    <row r="31" ht="54" customHeight="1" s="48">
      <c r="A31" s="56" t="inlineStr">
        <is>
          <t>C-27</t>
        </is>
      </c>
      <c r="B31" s="56" t="inlineStr">
        <is>
          <t>EyeMed — vision</t>
        </is>
      </c>
      <c r="C31" s="57" t="inlineStr">
        <is>
          <t>EyeMed is provided through Ameritas and is available employer-sponsored and voluntary.</t>
        </is>
      </c>
      <c r="D31" s="57" t="inlineStr">
        <is>
          <t>EyeMed being a standalone carrier relationship.</t>
        </is>
      </c>
      <c r="E31" s="57" t="inlineStr">
        <is>
          <t>ChoiceBuilder Employee Enrollment Guide; Employer Admin Guide carrier list</t>
        </is>
      </c>
      <c r="F31" s="56" t="inlineStr">
        <is>
          <t>VERIFIED</t>
        </is>
      </c>
    </row>
    <row r="32" ht="54" customHeight="1" s="48">
      <c r="A32" s="58" t="inlineStr">
        <is>
          <t>C-28</t>
        </is>
      </c>
      <c r="B32" s="58" t="inlineStr">
        <is>
          <t>Landmark — chiro/acu</t>
        </is>
      </c>
      <c r="C32" s="59" t="inlineStr">
        <is>
          <t>Insured plans exist in California ONLY. Outside California cover exists only where the employer has bought a self-funded (ASO) plan.</t>
        </is>
      </c>
      <c r="D32" s="59" t="inlineStr">
        <is>
          <t>A national network that is merely thinner elsewhere.</t>
        </is>
      </c>
      <c r="E32" s="59" t="inlineStr">
        <is>
          <t>Landmark Healthplan</t>
        </is>
      </c>
      <c r="F32" s="58" t="inlineStr">
        <is>
          <t>VERIFIED</t>
        </is>
      </c>
    </row>
    <row r="33" ht="54" customHeight="1" s="48">
      <c r="A33" s="56" t="inlineStr">
        <is>
          <t>C-29</t>
        </is>
      </c>
      <c r="B33" s="56" t="inlineStr">
        <is>
          <t>Landmark — chiro/acu</t>
        </is>
      </c>
      <c r="C33" s="57" t="inlineStr">
        <is>
          <t>Landmark does NOT pay for out-of-network services. The member bears the full cost.</t>
        </is>
      </c>
      <c r="D33" s="57" t="inlineStr">
        <is>
          <t>An out-of-network reimbursement rate existing.</t>
        </is>
      </c>
      <c r="E33" s="57" t="inlineStr">
        <is>
          <t>Landmark member notice</t>
        </is>
      </c>
      <c r="F33" s="56" t="inlineStr">
        <is>
          <t>VERIFIED</t>
        </is>
      </c>
    </row>
    <row r="34" ht="54" customHeight="1" s="48">
      <c r="A34" s="58" t="inlineStr">
        <is>
          <t>C-30</t>
        </is>
      </c>
      <c r="B34" s="58" t="inlineStr">
        <is>
          <t>Landmark — chiro/acu</t>
        </is>
      </c>
      <c r="C34" s="59" t="inlineStr">
        <is>
          <t>Members self-refer to any in-network provider and may switch at any time. No preauthorization; treatment is not reviewed for medical necessity.</t>
        </is>
      </c>
      <c r="D34" s="59" t="inlineStr">
        <is>
          <t>A referral or authorization requirement.</t>
        </is>
      </c>
      <c r="E34" s="59" t="inlineStr">
        <is>
          <t>Landmark / CoPower Summary of Benefits</t>
        </is>
      </c>
      <c r="F34" s="58" t="inlineStr">
        <is>
          <t>VERIFIED</t>
        </is>
      </c>
    </row>
    <row r="35" ht="54" customHeight="1" s="48">
      <c r="A35" s="56" t="inlineStr">
        <is>
          <t>C-31</t>
        </is>
      </c>
      <c r="B35" s="56" t="inlineStr">
        <is>
          <t>Landmark — chiro/acu</t>
        </is>
      </c>
      <c r="C35" s="57" t="inlineStr">
        <is>
          <t>No deductible or coinsurance — a flat copay per visit, published from $5 and commonly $10–$20. An annual visit maximum applies, commonly 20 or 30, with a published range of 12–52.</t>
        </is>
      </c>
      <c r="D35" s="57" t="inlineStr">
        <is>
          <t>Percentage coinsurance; unlimited visits.</t>
        </is>
      </c>
      <c r="E35" s="57" t="inlineStr">
        <is>
          <t>Landmark / CoPower Summary of Benefits</t>
        </is>
      </c>
      <c r="F35" s="56" t="inlineStr">
        <is>
          <t>VERIFIED</t>
        </is>
      </c>
    </row>
    <row r="36" ht="54" customHeight="1" s="48">
      <c r="A36" s="58" t="inlineStr">
        <is>
          <t>C-32</t>
        </is>
      </c>
      <c r="B36" s="58" t="inlineStr">
        <is>
          <t>Landmark — chiro/acu</t>
        </is>
      </c>
      <c r="C36" s="59" t="inlineStr">
        <is>
          <t>Separate annual maximums for durable medical equipment and x-rays, commonly $50 and $75. Herbal therapies are not covered unless added as a rider.</t>
        </is>
      </c>
      <c r="D36" s="59" t="inlineStr">
        <is>
          <t>These sitting inside the visit benefit.</t>
        </is>
      </c>
      <c r="E36" s="59" t="inlineStr">
        <is>
          <t>CoPower Summary of Benefits; Claremont</t>
        </is>
      </c>
      <c r="F36" s="58" t="inlineStr">
        <is>
          <t>VERIFIED (SECONDARY)</t>
        </is>
      </c>
    </row>
    <row r="37" ht="54" customHeight="1" s="48">
      <c r="A37" s="56" t="inlineStr">
        <is>
          <t>C-33</t>
        </is>
      </c>
      <c r="B37" s="56" t="inlineStr">
        <is>
          <t>Landmark — chiro/acu</t>
        </is>
      </c>
      <c r="C37" s="57" t="inlineStr">
        <is>
          <t>Landmark Healthplan of California is a Knox-Keene licensed specialized health care service plan, regulated by DMHC — a different regulator from the insured lines.</t>
        </is>
      </c>
      <c r="D37" s="57" t="inlineStr">
        <is>
          <t>Being CDI-regulated like the rest of the program.</t>
        </is>
      </c>
      <c r="E37" s="57" t="inlineStr">
        <is>
          <t>Landmark Healthplan member page</t>
        </is>
      </c>
      <c r="F37" s="56" t="inlineStr">
        <is>
          <t>VERIFIED</t>
        </is>
      </c>
    </row>
    <row r="38" ht="54" customHeight="1" s="48">
      <c r="A38" s="58" t="inlineStr">
        <is>
          <t>C-34</t>
        </is>
      </c>
      <c r="B38" s="58" t="inlineStr">
        <is>
          <t>Assurity — life/AD&amp;D</t>
        </is>
      </c>
      <c r="C38" s="59" t="inlineStr">
        <is>
          <t>Conversion to an individual whole life policy, without evidence of insurability, on application and first premium within 31 days of group coverage ending.</t>
        </is>
      </c>
      <c r="D38" s="59" t="inlineStr">
        <is>
          <t>COBRA, which does not apply to life the same way.</t>
        </is>
      </c>
      <c r="E38" s="59" t="inlineStr">
        <is>
          <t>Assurity Agent Center</t>
        </is>
      </c>
      <c r="F38" s="58" t="inlineStr">
        <is>
          <t>VERIFIED (SECONDARY)</t>
        </is>
      </c>
    </row>
    <row r="39" ht="54" customHeight="1" s="48">
      <c r="A39" s="56" t="inlineStr">
        <is>
          <t>C-35</t>
        </is>
      </c>
      <c r="B39" s="56" t="inlineStr">
        <is>
          <t>Assurity — life/AD&amp;D</t>
        </is>
      </c>
      <c r="C39" s="57" t="inlineStr">
        <is>
          <t>Accelerated death benefit for terminal illness — up to $250,000 of eligible proceeds, leaving at least $10,000 face amount.</t>
        </is>
      </c>
      <c r="D39" s="57" t="inlineStr">
        <is>
          <t>The full benefit being payable early.</t>
        </is>
      </c>
      <c r="E39" s="57" t="inlineStr">
        <is>
          <t>Assurity Agent Center</t>
        </is>
      </c>
      <c r="F39" s="56" t="inlineStr">
        <is>
          <t>VERIFIED (SECONDARY)</t>
        </is>
      </c>
    </row>
    <row r="40" ht="54" customHeight="1" s="48">
      <c r="A40" s="58" t="inlineStr">
        <is>
          <t>C-36</t>
        </is>
      </c>
      <c r="B40" s="58" t="inlineStr">
        <is>
          <t>Assurity — life/AD&amp;D</t>
        </is>
      </c>
      <c r="C40" s="59" t="inlineStr">
        <is>
          <t>An age reduction schedule applies; misstatement of age adjusts premium or benefit retroactively; AD&amp;D is 24-hour coverage where included.</t>
        </is>
      </c>
      <c r="D40" s="59" t="inlineStr">
        <is>
          <t>The elected amount holding at any age; AD&amp;D applying only at work.</t>
        </is>
      </c>
      <c r="E40" s="59" t="inlineStr">
        <is>
          <t>Assurity / group life certificate provisions</t>
        </is>
      </c>
      <c r="F40" s="58" t="inlineStr">
        <is>
          <t>VERIFIED (SECONDARY)</t>
        </is>
      </c>
    </row>
    <row r="41" ht="54" customHeight="1" s="48">
      <c r="A41" s="56" t="inlineStr">
        <is>
          <t>C-37</t>
        </is>
      </c>
      <c r="B41" s="56" t="inlineStr">
        <is>
          <t>Assurity — life/AD&amp;D</t>
        </is>
      </c>
      <c r="C41" s="57" t="inlineStr">
        <is>
          <t>A beneficiary designation may be changed without the beneficiary's consent. Payment to a minor is restricted and may require a guardian.</t>
        </is>
      </c>
      <c r="D41" s="57" t="inlineStr">
        <is>
          <t>Needing the beneficiary's agreement.</t>
        </is>
      </c>
      <c r="E41" s="57" t="inlineStr">
        <is>
          <t>Group life certificate provisions</t>
        </is>
      </c>
      <c r="F41" s="56" t="inlineStr">
        <is>
          <t>VERIFIED (SECONDARY)</t>
        </is>
      </c>
    </row>
    <row r="42" ht="54" customHeight="1" s="48">
      <c r="A42" s="58" t="inlineStr">
        <is>
          <t>C-38</t>
        </is>
      </c>
      <c r="B42" s="58" t="inlineStr">
        <is>
          <t>Anthem Blue Cross — dental</t>
        </is>
      </c>
      <c r="C42" s="59" t="inlineStr">
        <is>
          <t>Takeover credit terms are set out in the plan-specific Evidence of Coverage rather than the program documents. Anthem mails ID cards direct to members.</t>
        </is>
      </c>
      <c r="D42" s="59" t="inlineStr">
        <is>
          <t>The uniform 12-month takeover rule.</t>
        </is>
      </c>
      <c r="E42" s="59" t="inlineStr">
        <is>
          <t>Employer Application CB0210A; ChoiceBuilder FAQs</t>
        </is>
      </c>
      <c r="F42" s="58" t="inlineStr">
        <is>
          <t>VERIFIED</t>
        </is>
      </c>
    </row>
    <row r="43" ht="54" customHeight="1" s="48">
      <c r="A43" s="63" t="inlineStr">
        <is>
          <t>C-39</t>
        </is>
      </c>
      <c r="B43" s="63" t="inlineStr">
        <is>
          <t>Anthem / Delta PPO / EyeMed</t>
        </is>
      </c>
      <c r="C43" s="64" t="inlineStr">
        <is>
          <t>Full plan design — waiting periods, maximums, frequencies, allowances — for these specific ChoiceBuilder designs.</t>
        </is>
      </c>
      <c r="D43" s="64" t="inlineStr">
        <is>
          <t>Ameritas or MetLife terms, which differ.</t>
        </is>
      </c>
      <c r="E43" s="64" t="inlineStr">
        <is>
          <t>Benefit Summary CB.5234 exists and is public; the per-design detail has not yet been extracted in full.</t>
        </is>
      </c>
      <c r="F43" s="63" t="inlineStr">
        <is>
          <t>UNVERIFIED</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3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47" min="1" max="1"/>
    <col width="38" customWidth="1" style="47" min="2" max="2"/>
    <col width="54" customWidth="1" style="47" min="3" max="3"/>
    <col width="24" customWidth="1" style="47" min="4" max="4"/>
    <col width="44" customWidth="1" style="47" min="5" max="5"/>
    <col width="11" customWidth="1" style="47" min="6" max="6"/>
  </cols>
  <sheetData>
    <row r="1" ht="21.75" customHeight="1" s="48">
      <c r="A1" s="53" t="inlineStr">
        <is>
          <t>Corrections, open items and source documents</t>
        </is>
      </c>
    </row>
    <row r="2" ht="61.5" customHeight="1" s="48">
      <c r="A2" s="54" t="inlineStr">
        <is>
          <t>The record of what earlier versions got wrong, what remains unanswered, and where every verified rule comes from. This sheet exists because the rules were originally built from a single member-facing FAQ page and labelled a source of truth, which produced eight factual errors, three of them serious enough to invalidate sample transcripts. It is kept visible rather than quietly fixed so that anyone relying on a rule can see how the rule set has moved, and so the same mistake is harder to repeat.</t>
        </is>
      </c>
    </row>
    <row r="3" ht="6" customHeight="1" s="48"/>
    <row r="4" ht="31.5" customHeight="1" s="48">
      <c r="A4" s="55" t="inlineStr">
        <is>
          <t>#</t>
        </is>
      </c>
      <c r="B4" s="55" t="inlineStr">
        <is>
          <t>What we said</t>
        </is>
      </c>
      <c r="C4" s="55" t="inlineStr">
        <is>
          <t>What the documents say</t>
        </is>
      </c>
      <c r="D4" s="55" t="inlineStr">
        <is>
          <t>Source</t>
        </is>
      </c>
      <c r="E4" s="55" t="inlineStr">
        <is>
          <t>Impact</t>
        </is>
      </c>
      <c r="F4" s="55" t="inlineStr">
        <is>
          <t>Severity</t>
        </is>
      </c>
    </row>
    <row r="5" ht="79.5" customHeight="1" s="48">
      <c r="A5" s="56" t="n">
        <v>1</v>
      </c>
      <c r="B5" s="57" t="inlineStr">
        <is>
          <t>Voluntary lines carry a 25% minimum participation requirement.</t>
        </is>
      </c>
      <c r="C5" s="57" t="inlineStr">
        <is>
          <t>No percentage minimum exists on voluntary lines. Voluntary vision and voluntary chiropractic have NO minimum at all. Voluntary dental works on headcount: Anthem 5 eligible / 2 enrolled; all other dental 10 eligible / 5 enrolled (2–9 groups: MetLife 2 / 2). The 70% requirement belongs to EMPLOYER-SPONSORED dental and vision.</t>
        </is>
      </c>
      <c r="D5" s="57" t="inlineStr">
        <is>
          <t>Program Guidelines, Steps 1–3</t>
        </is>
      </c>
      <c r="E5" s="57" t="inlineStr">
        <is>
          <t>v7 transcript C-0010 collapses entirely. v6 call #26R same error. Rule R-17.</t>
        </is>
      </c>
      <c r="F5" s="56" t="inlineStr">
        <is>
          <t>CRITICAL</t>
        </is>
      </c>
    </row>
    <row r="6" ht="79.5" customHeight="1" s="48">
      <c r="A6" s="58" t="n">
        <v>2</v>
      </c>
      <c r="B6" s="59" t="inlineStr">
        <is>
          <t>Members elect life cover and hit an individual guaranteed issue threshold.</t>
        </is>
      </c>
      <c r="C6" s="59" t="inlineStr">
        <is>
          <t>Life is employer-sponsored only, 100% participation, 100% employer-paid. There is no employee election. Guaranteed issue exists but at group level — a statement of health is required for all eligible employees only where the EMPLOYER requests an amount above guaranteed issue.</t>
        </is>
      </c>
      <c r="D6" s="59" t="inlineStr">
        <is>
          <t>Program Guidelines Step 4; Employer Admin Guide, Change in Group Policy</t>
        </is>
      </c>
      <c r="E6" s="59" t="inlineStr">
        <is>
          <t>v7 transcript C-0008 describes something that cannot happen. Rule R-14.</t>
        </is>
      </c>
      <c r="F6" s="58" t="inlineStr">
        <is>
          <t>CRITICAL</t>
        </is>
      </c>
    </row>
    <row r="7" ht="79.5" customHeight="1" s="48">
      <c r="A7" s="56" t="n">
        <v>3</v>
      </c>
      <c r="B7" s="57" t="inlineStr">
        <is>
          <t>Landmark out-of-network chiropractic is reimbursed at a lower rate.</t>
        </is>
      </c>
      <c r="C7" s="57" t="inlineStr">
        <is>
          <t>Landmark does not pay for out-of-network services at all; the member bears the full cost. Insured plans exist in California only.</t>
        </is>
      </c>
      <c r="D7" s="57" t="inlineStr">
        <is>
          <t>Landmark member notice; Landmark Healthplan</t>
        </is>
      </c>
      <c r="E7" s="57" t="inlineStr">
        <is>
          <t>v7 transcript C-0002 offers a remedy that does not exist. v6 call #70R same. Rule R-13.</t>
        </is>
      </c>
      <c r="F7" s="56" t="inlineStr">
        <is>
          <t>CRITICAL</t>
        </is>
      </c>
    </row>
    <row r="8" ht="79.5" customHeight="1" s="48">
      <c r="A8" s="58" t="n">
        <v>4</v>
      </c>
      <c r="B8" s="59" t="inlineStr">
        <is>
          <t>Ortho carries a waiting period, stated as a universal rule.</t>
        </is>
      </c>
      <c r="C8" s="59" t="inlineStr">
        <is>
          <t>Ortho AVAILABILITY is gated by carrier and group size before any waiting period. Takeover credit is available at initial enrolment only, and the 12-month wait is waived on proof of 12 consecutive months of prior coverage, with no partial credit. MetLife ortho takeover credit is automatic for groups with prior coverage. An ortho bill from the 12 months before the effective date, showing ortho coverage, is required.</t>
        </is>
      </c>
      <c r="D8" s="59" t="inlineStr">
        <is>
          <t>Program Guidelines; Underwriting Guidelines; Employer Application CB0210A</t>
        </is>
      </c>
      <c r="E8" s="59" t="inlineStr">
        <is>
          <t>Rule R-03. Any ortho scenario under 10 lives needs checking against carrier.</t>
        </is>
      </c>
      <c r="F8" s="58" t="inlineStr">
        <is>
          <t>HIGH</t>
        </is>
      </c>
    </row>
    <row r="9" ht="79.5" customHeight="1" s="48">
      <c r="A9" s="56" t="n">
        <v>5</v>
      </c>
      <c r="B9" s="57" t="inlineStr">
        <is>
          <t>The administration fee is flat per group.</t>
        </is>
      </c>
      <c r="C9" s="57" t="inlineStr">
        <is>
          <t>Banded by headcount — $25 (2–8), $30 (9–20), $35 (21–199), $50 (200+) — and recalculated monthly on the number of employees enrolled in any coverage at the time of invoicing, so it can change month to month.</t>
        </is>
      </c>
      <c r="D9" s="57" t="inlineStr">
        <is>
          <t>Program Guidelines; Employer Admin Guide, Billing</t>
        </is>
      </c>
      <c r="E9" s="57" t="inlineStr">
        <is>
          <t>Metrics sheet metric 9; Claims Register claim 8. Claim survives and sharpens.</t>
        </is>
      </c>
      <c r="F9" s="56" t="inlineStr">
        <is>
          <t>MEDIUM</t>
        </is>
      </c>
    </row>
    <row r="10" ht="79.5" customHeight="1" s="48">
      <c r="A10" s="58" t="n">
        <v>6</v>
      </c>
      <c r="B10" s="59" t="inlineStr">
        <is>
          <t>Waiting period options are 30/60/90/180/365 days.</t>
        </is>
      </c>
      <c r="C10" s="59" t="inlineStr">
        <is>
          <t>Date of hire is also an option; the period runs to the first day of the month FOLLOWING; it may be waived at initial group enrolment; and it can only be changed at renewal, within 30 days of the anniversary.</t>
        </is>
      </c>
      <c r="D10" s="59" t="inlineStr">
        <is>
          <t>Program Guidelines; Employer Admin Guide, Change in Group Policy</t>
        </is>
      </c>
      <c r="E10" s="59" t="inlineStr">
        <is>
          <t>Rule R-01. v7 transcript C-0001 states the mechanic imprecisely.</t>
        </is>
      </c>
      <c r="F10" s="58" t="inlineStr">
        <is>
          <t>MEDIUM</t>
        </is>
      </c>
    </row>
    <row r="11" ht="79.5" customHeight="1" s="48">
      <c r="A11" s="56" t="n">
        <v>7</v>
      </c>
      <c r="B11" s="57" t="inlineStr">
        <is>
          <t>Vision and chiropractic can be enrolled without dental. (Flagged as a conflict in v2.)</t>
        </is>
      </c>
      <c r="C11" s="57" t="inlineStr">
        <is>
          <t>Resolved against us. Employers are required to offer dental to enrol with ChoiceBuilder, and must offer one PPO carrier alongside the DeltaCare DHMO. Dental is the mandatory anchor line.</t>
        </is>
      </c>
      <c r="D11" s="57" t="inlineStr">
        <is>
          <t>Underwriting Guidelines (groups beginning 1/1/2024)</t>
        </is>
      </c>
      <c r="E11" s="57" t="inlineStr">
        <is>
          <t>Rule P-32 changes from CONFLICT to a VERIFIED rule with the opposite meaning. Any vision-only group scenario is invalid.</t>
        </is>
      </c>
      <c r="F11" s="56" t="inlineStr">
        <is>
          <t>HIGH</t>
        </is>
      </c>
    </row>
    <row r="12" ht="79.5" customHeight="1" s="48">
      <c r="A12" s="58" t="n">
        <v>8</v>
      </c>
      <c r="B12" s="59" t="inlineStr">
        <is>
          <t>We assumed employer-side COBRA handling was unknown and needed asking.</t>
        </is>
      </c>
      <c r="C12" s="59" t="inlineStr">
        <is>
          <t>Fully published. Federal COBRA applies at 20+ employees and notification is solely the employer's responsibility, satisfied if the former member is notified within 14 days of the last day of coverage. Cal-COBRA applies at 2–19 employees and the notification duty sits with the health plans, who have contracted ChoiceBuilder to do it. Cal-COBRA runs to 36 months. Domestic partners are not qualified beneficiaries under federal COBRA but have full election rights under Cal-COBRA.</t>
        </is>
      </c>
      <c r="D12" s="59" t="inlineStr">
        <is>
          <t>Employer Admin Guide, About COBRA / About Cal-COBRA</t>
        </is>
      </c>
      <c r="E12" s="59" t="inlineStr">
        <is>
          <t>Open question 3 closed. Enables a whole family of compliance-relevant scenarios that were previously off limits.</t>
        </is>
      </c>
      <c r="F12" s="58" t="inlineStr">
        <is>
          <t>HIGH</t>
        </is>
      </c>
    </row>
    <row r="15" ht="15" customHeight="1" s="48">
      <c r="A15" s="62" t="inlineStr">
        <is>
          <t>STILL OPEN — needs CHOICE</t>
        </is>
      </c>
    </row>
    <row r="16" ht="15" customHeight="1" s="48">
      <c r="A16" s="55" t="inlineStr">
        <is>
          <t>#</t>
        </is>
      </c>
      <c r="B16" s="55" t="inlineStr">
        <is>
          <t>Question</t>
        </is>
      </c>
      <c r="C16" s="55" t="inlineStr">
        <is>
          <t>Why it matters</t>
        </is>
      </c>
      <c r="D16" s="55" t="inlineStr">
        <is>
          <t>Ask</t>
        </is>
      </c>
    </row>
    <row r="17" ht="51.75" customHeight="1" s="48">
      <c r="A17" s="57" t="n">
        <v>1</v>
      </c>
      <c r="B17" s="57" t="inlineStr">
        <is>
          <t>What is the guaranteed issue amount on the ChoiceBuilder life plans?</t>
        </is>
      </c>
      <c r="C17" s="57" t="inlineStr">
        <is>
          <t>The rule is established — underwriting arises only where the employer requests above guaranteed issue. Only the number is missing, and it decides whether an employer scenario is realistic.</t>
        </is>
      </c>
      <c r="D17" s="57" t="inlineStr">
        <is>
          <t>Rebekah</t>
        </is>
      </c>
    </row>
    <row r="18" ht="51.75" customHeight="1" s="48">
      <c r="A18" s="57" t="n">
        <v>2</v>
      </c>
      <c r="B18" s="57" t="inlineStr">
        <is>
          <t>What proportion of members sit on each dental and vision carrier?</t>
        </is>
      </c>
      <c r="C18" s="57" t="inlineStr">
        <is>
          <t>The corpus currently splits carriers by guess. Getting this wrong skews every product-line insight, and it is the one number that cannot be derived from anything public.</t>
        </is>
      </c>
      <c r="D18" s="57" t="inlineStr">
        <is>
          <t>Rebekah</t>
        </is>
      </c>
    </row>
    <row r="19" ht="51.75" customHeight="1" s="48">
      <c r="A19" s="57" t="n">
        <v>3</v>
      </c>
      <c r="B19" s="57" t="inlineStr">
        <is>
          <t>Does monthly full-roster reconciliation exist, and at what group size?</t>
        </is>
      </c>
      <c r="C19" s="57" t="inlineStr">
        <is>
          <t>Two transcripts offer it as the remedy to the most common billing complaint in the corpus. The Administrative Guide describes only per-employee forms. If it does not exist, both calls are giving an employer a solution that is not available.</t>
        </is>
      </c>
      <c r="D19" s="57" t="inlineStr">
        <is>
          <t>Rebekah</t>
        </is>
      </c>
    </row>
    <row r="22" ht="15" customHeight="1" s="48">
      <c r="A22" s="62" t="inlineStr">
        <is>
          <t>SOURCE DOCUMENTS — all publicly accessible</t>
        </is>
      </c>
    </row>
    <row r="23" ht="15" customHeight="1" s="48">
      <c r="A23" s="55" t="inlineStr">
        <is>
          <t>Ref</t>
        </is>
      </c>
      <c r="B23" s="55" t="inlineStr">
        <is>
          <t>Document</t>
        </is>
      </c>
      <c r="C23" s="55" t="inlineStr">
        <is>
          <t>Publisher</t>
        </is>
      </c>
      <c r="D23" s="55" t="inlineStr">
        <is>
          <t>Version</t>
        </is>
      </c>
      <c r="E23" s="55" t="inlineStr">
        <is>
          <t>What it covers</t>
        </is>
      </c>
      <c r="F23" s="55" t="inlineStr">
        <is>
          <t>Where</t>
        </is>
      </c>
    </row>
    <row r="24" ht="57.75" customHeight="1" s="48">
      <c r="A24" s="57" t="inlineStr">
        <is>
          <t>S1</t>
        </is>
      </c>
      <c r="B24" s="57" t="inlineStr">
        <is>
          <t>ChoiceBuilder Employer Administrative Guide (CB.0230)</t>
        </is>
      </c>
      <c r="C24" s="57" t="inlineStr">
        <is>
          <t>CHOICE Administrators</t>
        </is>
      </c>
      <c r="D24" s="57" t="inlineStr">
        <is>
          <t>7.20, eff. 12.1.20</t>
        </is>
      </c>
      <c r="E24" s="57" t="inlineStr">
        <is>
          <t>The most complete single source. Eligibility conditions, new hires, military leave, rehires, late enrolees, terminations, family coverage, dependent rules, mid-year changes, group change matrix, COBRA and Cal-COBRA, HIPAA, premium statements, billing, grace periods, renewal timeline, carrier contacts, FAQs.</t>
        </is>
      </c>
      <c r="F24" s="57" t="inlineStr">
        <is>
          <t>wordandbrown.com — CB-0230-Employer-Admin-Guide</t>
        </is>
      </c>
    </row>
    <row r="25" ht="57.75" customHeight="1" s="48">
      <c r="A25" s="59" t="inlineStr">
        <is>
          <t>S2</t>
        </is>
      </c>
      <c r="B25" s="59" t="inlineStr">
        <is>
          <t>ChoiceBuilder Program Guidelines (CB.QPG_3.23)</t>
        </is>
      </c>
      <c r="C25" s="59" t="inlineStr">
        <is>
          <t>Choice Builder Insurance Services</t>
        </is>
      </c>
      <c r="D25" s="59" t="inlineStr">
        <is>
          <t>eff. 1.7.23</t>
        </is>
      </c>
      <c r="E25" s="59" t="inlineStr">
        <is>
          <t>Group eligibility, available plans by size, effective dates, waiting periods, contribution, participation minimums by line, orthodontia availability, administration fees, six-step selection.</t>
        </is>
      </c>
      <c r="F25" s="59" t="inlineStr">
        <is>
          <t>rbgcal.com</t>
        </is>
      </c>
    </row>
    <row r="26" ht="57.75" customHeight="1" s="48">
      <c r="A26" s="57" t="inlineStr">
        <is>
          <t>S3</t>
        </is>
      </c>
      <c r="B26" s="57" t="inlineStr">
        <is>
          <t>ChoiceBuilder Underwriting Guidelines</t>
        </is>
      </c>
      <c r="C26" s="57" t="inlineStr">
        <is>
          <t>CHOICE Administrators</t>
        </is>
      </c>
      <c r="D26" s="57" t="inlineStr">
        <is>
          <t>groups beginning 1.1.24, upd. May 2024</t>
        </is>
      </c>
      <c r="E26" s="57" t="inlineStr">
        <is>
          <t>Dental mandatory; takeover credit rules; leasing company treatment; owner/partner eligibility; service area; husband-and-wife waiver treatment; dependent age limit.</t>
        </is>
      </c>
      <c r="F26" s="57" t="inlineStr">
        <is>
          <t>dickerson-group.com</t>
        </is>
      </c>
    </row>
    <row r="27" ht="57.75" customHeight="1" s="48">
      <c r="A27" s="59" t="inlineStr">
        <is>
          <t>S4</t>
        </is>
      </c>
      <c r="B27" s="59" t="inlineStr">
        <is>
          <t>ChoiceBuilder Employer Application (CB 0210A)</t>
        </is>
      </c>
      <c r="C27" s="59" t="inlineStr">
        <is>
          <t>CHOICE Administrators</t>
        </is>
      </c>
      <c r="D27" s="59" t="inlineStr">
        <is>
          <t>9/2024, eff. 1.1.25</t>
        </is>
      </c>
      <c r="E27" s="59" t="inlineStr">
        <is>
          <t>Termination on notice, premium due dates, right to non-renew on participation change, ortho takeover credit by carrier, waiver restrictions at 100% contribution.</t>
        </is>
      </c>
      <c r="F27" s="59" t="inlineStr">
        <is>
          <t>choicebuilder.com</t>
        </is>
      </c>
    </row>
    <row r="28" ht="57.75" customHeight="1" s="48">
      <c r="A28" s="57" t="inlineStr">
        <is>
          <t>S5</t>
        </is>
      </c>
      <c r="B28" s="57" t="inlineStr">
        <is>
          <t>ChoiceBuilder Benefit Summary (CB.5234)</t>
        </is>
      </c>
      <c r="C28" s="57" t="inlineStr">
        <is>
          <t>CHOICE Administrators</t>
        </is>
      </c>
      <c r="D28" s="57" t="inlineStr">
        <is>
          <t>3.20 eff. 7.1.20 and later</t>
        </is>
      </c>
      <c r="E28" s="57" t="inlineStr">
        <is>
          <t>Per-carrier benefit summaries across dental HMO and PPO, vision and chiro. MetLife reimbursement basis, preventive treatment of the annual maximum, VSP additional-pair and laser benefits.</t>
        </is>
      </c>
      <c r="F28" s="57" t="inlineStr">
        <is>
          <t>choicebuilder.com</t>
        </is>
      </c>
    </row>
    <row r="29" ht="57.75" customHeight="1" s="48">
      <c r="A29" s="59" t="inlineStr">
        <is>
          <t>S6</t>
        </is>
      </c>
      <c r="B29" s="59" t="inlineStr">
        <is>
          <t>ChoiceBuilder Employee Enrollment Guide</t>
        </is>
      </c>
      <c r="C29" s="59" t="inlineStr">
        <is>
          <t>CHOICE Administrators</t>
        </is>
      </c>
      <c r="D29" s="59" t="inlineStr">
        <is>
          <t>1.24</t>
        </is>
      </c>
      <c r="E29" s="59" t="inlineStr">
        <is>
          <t>Carrier-by-carrier employee-facing summaries; confirms EyeMed is provided by Ameritas and that vision is offered both employer-sponsored and voluntary.</t>
        </is>
      </c>
      <c r="F29" s="59" t="inlineStr">
        <is>
          <t>rbgcal.com</t>
        </is>
      </c>
    </row>
    <row r="30" ht="57.75" customHeight="1" s="48">
      <c r="A30" s="57" t="inlineStr">
        <is>
          <t>S7</t>
        </is>
      </c>
      <c r="B30" s="57" t="inlineStr">
        <is>
          <t>ChoiceBuilder FAQs</t>
        </is>
      </c>
      <c r="C30" s="57" t="inlineStr">
        <is>
          <t>CHOICE Administrators</t>
        </is>
      </c>
      <c r="D30" s="57" t="inlineStr">
        <is>
          <t>current</t>
        </is>
      </c>
      <c r="E30" s="57" t="inlineStr">
        <is>
          <t>Dependent windows, age-out, ID card routing.</t>
        </is>
      </c>
      <c r="F30" s="57" t="inlineStr">
        <is>
          <t>choicebuilder.com/FAQs.aspx</t>
        </is>
      </c>
    </row>
    <row r="31" ht="57.75" customHeight="1" s="48">
      <c r="A31" s="59" t="inlineStr">
        <is>
          <t>S8</t>
        </is>
      </c>
      <c r="B31" s="59" t="inlineStr">
        <is>
          <t>DeltaCare USA Evidence of Coverage</t>
        </is>
      </c>
      <c r="C31" s="59" t="inlineStr">
        <is>
          <t>Delta Dental of California</t>
        </is>
      </c>
      <c r="D31" s="59" t="inlineStr">
        <is>
          <t>CAEOC-R14 and later</t>
        </is>
      </c>
      <c r="E31" s="59" t="inlineStr">
        <is>
          <t>Assigned dentist, specialist referral and preauthorization, emergency and out-of-area rules, copay structure, frequency limits, continuity of care.</t>
        </is>
      </c>
      <c r="F31" s="59" t="inlineStr">
        <is>
          <t>Published employer EOCs</t>
        </is>
      </c>
    </row>
    <row r="32" ht="57.75" customHeight="1" s="48">
      <c r="A32" s="57" t="inlineStr">
        <is>
          <t>S9</t>
        </is>
      </c>
      <c r="B32" s="57" t="inlineStr">
        <is>
          <t>Ameritas dental PPO plan summary</t>
        </is>
      </c>
      <c r="C32" s="57" t="inlineStr">
        <is>
          <t>Ameritas via CaliforniaChoice</t>
        </is>
      </c>
      <c r="D32" s="57" t="inlineStr">
        <is>
          <t>2022 onward</t>
        </is>
      </c>
      <c r="E32" s="57" t="inlineStr">
        <is>
          <t>12-month major and ortho waits, comparable-coverage waiver, Dental Rewards, Type 1 treatment of the maximum.</t>
        </is>
      </c>
      <c r="F32" s="57" t="inlineStr">
        <is>
          <t>calchoice.com</t>
        </is>
      </c>
    </row>
    <row r="33" ht="57.75" customHeight="1" s="48">
      <c r="A33" s="59" t="inlineStr">
        <is>
          <t>S10</t>
        </is>
      </c>
      <c r="B33" s="59" t="inlineStr">
        <is>
          <t>Landmark Healthplan material and member notice</t>
        </is>
      </c>
      <c r="C33" s="59" t="inlineStr">
        <is>
          <t>Landmark Healthplan of California</t>
        </is>
      </c>
      <c r="D33" s="59" t="inlineStr">
        <is>
          <t>current / 2026</t>
        </is>
      </c>
      <c r="E33" s="59" t="inlineStr">
        <is>
          <t>California-only insured plans, no out-of-network payment, direct access, copay and visit ranges, Knox-Keene status.</t>
        </is>
      </c>
      <c r="F33" s="59" t="inlineStr">
        <is>
          <t>hr.lhp-ca.com; lhp-ca.com; bopumc.org</t>
        </is>
      </c>
    </row>
    <row r="34" ht="57.75" customHeight="1" s="48">
      <c r="A34" s="57" t="inlineStr">
        <is>
          <t>S11</t>
        </is>
      </c>
      <c r="B34" s="57" t="inlineStr">
        <is>
          <t>Assurity Group Term Life — Agent Center</t>
        </is>
      </c>
      <c r="C34" s="57" t="inlineStr">
        <is>
          <t>Assurity Life Insurance Company</t>
        </is>
      </c>
      <c r="D34" s="57" t="inlineStr">
        <is>
          <t>current</t>
        </is>
      </c>
      <c r="E34" s="57" t="inlineStr">
        <is>
          <t>Conversion without evidence of insurability, accelerated death benefit terms.</t>
        </is>
      </c>
      <c r="F34" s="57" t="inlineStr">
        <is>
          <t>agentcenter.assurity.com</t>
        </is>
      </c>
    </row>
    <row r="35" ht="57.75" customHeight="1" s="48">
      <c r="A35" s="59" t="inlineStr">
        <is>
          <t>S12</t>
        </is>
      </c>
      <c r="B35" s="59" t="inlineStr">
        <is>
          <t>VSP member and plan material</t>
        </is>
      </c>
      <c r="C35" s="59" t="inlineStr">
        <is>
          <t>VSP Vision Care</t>
        </is>
      </c>
      <c r="D35" s="59" t="inlineStr">
        <is>
          <t>current</t>
        </is>
      </c>
      <c r="E35" s="59" t="inlineStr">
        <is>
          <t>Allowance versus copay, frequency cycles, lens enhancement copays, out-of-network schedule, glasses-or-contacts rule.</t>
        </is>
      </c>
      <c r="F35" s="59" t="inlineStr">
        <is>
          <t>vspdirect.com; published VSP plan sheets</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H1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47" min="1" max="1"/>
    <col width="16" customWidth="1" style="47" min="2" max="2"/>
    <col width="13" customWidth="1" style="47" min="3" max="4"/>
    <col width="11" customWidth="1" style="47" min="5" max="5"/>
    <col width="10" customWidth="1" style="47" min="6" max="7"/>
    <col width="46" customWidth="1" style="47" min="8" max="8"/>
  </cols>
  <sheetData>
    <row r="1" ht="21.75" customHeight="1" s="48">
      <c r="A1" s="53" t="inlineStr">
        <is>
          <t>Weekly volume plan</t>
        </is>
      </c>
    </row>
    <row r="2" ht="74.25" customHeight="1" s="48">
      <c r="A2" s="54" t="inlineStr">
        <is>
          <t>Twelve weeks from Monday 6 July to Friday 25 September 2026, ending at today's date so January renewals sit 90 days out and the customer-risk entries are forward-looking rather than historical. Fifty calls a week on average, which makes the platform's default rolling four-week window 200 calls — enough to support most sub-category cuts rather than only the top line. Volume climbs into September as Q4 renewal preparation begins and the Labor Day week is short, because a flat distribution is the first thing that makes a synthetic dataset look synthetic. Calls in the final two weeks have no fourteen-day exposure window and are excluded from the repeat-rate denominator.</t>
        </is>
      </c>
    </row>
    <row r="3" ht="6" customHeight="1" s="48"/>
    <row r="4" ht="31.5" customHeight="1" s="48">
      <c r="A4" s="55" t="inlineStr">
        <is>
          <t>Week</t>
        </is>
      </c>
      <c r="B4" s="55" t="inlineStr">
        <is>
          <t>Week beginning</t>
        </is>
      </c>
      <c r="C4" s="55" t="inlineStr">
        <is>
          <t>Business days</t>
        </is>
      </c>
      <c r="D4" s="55" t="inlineStr">
        <is>
          <t>Planned calls</t>
        </is>
      </c>
      <c r="E4" s="55" t="inlineStr">
        <is>
          <t>Calls/day</t>
        </is>
      </c>
      <c r="F4" s="55" t="inlineStr">
        <is>
          <t>Member</t>
        </is>
      </c>
      <c r="G4" s="55" t="inlineStr">
        <is>
          <t>Employer</t>
        </is>
      </c>
      <c r="H4" s="55" t="inlineStr">
        <is>
          <t>Note</t>
        </is>
      </c>
    </row>
    <row r="5" ht="15" customHeight="1" s="48">
      <c r="A5" s="56" t="inlineStr">
        <is>
          <t>W1</t>
        </is>
      </c>
      <c r="B5" s="56" t="inlineStr">
        <is>
          <t>Mon 06 Jul 2026</t>
        </is>
      </c>
      <c r="C5" s="56" t="n">
        <v>5</v>
      </c>
      <c r="D5" s="56" t="n">
        <v>44</v>
      </c>
      <c r="E5" s="65">
        <f>IFERROR(D5/C5,0)</f>
        <v/>
      </c>
      <c r="F5" s="56">
        <f>ROUND(D5*'Distribution Targets'!$C$5,0)</f>
        <v/>
      </c>
      <c r="G5" s="56">
        <f>D5-F5</f>
        <v/>
      </c>
      <c r="H5" s="57" t="inlineStr">
        <is>
          <t>Baseline summer volume</t>
        </is>
      </c>
    </row>
    <row r="6" ht="15" customHeight="1" s="48">
      <c r="A6" s="58" t="inlineStr">
        <is>
          <t>W2</t>
        </is>
      </c>
      <c r="B6" s="58" t="inlineStr">
        <is>
          <t>Mon 13 Jul 2026</t>
        </is>
      </c>
      <c r="C6" s="58" t="n">
        <v>5</v>
      </c>
      <c r="D6" s="58" t="n">
        <v>47</v>
      </c>
      <c r="E6" s="66">
        <f>IFERROR(D6/C6,0)</f>
        <v/>
      </c>
      <c r="F6" s="58">
        <f>ROUND(D6*'Distribution Targets'!$C$5,0)</f>
        <v/>
      </c>
      <c r="G6" s="58">
        <f>D6-F6</f>
        <v/>
      </c>
      <c r="H6" s="59" t="n"/>
    </row>
    <row r="7" ht="15" customHeight="1" s="48">
      <c r="A7" s="56" t="inlineStr">
        <is>
          <t>W3</t>
        </is>
      </c>
      <c r="B7" s="56" t="inlineStr">
        <is>
          <t>Mon 20 Jul 2026</t>
        </is>
      </c>
      <c r="C7" s="56" t="n">
        <v>5</v>
      </c>
      <c r="D7" s="56" t="n">
        <v>46</v>
      </c>
      <c r="E7" s="65">
        <f>IFERROR(D7/C7,0)</f>
        <v/>
      </c>
      <c r="F7" s="56">
        <f>ROUND(D7*'Distribution Targets'!$C$5,0)</f>
        <v/>
      </c>
      <c r="G7" s="56">
        <f>D7-F7</f>
        <v/>
      </c>
      <c r="H7" s="57" t="n"/>
    </row>
    <row r="8" ht="15" customHeight="1" s="48">
      <c r="A8" s="58" t="inlineStr">
        <is>
          <t>W4</t>
        </is>
      </c>
      <c r="B8" s="58" t="inlineStr">
        <is>
          <t>Mon 27 Jul 2026</t>
        </is>
      </c>
      <c r="C8" s="58" t="n">
        <v>5</v>
      </c>
      <c r="D8" s="58" t="n">
        <v>49</v>
      </c>
      <c r="E8" s="66">
        <f>IFERROR(D8/C8,0)</f>
        <v/>
      </c>
      <c r="F8" s="58">
        <f>ROUND(D8*'Distribution Targets'!$C$5,0)</f>
        <v/>
      </c>
      <c r="G8" s="58">
        <f>D8-F8</f>
        <v/>
      </c>
      <c r="H8" s="59" t="n"/>
    </row>
    <row r="9" ht="15" customHeight="1" s="48">
      <c r="A9" s="56" t="inlineStr">
        <is>
          <t>W5</t>
        </is>
      </c>
      <c r="B9" s="56" t="inlineStr">
        <is>
          <t>Mon 03 Aug 2026</t>
        </is>
      </c>
      <c r="C9" s="56" t="n">
        <v>5</v>
      </c>
      <c r="D9" s="56" t="n">
        <v>48</v>
      </c>
      <c r="E9" s="65">
        <f>IFERROR(D9/C9,0)</f>
        <v/>
      </c>
      <c r="F9" s="56">
        <f>ROUND(D9*'Distribution Targets'!$C$5,0)</f>
        <v/>
      </c>
      <c r="G9" s="56">
        <f>D9-F9</f>
        <v/>
      </c>
      <c r="H9" s="57" t="inlineStr">
        <is>
          <t>Mid-year enrollment changes begin</t>
        </is>
      </c>
    </row>
    <row r="10" ht="15" customHeight="1" s="48">
      <c r="A10" s="58" t="inlineStr">
        <is>
          <t>W6</t>
        </is>
      </c>
      <c r="B10" s="58" t="inlineStr">
        <is>
          <t>Mon 10 Aug 2026</t>
        </is>
      </c>
      <c r="C10" s="58" t="n">
        <v>5</v>
      </c>
      <c r="D10" s="58" t="n">
        <v>50</v>
      </c>
      <c r="E10" s="66">
        <f>IFERROR(D10/C10,0)</f>
        <v/>
      </c>
      <c r="F10" s="58">
        <f>ROUND(D10*'Distribution Targets'!$C$5,0)</f>
        <v/>
      </c>
      <c r="G10" s="58">
        <f>D10-F10</f>
        <v/>
      </c>
      <c r="H10" s="59" t="n"/>
    </row>
    <row r="11" ht="15" customHeight="1" s="48">
      <c r="A11" s="56" t="inlineStr">
        <is>
          <t>W7</t>
        </is>
      </c>
      <c r="B11" s="56" t="inlineStr">
        <is>
          <t>Mon 17 Aug 2026</t>
        </is>
      </c>
      <c r="C11" s="56" t="n">
        <v>5</v>
      </c>
      <c r="D11" s="56" t="n">
        <v>52</v>
      </c>
      <c r="E11" s="65">
        <f>IFERROR(D11/C11,0)</f>
        <v/>
      </c>
      <c r="F11" s="56">
        <f>ROUND(D11*'Distribution Targets'!$C$5,0)</f>
        <v/>
      </c>
      <c r="G11" s="56">
        <f>D11-F11</f>
        <v/>
      </c>
      <c r="H11" s="57" t="n"/>
    </row>
    <row r="12" ht="15" customHeight="1" s="48">
      <c r="A12" s="58" t="inlineStr">
        <is>
          <t>W8</t>
        </is>
      </c>
      <c r="B12" s="58" t="inlineStr">
        <is>
          <t>Mon 24 Aug 2026</t>
        </is>
      </c>
      <c r="C12" s="58" t="n">
        <v>5</v>
      </c>
      <c r="D12" s="58" t="n">
        <v>53</v>
      </c>
      <c r="E12" s="66">
        <f>IFERROR(D12/C12,0)</f>
        <v/>
      </c>
      <c r="F12" s="58">
        <f>ROUND(D12*'Distribution Targets'!$C$5,0)</f>
        <v/>
      </c>
      <c r="G12" s="58">
        <f>D12-F12</f>
        <v/>
      </c>
      <c r="H12" s="59" t="n"/>
    </row>
    <row r="13" ht="15" customHeight="1" s="48">
      <c r="A13" s="56" t="inlineStr">
        <is>
          <t>W9</t>
        </is>
      </c>
      <c r="B13" s="56" t="inlineStr">
        <is>
          <t>Mon 31 Aug 2026</t>
        </is>
      </c>
      <c r="C13" s="56" t="n">
        <v>5</v>
      </c>
      <c r="D13" s="56" t="n">
        <v>50</v>
      </c>
      <c r="E13" s="65">
        <f>IFERROR(D13/C13,0)</f>
        <v/>
      </c>
      <c r="F13" s="56">
        <f>ROUND(D13*'Distribution Targets'!$C$5,0)</f>
        <v/>
      </c>
      <c r="G13" s="56">
        <f>D13-F13</f>
        <v/>
      </c>
      <c r="H13" s="57" t="n"/>
    </row>
    <row r="14" ht="15" customHeight="1" s="48">
      <c r="A14" s="58" t="inlineStr">
        <is>
          <t>W10</t>
        </is>
      </c>
      <c r="B14" s="58" t="inlineStr">
        <is>
          <t>Mon 07 Sep 2026</t>
        </is>
      </c>
      <c r="C14" s="58" t="n">
        <v>4</v>
      </c>
      <c r="D14" s="58" t="n">
        <v>40</v>
      </c>
      <c r="E14" s="66">
        <f>IFERROR(D14/C14,0)</f>
        <v/>
      </c>
      <c r="F14" s="58">
        <f>ROUND(D14*'Distribution Targets'!$C$5,0)</f>
        <v/>
      </c>
      <c r="G14" s="58">
        <f>D14-F14</f>
        <v/>
      </c>
      <c r="H14" s="59" t="inlineStr">
        <is>
          <t>Labor Day — 4 business days</t>
        </is>
      </c>
    </row>
    <row r="15" ht="23.25" customHeight="1" s="48">
      <c r="A15" s="56" t="inlineStr">
        <is>
          <t>W11</t>
        </is>
      </c>
      <c r="B15" s="56" t="inlineStr">
        <is>
          <t>Mon 14 Sep 2026</t>
        </is>
      </c>
      <c r="C15" s="56" t="n">
        <v>5</v>
      </c>
      <c r="D15" s="56" t="n">
        <v>60</v>
      </c>
      <c r="E15" s="65">
        <f>IFERROR(D15/C15,0)</f>
        <v/>
      </c>
      <c r="F15" s="56">
        <f>ROUND(D15*'Distribution Targets'!$C$5,0)</f>
        <v/>
      </c>
      <c r="G15" s="56">
        <f>D15-F15</f>
        <v/>
      </c>
      <c r="H15" s="57" t="inlineStr">
        <is>
          <t>Q4 renewal prep; January anniversary groups begin open enrollment</t>
        </is>
      </c>
    </row>
    <row r="16" ht="23.25" customHeight="1" s="48">
      <c r="A16" s="58" t="inlineStr">
        <is>
          <t>W12</t>
        </is>
      </c>
      <c r="B16" s="58" t="inlineStr">
        <is>
          <t>Mon 21 Sep 2026</t>
        </is>
      </c>
      <c r="C16" s="58" t="n">
        <v>5</v>
      </c>
      <c r="D16" s="58" t="n">
        <v>61</v>
      </c>
      <c r="E16" s="66">
        <f>IFERROR(D16/C16,0)</f>
        <v/>
      </c>
      <c r="F16" s="58">
        <f>ROUND(D16*'Distribution Targets'!$C$5,0)</f>
        <v/>
      </c>
      <c r="G16" s="58">
        <f>D16-F16</f>
        <v/>
      </c>
      <c r="H16" s="59" t="inlineStr">
        <is>
          <t>Corpus closes Fri 25 Sep — no 14-day exposure window; exclude from repeat-rate denominator</t>
        </is>
      </c>
    </row>
    <row r="17" ht="15" customHeight="1" s="48">
      <c r="A17" s="60" t="inlineStr">
        <is>
          <t>TOTAL</t>
        </is>
      </c>
      <c r="C17" s="62">
        <f>SUM(C5:C16)</f>
        <v/>
      </c>
      <c r="D17" s="62">
        <f>SUM(D5:D16)</f>
        <v/>
      </c>
      <c r="F17" s="62">
        <f>SUM(F5:F16)</f>
        <v/>
      </c>
      <c r="G17" s="62">
        <f>SUM(G5:G16)</f>
        <v/>
      </c>
    </row>
    <row r="19" ht="15" customHeight="1" s="48">
      <c r="A19" s="60" t="inlineStr">
        <is>
          <t>CHECK</t>
        </is>
      </c>
      <c r="B19" s="67">
        <f>IF(D17=600,"OK — 600 calls","VARIANCE: "&amp;TEXT(D17-600,"+0;-0"))</f>
        <v/>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U111"/>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47" min="1" max="1"/>
    <col width="28" customWidth="1" style="47" min="2" max="2"/>
    <col width="21" customWidth="1" style="47" min="3" max="3"/>
    <col width="11" customWidth="1" style="47" min="4" max="7"/>
    <col width="9" customWidth="1" style="47" min="8" max="8"/>
    <col width="13" customWidth="1" style="47" min="9" max="9"/>
    <col width="15" customWidth="1" style="47" min="10" max="10"/>
    <col width="11" customWidth="1" style="47" min="11" max="11"/>
    <col width="12" customWidth="1" style="47" min="12" max="12"/>
    <col width="13" customWidth="1" style="47" min="13" max="13"/>
    <col width="24" customWidth="1" style="47" min="14" max="14"/>
    <col width="11" customWidth="1" style="47" min="15" max="17"/>
    <col width="12" customWidth="1" style="47" min="18" max="18"/>
    <col width="15" customWidth="1" style="47" min="19" max="19"/>
    <col width="20" customWidth="1" style="47" min="20" max="20"/>
    <col width="12" customWidth="1" style="47" min="21" max="21"/>
  </cols>
  <sheetData>
    <row r="1" ht="21.75" customHeight="1" s="48">
      <c r="A1" s="53" t="inlineStr">
        <is>
          <t>Employer master — 95 groups, sized to the 2–500 band</t>
        </is>
      </c>
    </row>
    <row r="2" ht="86.25" customHeight="1" s="48">
      <c r="A2" s="54" t="inlineStr">
        <is>
          <t>The spine of the reference dataset, rebuilt so that group size reflects the population ChoiceBuilder actually serves rather than a convenient average. Eligible employees is the field the rules key off: it decides the COBRA regime, the administration fee band, which voluntary dental minimum applies and whether orthodontia is available at all. Enrolled lives are derived from eligible employees and a participation rate that depends on sponsorship, and the threshold column flags every group at or below the requirement that applies to it. Six anchor employers carry 31% of all calls; four of them renew in January, which is what makes the customer-risk entries demonstrable. Complaint rate is per 100 enrolled so dysfunction outranks size, with the raw count always shown beside it.</t>
        </is>
      </c>
    </row>
    <row r="3" ht="6" customHeight="1" s="48"/>
    <row r="4" ht="31.5" customHeight="1" s="48">
      <c r="A4" s="55" t="inlineStr">
        <is>
          <t>Employer ID</t>
        </is>
      </c>
      <c r="B4" s="55" t="inlineStr">
        <is>
          <t>Employer name</t>
        </is>
      </c>
      <c r="C4" s="55" t="inlineStr">
        <is>
          <t>Industry</t>
        </is>
      </c>
      <c r="D4" s="55" t="inlineStr">
        <is>
          <t>Churn profile</t>
        </is>
      </c>
      <c r="E4" s="55" t="inlineStr">
        <is>
          <t>Eligible employees</t>
        </is>
      </c>
      <c r="F4" s="55" t="inlineStr">
        <is>
          <t>Enrolled lives</t>
        </is>
      </c>
      <c r="G4" s="55" t="inlineStr">
        <is>
          <t>Participation</t>
        </is>
      </c>
      <c r="H4" s="55" t="inlineStr">
        <is>
          <t>Fee band</t>
        </is>
      </c>
      <c r="I4" s="55" t="inlineStr">
        <is>
          <t>COBRA regime</t>
        </is>
      </c>
      <c r="J4" s="55" t="inlineStr">
        <is>
          <t>Region</t>
        </is>
      </c>
      <c r="K4" s="55" t="inlineStr">
        <is>
          <t>Renewal month</t>
        </is>
      </c>
      <c r="L4" s="55" t="inlineStr">
        <is>
          <t>Broker of record</t>
        </is>
      </c>
      <c r="M4" s="55" t="inlineStr">
        <is>
          <t>Dental sponsorship</t>
        </is>
      </c>
      <c r="N4" s="55" t="inlineStr">
        <is>
          <t>Lines held</t>
        </is>
      </c>
      <c r="O4" s="55" t="inlineStr">
        <is>
          <t>Planned calls</t>
        </is>
      </c>
      <c r="P4" s="55" t="inlineStr">
        <is>
          <t>Member calls</t>
        </is>
      </c>
      <c r="Q4" s="55" t="inlineStr">
        <is>
          <t>Employer calls</t>
        </is>
      </c>
      <c r="R4" s="55" t="inlineStr">
        <is>
          <t>Calls per 100 lives</t>
        </is>
      </c>
      <c r="S4" s="55" t="inlineStr">
        <is>
          <t>Annual premium ($)</t>
        </is>
      </c>
      <c r="T4" s="55" t="inlineStr">
        <is>
          <t>Threshold status</t>
        </is>
      </c>
      <c r="U4" s="55" t="inlineStr">
        <is>
          <t>Tier</t>
        </is>
      </c>
    </row>
    <row r="5" ht="15" customHeight="1" s="48">
      <c r="A5" s="56" t="inlineStr">
        <is>
          <t>EMP-1001</t>
        </is>
      </c>
      <c r="B5" s="56" t="inlineStr">
        <is>
          <t>Cedar Point Workforce Partners</t>
        </is>
      </c>
      <c r="C5" s="56" t="inlineStr">
        <is>
          <t>Staffing &amp; Recruitment</t>
        </is>
      </c>
      <c r="D5" s="56" t="inlineStr">
        <is>
          <t>High</t>
        </is>
      </c>
      <c r="E5" s="68" t="n">
        <v>420</v>
      </c>
      <c r="F5" s="68" t="n">
        <v>315</v>
      </c>
      <c r="G5" s="69">
        <f>IFERROR(F5/E5,0)</f>
        <v/>
      </c>
      <c r="H5" s="56">
        <f>IF(E5&lt;=8,"$25",IF(E5&lt;=20,"$30",IF(E5&lt;=199,"$35","$50")))</f>
        <v/>
      </c>
      <c r="I5" s="56">
        <f>IF(E5&lt;=19,"Cal-COBRA","Federal COBRA")</f>
        <v/>
      </c>
      <c r="J5" s="56" t="inlineStr">
        <is>
          <t>Orange County</t>
        </is>
      </c>
      <c r="K5" s="56" t="inlineStr">
        <is>
          <t>Jan</t>
        </is>
      </c>
      <c r="L5" s="56" t="inlineStr">
        <is>
          <t>BRK-02</t>
        </is>
      </c>
      <c r="M5" s="56" t="inlineStr">
        <is>
          <t>ER</t>
        </is>
      </c>
      <c r="N5" s="56" t="inlineStr">
        <is>
          <t>Dental + Vision + Chiro</t>
        </is>
      </c>
      <c r="O5" s="56" t="n">
        <v>36</v>
      </c>
      <c r="P5" s="56" t="n">
        <v>24</v>
      </c>
      <c r="Q5" s="56" t="n">
        <v>12</v>
      </c>
      <c r="R5" s="65">
        <f>IFERROR(O5/F5*100,0)</f>
        <v/>
      </c>
      <c r="S5" s="70">
        <f>F5*'Distribution Targets'!$C$34</f>
        <v/>
      </c>
      <c r="T5" s="71">
        <f>IF(M5="ER",IF(G5&lt;0.7,"BELOW 70% (P-18)",IF(G5&lt;0.75,"Near 70% threshold","OK")),IF(E5&lt;=9,IF(F5&lt;2,"BELOW 2–9 minimum (P-24)",IF(F5=2,"At 2–9 minimum","OK")),IF(F5&lt;5,"BELOW 10–500 minimum (P-23)",IF(F5&lt;7,"Near 10–500 minimum","OK"))))</f>
        <v/>
      </c>
      <c r="U5" s="71">
        <f>IF(O5&gt;=28,"A — anchor",IF(O5&gt;=10,"B — heavy",IF(O5&gt;=4,"C — moderate","D — tail")))</f>
        <v/>
      </c>
    </row>
    <row r="6" ht="15" customHeight="1" s="48">
      <c r="A6" s="58" t="inlineStr">
        <is>
          <t>EMP-1002</t>
        </is>
      </c>
      <c r="B6" s="58" t="inlineStr">
        <is>
          <t>Bellwether Restaurant Group</t>
        </is>
      </c>
      <c r="C6" s="58" t="inlineStr">
        <is>
          <t>Hospitality &amp; Food Service</t>
        </is>
      </c>
      <c r="D6" s="58" t="inlineStr">
        <is>
          <t>High</t>
        </is>
      </c>
      <c r="E6" s="72" t="n">
        <v>310</v>
      </c>
      <c r="F6" s="72" t="n">
        <v>108</v>
      </c>
      <c r="G6" s="73">
        <f>IFERROR(F6/E6,0)</f>
        <v/>
      </c>
      <c r="H6" s="58">
        <f>IF(E6&lt;=8,"$25",IF(E6&lt;=20,"$30",IF(E6&lt;=199,"$35","$50")))</f>
        <v/>
      </c>
      <c r="I6" s="58">
        <f>IF(E6&lt;=19,"Cal-COBRA","Federal COBRA")</f>
        <v/>
      </c>
      <c r="J6" s="58" t="inlineStr">
        <is>
          <t>Los Angeles</t>
        </is>
      </c>
      <c r="K6" s="58" t="inlineStr">
        <is>
          <t>Jan</t>
        </is>
      </c>
      <c r="L6" s="58" t="inlineStr">
        <is>
          <t>BRK-02</t>
        </is>
      </c>
      <c r="M6" s="58" t="inlineStr">
        <is>
          <t>VOL</t>
        </is>
      </c>
      <c r="N6" s="58" t="inlineStr">
        <is>
          <t>Dental + Vision + Chiro</t>
        </is>
      </c>
      <c r="O6" s="58" t="n">
        <v>34</v>
      </c>
      <c r="P6" s="58" t="n">
        <v>23</v>
      </c>
      <c r="Q6" s="58" t="n">
        <v>11</v>
      </c>
      <c r="R6" s="66">
        <f>IFERROR(O6/F6*100,0)</f>
        <v/>
      </c>
      <c r="S6" s="70">
        <f>F6*'Distribution Targets'!$C$34</f>
        <v/>
      </c>
      <c r="T6" s="71">
        <f>IF(M6="ER",IF(G6&lt;0.7,"BELOW 70% (P-18)",IF(G6&lt;0.75,"Near 70% threshold","OK")),IF(E6&lt;=9,IF(F6&lt;2,"BELOW 2–9 minimum (P-24)",IF(F6=2,"At 2–9 minimum","OK")),IF(F6&lt;5,"BELOW 10–500 minimum (P-23)",IF(F6&lt;7,"Near 10–500 minimum","OK"))))</f>
        <v/>
      </c>
      <c r="U6" s="71">
        <f>IF(O6&gt;=28,"A — anchor",IF(O6&gt;=10,"B — heavy",IF(O6&gt;=4,"C — moderate","D — tail")))</f>
        <v/>
      </c>
    </row>
    <row r="7" ht="15" customHeight="1" s="48">
      <c r="A7" s="56" t="inlineStr">
        <is>
          <t>EMP-1003</t>
        </is>
      </c>
      <c r="B7" s="56" t="inlineStr">
        <is>
          <t>Meridian Industries</t>
        </is>
      </c>
      <c r="C7" s="56" t="inlineStr">
        <is>
          <t>Manufacturing</t>
        </is>
      </c>
      <c r="D7" s="56" t="inlineStr">
        <is>
          <t>Medium</t>
        </is>
      </c>
      <c r="E7" s="68" t="n">
        <v>240</v>
      </c>
      <c r="F7" s="68" t="n">
        <v>163</v>
      </c>
      <c r="G7" s="69">
        <f>IFERROR(F7/E7,0)</f>
        <v/>
      </c>
      <c r="H7" s="56">
        <f>IF(E7&lt;=8,"$25",IF(E7&lt;=20,"$30",IF(E7&lt;=199,"$35","$50")))</f>
        <v/>
      </c>
      <c r="I7" s="56">
        <f>IF(E7&lt;=19,"Cal-COBRA","Federal COBRA")</f>
        <v/>
      </c>
      <c r="J7" s="56" t="inlineStr">
        <is>
          <t>San Diego</t>
        </is>
      </c>
      <c r="K7" s="56" t="inlineStr">
        <is>
          <t>Mar</t>
        </is>
      </c>
      <c r="L7" s="56" t="inlineStr">
        <is>
          <t>BRK-09</t>
        </is>
      </c>
      <c r="M7" s="56" t="inlineStr">
        <is>
          <t>ER</t>
        </is>
      </c>
      <c r="N7" s="56" t="inlineStr">
        <is>
          <t>Dental + Vision</t>
        </is>
      </c>
      <c r="O7" s="56" t="n">
        <v>31</v>
      </c>
      <c r="P7" s="56" t="n">
        <v>21</v>
      </c>
      <c r="Q7" s="56" t="n">
        <v>10</v>
      </c>
      <c r="R7" s="65">
        <f>IFERROR(O7/F7*100,0)</f>
        <v/>
      </c>
      <c r="S7" s="70">
        <f>F7*'Distribution Targets'!$C$34</f>
        <v/>
      </c>
      <c r="T7" s="71">
        <f>IF(M7="ER",IF(G7&lt;0.7,"BELOW 70% (P-18)",IF(G7&lt;0.75,"Near 70% threshold","OK")),IF(E7&lt;=9,IF(F7&lt;2,"BELOW 2–9 minimum (P-24)",IF(F7=2,"At 2–9 minimum","OK")),IF(F7&lt;5,"BELOW 10–500 minimum (P-23)",IF(F7&lt;7,"Near 10–500 minimum","OK"))))</f>
        <v/>
      </c>
      <c r="U7" s="71">
        <f>IF(O7&gt;=28,"A — anchor",IF(O7&gt;=10,"B — heavy",IF(O7&gt;=4,"C — moderate","D — tail")))</f>
        <v/>
      </c>
    </row>
    <row r="8" ht="15" customHeight="1" s="48">
      <c r="A8" s="58" t="inlineStr">
        <is>
          <t>EMP-1004</t>
        </is>
      </c>
      <c r="B8" s="58" t="inlineStr">
        <is>
          <t>Drummond Associates</t>
        </is>
      </c>
      <c r="C8" s="58" t="inlineStr">
        <is>
          <t>Professional Services</t>
        </is>
      </c>
      <c r="D8" s="58" t="inlineStr">
        <is>
          <t>Low</t>
        </is>
      </c>
      <c r="E8" s="72" t="n">
        <v>180</v>
      </c>
      <c r="F8" s="72" t="n">
        <v>86</v>
      </c>
      <c r="G8" s="73">
        <f>IFERROR(F8/E8,0)</f>
        <v/>
      </c>
      <c r="H8" s="58">
        <f>IF(E8&lt;=8,"$25",IF(E8&lt;=20,"$30",IF(E8&lt;=199,"$35","$50")))</f>
        <v/>
      </c>
      <c r="I8" s="58">
        <f>IF(E8&lt;=19,"Cal-COBRA","Federal COBRA")</f>
        <v/>
      </c>
      <c r="J8" s="58" t="inlineStr">
        <is>
          <t>Inland Empire</t>
        </is>
      </c>
      <c r="K8" s="58" t="inlineStr">
        <is>
          <t>Jan</t>
        </is>
      </c>
      <c r="L8" s="58" t="inlineStr">
        <is>
          <t>BRK-06</t>
        </is>
      </c>
      <c r="M8" s="58" t="inlineStr">
        <is>
          <t>VOL</t>
        </is>
      </c>
      <c r="N8" s="58" t="inlineStr">
        <is>
          <t>Dental + Vision</t>
        </is>
      </c>
      <c r="O8" s="58" t="n">
        <v>30</v>
      </c>
      <c r="P8" s="58" t="n">
        <v>20</v>
      </c>
      <c r="Q8" s="58" t="n">
        <v>10</v>
      </c>
      <c r="R8" s="66">
        <f>IFERROR(O8/F8*100,0)</f>
        <v/>
      </c>
      <c r="S8" s="70">
        <f>F8*'Distribution Targets'!$C$34</f>
        <v/>
      </c>
      <c r="T8" s="71">
        <f>IF(M8="ER",IF(G8&lt;0.7,"BELOW 70% (P-18)",IF(G8&lt;0.75,"Near 70% threshold","OK")),IF(E8&lt;=9,IF(F8&lt;2,"BELOW 2–9 minimum (P-24)",IF(F8=2,"At 2–9 minimum","OK")),IF(F8&lt;5,"BELOW 10–500 minimum (P-23)",IF(F8&lt;7,"Near 10–500 minimum","OK"))))</f>
        <v/>
      </c>
      <c r="U8" s="71">
        <f>IF(O8&gt;=28,"A — anchor",IF(O8&gt;=10,"B — heavy",IF(O8&gt;=4,"C — moderate","D — tail")))</f>
        <v/>
      </c>
    </row>
    <row r="9" ht="15" customHeight="1" s="48">
      <c r="A9" s="56" t="inlineStr">
        <is>
          <t>EMP-1005</t>
        </is>
      </c>
      <c r="B9" s="56" t="inlineStr">
        <is>
          <t>Fontaine Dental Partners</t>
        </is>
      </c>
      <c r="C9" s="56" t="inlineStr">
        <is>
          <t>Healthcare Services</t>
        </is>
      </c>
      <c r="D9" s="56" t="inlineStr">
        <is>
          <t>Medium</t>
        </is>
      </c>
      <c r="E9" s="68" t="n">
        <v>95</v>
      </c>
      <c r="F9" s="68" t="n">
        <v>89</v>
      </c>
      <c r="G9" s="69">
        <f>IFERROR(F9/E9,0)</f>
        <v/>
      </c>
      <c r="H9" s="56">
        <f>IF(E9&lt;=8,"$25",IF(E9&lt;=20,"$30",IF(E9&lt;=199,"$35","$50")))</f>
        <v/>
      </c>
      <c r="I9" s="56">
        <f>IF(E9&lt;=19,"Cal-COBRA","Federal COBRA")</f>
        <v/>
      </c>
      <c r="J9" s="56" t="inlineStr">
        <is>
          <t>Central Valley</t>
        </is>
      </c>
      <c r="K9" s="56" t="inlineStr">
        <is>
          <t>Feb</t>
        </is>
      </c>
      <c r="L9" s="56" t="inlineStr">
        <is>
          <t>BRK-01</t>
        </is>
      </c>
      <c r="M9" s="56" t="inlineStr">
        <is>
          <t>ER</t>
        </is>
      </c>
      <c r="N9" s="56" t="inlineStr">
        <is>
          <t>Dental + Vision + Chiro</t>
        </is>
      </c>
      <c r="O9" s="56" t="n">
        <v>29</v>
      </c>
      <c r="P9" s="56" t="n">
        <v>19</v>
      </c>
      <c r="Q9" s="56" t="n">
        <v>10</v>
      </c>
      <c r="R9" s="65">
        <f>IFERROR(O9/F9*100,0)</f>
        <v/>
      </c>
      <c r="S9" s="70">
        <f>F9*'Distribution Targets'!$C$34</f>
        <v/>
      </c>
      <c r="T9" s="71">
        <f>IF(M9="ER",IF(G9&lt;0.7,"BELOW 70% (P-18)",IF(G9&lt;0.75,"Near 70% threshold","OK")),IF(E9&lt;=9,IF(F9&lt;2,"BELOW 2–9 minimum (P-24)",IF(F9=2,"At 2–9 minimum","OK")),IF(F9&lt;5,"BELOW 10–500 minimum (P-23)",IF(F9&lt;7,"Near 10–500 minimum","OK"))))</f>
        <v/>
      </c>
      <c r="U9" s="71">
        <f>IF(O9&gt;=28,"A — anchor",IF(O9&gt;=10,"B — heavy",IF(O9&gt;=4,"C — moderate","D — tail")))</f>
        <v/>
      </c>
    </row>
    <row r="10" ht="15" customHeight="1" s="48">
      <c r="A10" s="58" t="inlineStr">
        <is>
          <t>EMP-1006</t>
        </is>
      </c>
      <c r="B10" s="58" t="inlineStr">
        <is>
          <t>Park Mechanical</t>
        </is>
      </c>
      <c r="C10" s="58" t="inlineStr">
        <is>
          <t>Construction &amp; Trades</t>
        </is>
      </c>
      <c r="D10" s="58" t="inlineStr">
        <is>
          <t>High</t>
        </is>
      </c>
      <c r="E10" s="72" t="n">
        <v>120</v>
      </c>
      <c r="F10" s="72" t="n">
        <v>42</v>
      </c>
      <c r="G10" s="73">
        <f>IFERROR(F10/E10,0)</f>
        <v/>
      </c>
      <c r="H10" s="58">
        <f>IF(E10&lt;=8,"$25",IF(E10&lt;=20,"$30",IF(E10&lt;=199,"$35","$50")))</f>
        <v/>
      </c>
      <c r="I10" s="58">
        <f>IF(E10&lt;=19,"Cal-COBRA","Federal COBRA")</f>
        <v/>
      </c>
      <c r="J10" s="58" t="inlineStr">
        <is>
          <t>Bay Area</t>
        </is>
      </c>
      <c r="K10" s="58" t="inlineStr">
        <is>
          <t>Jan</t>
        </is>
      </c>
      <c r="L10" s="58" t="inlineStr">
        <is>
          <t>BRK-03</t>
        </is>
      </c>
      <c r="M10" s="58" t="inlineStr">
        <is>
          <t>VOL</t>
        </is>
      </c>
      <c r="N10" s="58" t="inlineStr">
        <is>
          <t>Dental</t>
        </is>
      </c>
      <c r="O10" s="58" t="n">
        <v>28</v>
      </c>
      <c r="P10" s="58" t="n">
        <v>19</v>
      </c>
      <c r="Q10" s="58" t="n">
        <v>9</v>
      </c>
      <c r="R10" s="66">
        <f>IFERROR(O10/F10*100,0)</f>
        <v/>
      </c>
      <c r="S10" s="70">
        <f>F10*'Distribution Targets'!$C$34</f>
        <v/>
      </c>
      <c r="T10" s="71">
        <f>IF(M10="ER",IF(G10&lt;0.7,"BELOW 70% (P-18)",IF(G10&lt;0.75,"Near 70% threshold","OK")),IF(E10&lt;=9,IF(F10&lt;2,"BELOW 2–9 minimum (P-24)",IF(F10=2,"At 2–9 minimum","OK")),IF(F10&lt;5,"BELOW 10–500 minimum (P-23)",IF(F10&lt;7,"Near 10–500 minimum","OK"))))</f>
        <v/>
      </c>
      <c r="U10" s="71">
        <f>IF(O10&gt;=28,"A — anchor",IF(O10&gt;=10,"B — heavy",IF(O10&gt;=4,"C — moderate","D — tail")))</f>
        <v/>
      </c>
    </row>
    <row r="11" ht="15" customHeight="1" s="48">
      <c r="A11" s="56" t="inlineStr">
        <is>
          <t>EMP-1007</t>
        </is>
      </c>
      <c r="B11" s="56" t="inlineStr">
        <is>
          <t>Vasquez Transport</t>
        </is>
      </c>
      <c r="C11" s="56" t="inlineStr">
        <is>
          <t>Logistics &amp; Transport</t>
        </is>
      </c>
      <c r="D11" s="56" t="inlineStr">
        <is>
          <t>Medium</t>
        </is>
      </c>
      <c r="E11" s="68" t="n">
        <v>280</v>
      </c>
      <c r="F11" s="68" t="n">
        <v>263</v>
      </c>
      <c r="G11" s="69">
        <f>IFERROR(F11/E11,0)</f>
        <v/>
      </c>
      <c r="H11" s="56">
        <f>IF(E11&lt;=8,"$25",IF(E11&lt;=20,"$30",IF(E11&lt;=199,"$35","$50")))</f>
        <v/>
      </c>
      <c r="I11" s="56">
        <f>IF(E11&lt;=19,"Cal-COBRA","Federal COBRA")</f>
        <v/>
      </c>
      <c r="J11" s="56" t="inlineStr">
        <is>
          <t>Orange County</t>
        </is>
      </c>
      <c r="K11" s="56" t="inlineStr">
        <is>
          <t>Jan</t>
        </is>
      </c>
      <c r="L11" s="56" t="inlineStr">
        <is>
          <t>BRK-02</t>
        </is>
      </c>
      <c r="M11" s="56" t="inlineStr">
        <is>
          <t>ER</t>
        </is>
      </c>
      <c r="N11" s="56" t="inlineStr">
        <is>
          <t>Dental + Life</t>
        </is>
      </c>
      <c r="O11" s="56" t="n">
        <v>16</v>
      </c>
      <c r="P11" s="56" t="n">
        <v>10</v>
      </c>
      <c r="Q11" s="56" t="n">
        <v>6</v>
      </c>
      <c r="R11" s="65">
        <f>IFERROR(O11/F11*100,0)</f>
        <v/>
      </c>
      <c r="S11" s="70">
        <f>F11*'Distribution Targets'!$C$34</f>
        <v/>
      </c>
      <c r="T11" s="71">
        <f>IF(M11="ER",IF(G11&lt;0.7,"BELOW 70% (P-18)",IF(G11&lt;0.75,"Near 70% threshold","OK")),IF(E11&lt;=9,IF(F11&lt;2,"BELOW 2–9 minimum (P-24)",IF(F11=2,"At 2–9 minimum","OK")),IF(F11&lt;5,"BELOW 10–500 minimum (P-23)",IF(F11&lt;7,"Near 10–500 minimum","OK"))))</f>
        <v/>
      </c>
      <c r="U11" s="71">
        <f>IF(O11&gt;=28,"A — anchor",IF(O11&gt;=10,"B — heavy",IF(O11&gt;=4,"C — moderate","D — tail")))</f>
        <v/>
      </c>
    </row>
    <row r="12" ht="15" customHeight="1" s="48">
      <c r="A12" s="58" t="inlineStr">
        <is>
          <t>EMP-1008</t>
        </is>
      </c>
      <c r="B12" s="58" t="inlineStr">
        <is>
          <t>Cornerstone Associates</t>
        </is>
      </c>
      <c r="C12" s="58" t="inlineStr">
        <is>
          <t>Professional Services</t>
        </is>
      </c>
      <c r="D12" s="58" t="inlineStr">
        <is>
          <t>Low</t>
        </is>
      </c>
      <c r="E12" s="72" t="n">
        <v>210</v>
      </c>
      <c r="F12" s="72" t="n">
        <v>126</v>
      </c>
      <c r="G12" s="73">
        <f>IFERROR(F12/E12,0)</f>
        <v/>
      </c>
      <c r="H12" s="58">
        <f>IF(E12&lt;=8,"$25",IF(E12&lt;=20,"$30",IF(E12&lt;=199,"$35","$50")))</f>
        <v/>
      </c>
      <c r="I12" s="58">
        <f>IF(E12&lt;=19,"Cal-COBRA","Federal COBRA")</f>
        <v/>
      </c>
      <c r="J12" s="58" t="inlineStr">
        <is>
          <t>Los Angeles</t>
        </is>
      </c>
      <c r="K12" s="58" t="inlineStr">
        <is>
          <t>Apr</t>
        </is>
      </c>
      <c r="L12" s="58" t="inlineStr">
        <is>
          <t>BRK-03</t>
        </is>
      </c>
      <c r="M12" s="58" t="inlineStr">
        <is>
          <t>VOL</t>
        </is>
      </c>
      <c r="N12" s="58" t="inlineStr">
        <is>
          <t>Dental + Vision</t>
        </is>
      </c>
      <c r="O12" s="58" t="n">
        <v>15</v>
      </c>
      <c r="P12" s="58" t="n">
        <v>9</v>
      </c>
      <c r="Q12" s="58" t="n">
        <v>6</v>
      </c>
      <c r="R12" s="66">
        <f>IFERROR(O12/F12*100,0)</f>
        <v/>
      </c>
      <c r="S12" s="70">
        <f>F12*'Distribution Targets'!$C$34</f>
        <v/>
      </c>
      <c r="T12" s="71">
        <f>IF(M12="ER",IF(G12&lt;0.7,"BELOW 70% (P-18)",IF(G12&lt;0.75,"Near 70% threshold","OK")),IF(E12&lt;=9,IF(F12&lt;2,"BELOW 2–9 minimum (P-24)",IF(F12=2,"At 2–9 minimum","OK")),IF(F12&lt;5,"BELOW 10–500 minimum (P-23)",IF(F12&lt;7,"Near 10–500 minimum","OK"))))</f>
        <v/>
      </c>
      <c r="U12" s="71">
        <f>IF(O12&gt;=28,"A — anchor",IF(O12&gt;=10,"B — heavy",IF(O12&gt;=4,"C — moderate","D — tail")))</f>
        <v/>
      </c>
    </row>
    <row r="13" ht="15" customHeight="1" s="48">
      <c r="A13" s="56" t="inlineStr">
        <is>
          <t>EMP-1009</t>
        </is>
      </c>
      <c r="B13" s="56" t="inlineStr">
        <is>
          <t>Harborview Technologies</t>
        </is>
      </c>
      <c r="C13" s="56" t="inlineStr">
        <is>
          <t>Technology</t>
        </is>
      </c>
      <c r="D13" s="56" t="inlineStr">
        <is>
          <t>Low</t>
        </is>
      </c>
      <c r="E13" s="68" t="n">
        <v>165</v>
      </c>
      <c r="F13" s="68" t="n">
        <v>112</v>
      </c>
      <c r="G13" s="69">
        <f>IFERROR(F13/E13,0)</f>
        <v/>
      </c>
      <c r="H13" s="56">
        <f>IF(E13&lt;=8,"$25",IF(E13&lt;=20,"$30",IF(E13&lt;=199,"$35","$50")))</f>
        <v/>
      </c>
      <c r="I13" s="56">
        <f>IF(E13&lt;=19,"Cal-COBRA","Federal COBRA")</f>
        <v/>
      </c>
      <c r="J13" s="56" t="inlineStr">
        <is>
          <t>San Diego</t>
        </is>
      </c>
      <c r="K13" s="56" t="inlineStr">
        <is>
          <t>Jan</t>
        </is>
      </c>
      <c r="L13" s="56" t="inlineStr">
        <is>
          <t>BRK-01</t>
        </is>
      </c>
      <c r="M13" s="56" t="inlineStr">
        <is>
          <t>ER</t>
        </is>
      </c>
      <c r="N13" s="56" t="inlineStr">
        <is>
          <t>Dental</t>
        </is>
      </c>
      <c r="O13" s="56" t="n">
        <v>15</v>
      </c>
      <c r="P13" s="56" t="n">
        <v>9</v>
      </c>
      <c r="Q13" s="56" t="n">
        <v>6</v>
      </c>
      <c r="R13" s="65">
        <f>IFERROR(O13/F13*100,0)</f>
        <v/>
      </c>
      <c r="S13" s="70">
        <f>F13*'Distribution Targets'!$C$34</f>
        <v/>
      </c>
      <c r="T13" s="71">
        <f>IF(M13="ER",IF(G13&lt;0.7,"BELOW 70% (P-18)",IF(G13&lt;0.75,"Near 70% threshold","OK")),IF(E13&lt;=9,IF(F13&lt;2,"BELOW 2–9 minimum (P-24)",IF(F13=2,"At 2–9 minimum","OK")),IF(F13&lt;5,"BELOW 10–500 minimum (P-23)",IF(F13&lt;7,"Near 10–500 minimum","OK"))))</f>
        <v/>
      </c>
      <c r="U13" s="71">
        <f>IF(O13&gt;=28,"A — anchor",IF(O13&gt;=10,"B — heavy",IF(O13&gt;=4,"C — moderate","D — tail")))</f>
        <v/>
      </c>
    </row>
    <row r="14" ht="15" customHeight="1" s="48">
      <c r="A14" s="58" t="inlineStr">
        <is>
          <t>EMP-1010</t>
        </is>
      </c>
      <c r="B14" s="58" t="inlineStr">
        <is>
          <t>Alderbrook Workforce Partners</t>
        </is>
      </c>
      <c r="C14" s="58" t="inlineStr">
        <is>
          <t>Staffing &amp; Recruitment</t>
        </is>
      </c>
      <c r="D14" s="58" t="inlineStr">
        <is>
          <t>High</t>
        </is>
      </c>
      <c r="E14" s="72" t="n">
        <v>150</v>
      </c>
      <c r="F14" s="72" t="n">
        <v>90</v>
      </c>
      <c r="G14" s="73">
        <f>IFERROR(F14/E14,0)</f>
        <v/>
      </c>
      <c r="H14" s="58">
        <f>IF(E14&lt;=8,"$25",IF(E14&lt;=20,"$30",IF(E14&lt;=199,"$35","$50")))</f>
        <v/>
      </c>
      <c r="I14" s="58">
        <f>IF(E14&lt;=19,"Cal-COBRA","Federal COBRA")</f>
        <v/>
      </c>
      <c r="J14" s="58" t="inlineStr">
        <is>
          <t>Inland Empire</t>
        </is>
      </c>
      <c r="K14" s="58" t="inlineStr">
        <is>
          <t>May</t>
        </is>
      </c>
      <c r="L14" s="58" t="inlineStr">
        <is>
          <t>BRK-06</t>
        </is>
      </c>
      <c r="M14" s="58" t="inlineStr">
        <is>
          <t>VOL</t>
        </is>
      </c>
      <c r="N14" s="58" t="inlineStr">
        <is>
          <t>Dental + Vision</t>
        </is>
      </c>
      <c r="O14" s="58" t="n">
        <v>14</v>
      </c>
      <c r="P14" s="58" t="n">
        <v>10</v>
      </c>
      <c r="Q14" s="58" t="n">
        <v>4</v>
      </c>
      <c r="R14" s="66">
        <f>IFERROR(O14/F14*100,0)</f>
        <v/>
      </c>
      <c r="S14" s="70">
        <f>F14*'Distribution Targets'!$C$34</f>
        <v/>
      </c>
      <c r="T14" s="71">
        <f>IF(M14="ER",IF(G14&lt;0.7,"BELOW 70% (P-18)",IF(G14&lt;0.75,"Near 70% threshold","OK")),IF(E14&lt;=9,IF(F14&lt;2,"BELOW 2–9 minimum (P-24)",IF(F14=2,"At 2–9 minimum","OK")),IF(F14&lt;5,"BELOW 10–500 minimum (P-23)",IF(F14&lt;7,"Near 10–500 minimum","OK"))))</f>
        <v/>
      </c>
      <c r="U14" s="71">
        <f>IF(O14&gt;=28,"A — anchor",IF(O14&gt;=10,"B — heavy",IF(O14&gt;=4,"C — moderate","D — tail")))</f>
        <v/>
      </c>
    </row>
    <row r="15" ht="15" customHeight="1" s="48">
      <c r="A15" s="56" t="inlineStr">
        <is>
          <t>EMP-1011</t>
        </is>
      </c>
      <c r="B15" s="56" t="inlineStr">
        <is>
          <t>Foxglove Restaurant Group</t>
        </is>
      </c>
      <c r="C15" s="56" t="inlineStr">
        <is>
          <t>Hospitality &amp; Food Service</t>
        </is>
      </c>
      <c r="D15" s="56" t="inlineStr">
        <is>
          <t>High</t>
        </is>
      </c>
      <c r="E15" s="68" t="n">
        <v>130</v>
      </c>
      <c r="F15" s="68" t="n">
        <v>112</v>
      </c>
      <c r="G15" s="69">
        <f>IFERROR(F15/E15,0)</f>
        <v/>
      </c>
      <c r="H15" s="56">
        <f>IF(E15&lt;=8,"$25",IF(E15&lt;=20,"$30",IF(E15&lt;=199,"$35","$50")))</f>
        <v/>
      </c>
      <c r="I15" s="56">
        <f>IF(E15&lt;=19,"Cal-COBRA","Federal COBRA")</f>
        <v/>
      </c>
      <c r="J15" s="56" t="inlineStr">
        <is>
          <t>Central Valley</t>
        </is>
      </c>
      <c r="K15" s="56" t="inlineStr">
        <is>
          <t>Jun</t>
        </is>
      </c>
      <c r="L15" s="56" t="inlineStr">
        <is>
          <t>BRK-09</t>
        </is>
      </c>
      <c r="M15" s="56" t="inlineStr">
        <is>
          <t>ER</t>
        </is>
      </c>
      <c r="N15" s="56" t="inlineStr">
        <is>
          <t>Dental + Vision + Life + Chiro</t>
        </is>
      </c>
      <c r="O15" s="56" t="n">
        <v>14</v>
      </c>
      <c r="P15" s="56" t="n">
        <v>10</v>
      </c>
      <c r="Q15" s="56" t="n">
        <v>4</v>
      </c>
      <c r="R15" s="65">
        <f>IFERROR(O15/F15*100,0)</f>
        <v/>
      </c>
      <c r="S15" s="70">
        <f>F15*'Distribution Targets'!$C$34</f>
        <v/>
      </c>
      <c r="T15" s="71">
        <f>IF(M15="ER",IF(G15&lt;0.7,"BELOW 70% (P-18)",IF(G15&lt;0.75,"Near 70% threshold","OK")),IF(E15&lt;=9,IF(F15&lt;2,"BELOW 2–9 minimum (P-24)",IF(F15=2,"At 2–9 minimum","OK")),IF(F15&lt;5,"BELOW 10–500 minimum (P-23)",IF(F15&lt;7,"Near 10–500 minimum","OK"))))</f>
        <v/>
      </c>
      <c r="U15" s="71">
        <f>IF(O15&gt;=28,"A — anchor",IF(O15&gt;=10,"B — heavy",IF(O15&gt;=4,"C — moderate","D — tail")))</f>
        <v/>
      </c>
    </row>
    <row r="16" ht="15" customHeight="1" s="48">
      <c r="A16" s="58" t="inlineStr">
        <is>
          <t>EMP-1012</t>
        </is>
      </c>
      <c r="B16" s="58" t="inlineStr">
        <is>
          <t>Rosewood Construction</t>
        </is>
      </c>
      <c r="C16" s="58" t="inlineStr">
        <is>
          <t>Construction &amp; Trades</t>
        </is>
      </c>
      <c r="D16" s="58" t="inlineStr">
        <is>
          <t>High</t>
        </is>
      </c>
      <c r="E16" s="72" t="n">
        <v>120</v>
      </c>
      <c r="F16" s="72" t="n">
        <v>42</v>
      </c>
      <c r="G16" s="73">
        <f>IFERROR(F16/E16,0)</f>
        <v/>
      </c>
      <c r="H16" s="58">
        <f>IF(E16&lt;=8,"$25",IF(E16&lt;=20,"$30",IF(E16&lt;=199,"$35","$50")))</f>
        <v/>
      </c>
      <c r="I16" s="58">
        <f>IF(E16&lt;=19,"Cal-COBRA","Federal COBRA")</f>
        <v/>
      </c>
      <c r="J16" s="58" t="inlineStr">
        <is>
          <t>Bay Area</t>
        </is>
      </c>
      <c r="K16" s="58" t="inlineStr">
        <is>
          <t>Jan</t>
        </is>
      </c>
      <c r="L16" s="58" t="inlineStr">
        <is>
          <t>BRK-03</t>
        </is>
      </c>
      <c r="M16" s="58" t="inlineStr">
        <is>
          <t>VOL</t>
        </is>
      </c>
      <c r="N16" s="58" t="inlineStr">
        <is>
          <t>Dental + Chiro</t>
        </is>
      </c>
      <c r="O16" s="58" t="n">
        <v>13</v>
      </c>
      <c r="P16" s="58" t="n">
        <v>9</v>
      </c>
      <c r="Q16" s="58" t="n">
        <v>4</v>
      </c>
      <c r="R16" s="66">
        <f>IFERROR(O16/F16*100,0)</f>
        <v/>
      </c>
      <c r="S16" s="70">
        <f>F16*'Distribution Targets'!$C$34</f>
        <v/>
      </c>
      <c r="T16" s="71">
        <f>IF(M16="ER",IF(G16&lt;0.7,"BELOW 70% (P-18)",IF(G16&lt;0.75,"Near 70% threshold","OK")),IF(E16&lt;=9,IF(F16&lt;2,"BELOW 2–9 minimum (P-24)",IF(F16=2,"At 2–9 minimum","OK")),IF(F16&lt;5,"BELOW 10–500 minimum (P-23)",IF(F16&lt;7,"Near 10–500 minimum","OK"))))</f>
        <v/>
      </c>
      <c r="U16" s="71">
        <f>IF(O16&gt;=28,"A — anchor",IF(O16&gt;=10,"B — heavy",IF(O16&gt;=4,"C — moderate","D — tail")))</f>
        <v/>
      </c>
    </row>
    <row r="17" ht="15" customHeight="1" s="48">
      <c r="A17" s="56" t="inlineStr">
        <is>
          <t>EMP-1013</t>
        </is>
      </c>
      <c r="B17" s="56" t="inlineStr">
        <is>
          <t>Kestrel Precision Tooling</t>
        </is>
      </c>
      <c r="C17" s="56" t="inlineStr">
        <is>
          <t>Manufacturing</t>
        </is>
      </c>
      <c r="D17" s="56" t="inlineStr">
        <is>
          <t>Medium</t>
        </is>
      </c>
      <c r="E17" s="68" t="n">
        <v>110</v>
      </c>
      <c r="F17" s="68" t="n">
        <v>75</v>
      </c>
      <c r="G17" s="69">
        <f>IFERROR(F17/E17,0)</f>
        <v/>
      </c>
      <c r="H17" s="56">
        <f>IF(E17&lt;=8,"$25",IF(E17&lt;=20,"$30",IF(E17&lt;=199,"$35","$50")))</f>
        <v/>
      </c>
      <c r="I17" s="56">
        <f>IF(E17&lt;=19,"Cal-COBRA","Federal COBRA")</f>
        <v/>
      </c>
      <c r="J17" s="56" t="inlineStr">
        <is>
          <t>Orange County</t>
        </is>
      </c>
      <c r="K17" s="56" t="inlineStr">
        <is>
          <t>Jul</t>
        </is>
      </c>
      <c r="L17" s="56" t="inlineStr">
        <is>
          <t>BRK-01</t>
        </is>
      </c>
      <c r="M17" s="56" t="inlineStr">
        <is>
          <t>ER</t>
        </is>
      </c>
      <c r="N17" s="56" t="inlineStr">
        <is>
          <t>Dental + Vision + Life</t>
        </is>
      </c>
      <c r="O17" s="56" t="n">
        <v>13</v>
      </c>
      <c r="P17" s="56" t="n">
        <v>9</v>
      </c>
      <c r="Q17" s="56" t="n">
        <v>4</v>
      </c>
      <c r="R17" s="65">
        <f>IFERROR(O17/F17*100,0)</f>
        <v/>
      </c>
      <c r="S17" s="70">
        <f>F17*'Distribution Targets'!$C$34</f>
        <v/>
      </c>
      <c r="T17" s="71">
        <f>IF(M17="ER",IF(G17&lt;0.7,"BELOW 70% (P-18)",IF(G17&lt;0.75,"Near 70% threshold","OK")),IF(E17&lt;=9,IF(F17&lt;2,"BELOW 2–9 minimum (P-24)",IF(F17=2,"At 2–9 minimum","OK")),IF(F17&lt;5,"BELOW 10–500 minimum (P-23)",IF(F17&lt;7,"Near 10–500 minimum","OK"))))</f>
        <v/>
      </c>
      <c r="U17" s="71">
        <f>IF(O17&gt;=28,"A — anchor",IF(O17&gt;=10,"B — heavy",IF(O17&gt;=4,"C — moderate","D — tail")))</f>
        <v/>
      </c>
    </row>
    <row r="18" ht="15" customHeight="1" s="48">
      <c r="A18" s="58" t="inlineStr">
        <is>
          <t>EMP-1014</t>
        </is>
      </c>
      <c r="B18" s="58" t="inlineStr">
        <is>
          <t>Tulare Dental Partners</t>
        </is>
      </c>
      <c r="C18" s="58" t="inlineStr">
        <is>
          <t>Healthcare Services</t>
        </is>
      </c>
      <c r="D18" s="58" t="inlineStr">
        <is>
          <t>Medium</t>
        </is>
      </c>
      <c r="E18" s="72" t="n">
        <v>100</v>
      </c>
      <c r="F18" s="72" t="n">
        <v>35</v>
      </c>
      <c r="G18" s="73">
        <f>IFERROR(F18/E18,0)</f>
        <v/>
      </c>
      <c r="H18" s="58">
        <f>IF(E18&lt;=8,"$25",IF(E18&lt;=20,"$30",IF(E18&lt;=199,"$35","$50")))</f>
        <v/>
      </c>
      <c r="I18" s="58">
        <f>IF(E18&lt;=19,"Cal-COBRA","Federal COBRA")</f>
        <v/>
      </c>
      <c r="J18" s="58" t="inlineStr">
        <is>
          <t>Los Angeles</t>
        </is>
      </c>
      <c r="K18" s="58" t="inlineStr">
        <is>
          <t>Aug</t>
        </is>
      </c>
      <c r="L18" s="58" t="inlineStr">
        <is>
          <t>BRK-07</t>
        </is>
      </c>
      <c r="M18" s="58" t="inlineStr">
        <is>
          <t>VOL</t>
        </is>
      </c>
      <c r="N18" s="58" t="inlineStr">
        <is>
          <t>Dental + Vision</t>
        </is>
      </c>
      <c r="O18" s="58" t="n">
        <v>12</v>
      </c>
      <c r="P18" s="58" t="n">
        <v>8</v>
      </c>
      <c r="Q18" s="58" t="n">
        <v>4</v>
      </c>
      <c r="R18" s="66">
        <f>IFERROR(O18/F18*100,0)</f>
        <v/>
      </c>
      <c r="S18" s="70">
        <f>F18*'Distribution Targets'!$C$34</f>
        <v/>
      </c>
      <c r="T18" s="71">
        <f>IF(M18="ER",IF(G18&lt;0.7,"BELOW 70% (P-18)",IF(G18&lt;0.75,"Near 70% threshold","OK")),IF(E18&lt;=9,IF(F18&lt;2,"BELOW 2–9 minimum (P-24)",IF(F18=2,"At 2–9 minimum","OK")),IF(F18&lt;5,"BELOW 10–500 minimum (P-23)",IF(F18&lt;7,"Near 10–500 minimum","OK"))))</f>
        <v/>
      </c>
      <c r="U18" s="71">
        <f>IF(O18&gt;=28,"A — anchor",IF(O18&gt;=10,"B — heavy",IF(O18&gt;=4,"C — moderate","D — tail")))</f>
        <v/>
      </c>
    </row>
    <row r="19" ht="15" customHeight="1" s="48">
      <c r="A19" s="56" t="inlineStr">
        <is>
          <t>EMP-1015</t>
        </is>
      </c>
      <c r="B19" s="56" t="inlineStr">
        <is>
          <t>Marisol Supply Co</t>
        </is>
      </c>
      <c r="C19" s="56" t="inlineStr">
        <is>
          <t>Retail</t>
        </is>
      </c>
      <c r="D19" s="56" t="inlineStr">
        <is>
          <t>Medium</t>
        </is>
      </c>
      <c r="E19" s="68" t="n">
        <v>88</v>
      </c>
      <c r="F19" s="68" t="n">
        <v>60</v>
      </c>
      <c r="G19" s="69">
        <f>IFERROR(F19/E19,0)</f>
        <v/>
      </c>
      <c r="H19" s="56">
        <f>IF(E19&lt;=8,"$25",IF(E19&lt;=20,"$30",IF(E19&lt;=199,"$35","$50")))</f>
        <v/>
      </c>
      <c r="I19" s="56">
        <f>IF(E19&lt;=19,"Cal-COBRA","Federal COBRA")</f>
        <v/>
      </c>
      <c r="J19" s="56" t="inlineStr">
        <is>
          <t>San Diego</t>
        </is>
      </c>
      <c r="K19" s="56" t="inlineStr">
        <is>
          <t>Jan</t>
        </is>
      </c>
      <c r="L19" s="56" t="inlineStr">
        <is>
          <t>BRK-08</t>
        </is>
      </c>
      <c r="M19" s="56" t="inlineStr">
        <is>
          <t>ER</t>
        </is>
      </c>
      <c r="N19" s="56" t="inlineStr">
        <is>
          <t>Dental + Vision + Life</t>
        </is>
      </c>
      <c r="O19" s="56" t="n">
        <v>12</v>
      </c>
      <c r="P19" s="56" t="n">
        <v>8</v>
      </c>
      <c r="Q19" s="56" t="n">
        <v>4</v>
      </c>
      <c r="R19" s="65">
        <f>IFERROR(O19/F19*100,0)</f>
        <v/>
      </c>
      <c r="S19" s="70">
        <f>F19*'Distribution Targets'!$C$34</f>
        <v/>
      </c>
      <c r="T19" s="71">
        <f>IF(M19="ER",IF(G19&lt;0.7,"BELOW 70% (P-18)",IF(G19&lt;0.75,"Near 70% threshold","OK")),IF(E19&lt;=9,IF(F19&lt;2,"BELOW 2–9 minimum (P-24)",IF(F19=2,"At 2–9 minimum","OK")),IF(F19&lt;5,"BELOW 10–500 minimum (P-23)",IF(F19&lt;7,"Near 10–500 minimum","OK"))))</f>
        <v/>
      </c>
      <c r="U19" s="71">
        <f>IF(O19&gt;=28,"A — anchor",IF(O19&gt;=10,"B — heavy",IF(O19&gt;=4,"C — moderate","D — tail")))</f>
        <v/>
      </c>
    </row>
    <row r="20" ht="15" customHeight="1" s="48">
      <c r="A20" s="58" t="inlineStr">
        <is>
          <t>EMP-1016</t>
        </is>
      </c>
      <c r="B20" s="58" t="inlineStr">
        <is>
          <t>Ironwood Transport</t>
        </is>
      </c>
      <c r="C20" s="58" t="inlineStr">
        <is>
          <t>Logistics &amp; Transport</t>
        </is>
      </c>
      <c r="D20" s="58" t="inlineStr">
        <is>
          <t>Medium</t>
        </is>
      </c>
      <c r="E20" s="72" t="n">
        <v>80</v>
      </c>
      <c r="F20" s="72" t="n">
        <v>38</v>
      </c>
      <c r="G20" s="73">
        <f>IFERROR(F20/E20,0)</f>
        <v/>
      </c>
      <c r="H20" s="58">
        <f>IF(E20&lt;=8,"$25",IF(E20&lt;=20,"$30",IF(E20&lt;=199,"$35","$50")))</f>
        <v/>
      </c>
      <c r="I20" s="58">
        <f>IF(E20&lt;=19,"Cal-COBRA","Federal COBRA")</f>
        <v/>
      </c>
      <c r="J20" s="58" t="inlineStr">
        <is>
          <t>Inland Empire</t>
        </is>
      </c>
      <c r="K20" s="58" t="inlineStr">
        <is>
          <t>Sep</t>
        </is>
      </c>
      <c r="L20" s="58" t="inlineStr">
        <is>
          <t>BRK-05</t>
        </is>
      </c>
      <c r="M20" s="58" t="inlineStr">
        <is>
          <t>VOL</t>
        </is>
      </c>
      <c r="N20" s="58" t="inlineStr">
        <is>
          <t>Dental + Vision + Chiro</t>
        </is>
      </c>
      <c r="O20" s="58" t="n">
        <v>11</v>
      </c>
      <c r="P20" s="58" t="n">
        <v>8</v>
      </c>
      <c r="Q20" s="58" t="n">
        <v>3</v>
      </c>
      <c r="R20" s="66">
        <f>IFERROR(O20/F20*100,0)</f>
        <v/>
      </c>
      <c r="S20" s="70">
        <f>F20*'Distribution Targets'!$C$34</f>
        <v/>
      </c>
      <c r="T20" s="71">
        <f>IF(M20="ER",IF(G20&lt;0.7,"BELOW 70% (P-18)",IF(G20&lt;0.75,"Near 70% threshold","OK")),IF(E20&lt;=9,IF(F20&lt;2,"BELOW 2–9 minimum (P-24)",IF(F20=2,"At 2–9 minimum","OK")),IF(F20&lt;5,"BELOW 10–500 minimum (P-23)",IF(F20&lt;7,"Near 10–500 minimum","OK"))))</f>
        <v/>
      </c>
      <c r="U20" s="71">
        <f>IF(O20&gt;=28,"A — anchor",IF(O20&gt;=10,"B — heavy",IF(O20&gt;=4,"C — moderate","D — tail")))</f>
        <v/>
      </c>
    </row>
    <row r="21" ht="15" customHeight="1" s="48">
      <c r="A21" s="56" t="inlineStr">
        <is>
          <t>EMP-1017</t>
        </is>
      </c>
      <c r="B21" s="56" t="inlineStr">
        <is>
          <t>Blue Mesa Advisors</t>
        </is>
      </c>
      <c r="C21" s="56" t="inlineStr">
        <is>
          <t>Professional Services</t>
        </is>
      </c>
      <c r="D21" s="56" t="inlineStr">
        <is>
          <t>Low</t>
        </is>
      </c>
      <c r="E21" s="68" t="n">
        <v>72</v>
      </c>
      <c r="F21" s="68" t="n">
        <v>49</v>
      </c>
      <c r="G21" s="69">
        <f>IFERROR(F21/E21,0)</f>
        <v/>
      </c>
      <c r="H21" s="56">
        <f>IF(E21&lt;=8,"$25",IF(E21&lt;=20,"$30",IF(E21&lt;=199,"$35","$50")))</f>
        <v/>
      </c>
      <c r="I21" s="56">
        <f>IF(E21&lt;=19,"Cal-COBRA","Federal COBRA")</f>
        <v/>
      </c>
      <c r="J21" s="56" t="inlineStr">
        <is>
          <t>Central Valley</t>
        </is>
      </c>
      <c r="K21" s="56" t="inlineStr">
        <is>
          <t>Oct</t>
        </is>
      </c>
      <c r="L21" s="56" t="inlineStr">
        <is>
          <t>BRK-10</t>
        </is>
      </c>
      <c r="M21" s="56" t="inlineStr">
        <is>
          <t>ER</t>
        </is>
      </c>
      <c r="N21" s="56" t="inlineStr">
        <is>
          <t>Dental + Life</t>
        </is>
      </c>
      <c r="O21" s="56" t="n">
        <v>11</v>
      </c>
      <c r="P21" s="56" t="n">
        <v>8</v>
      </c>
      <c r="Q21" s="56" t="n">
        <v>3</v>
      </c>
      <c r="R21" s="65">
        <f>IFERROR(O21/F21*100,0)</f>
        <v/>
      </c>
      <c r="S21" s="70">
        <f>F21*'Distribution Targets'!$C$34</f>
        <v/>
      </c>
      <c r="T21" s="71">
        <f>IF(M21="ER",IF(G21&lt;0.7,"BELOW 70% (P-18)",IF(G21&lt;0.75,"Near 70% threshold","OK")),IF(E21&lt;=9,IF(F21&lt;2,"BELOW 2–9 minimum (P-24)",IF(F21=2,"At 2–9 minimum","OK")),IF(F21&lt;5,"BELOW 10–500 minimum (P-23)",IF(F21&lt;7,"Near 10–500 minimum","OK"))))</f>
        <v/>
      </c>
      <c r="U21" s="71">
        <f>IF(O21&gt;=28,"A — anchor",IF(O21&gt;=10,"B — heavy",IF(O21&gt;=4,"C — moderate","D — tail")))</f>
        <v/>
      </c>
    </row>
    <row r="22" ht="15" customHeight="1" s="48">
      <c r="A22" s="58" t="inlineStr">
        <is>
          <t>EMP-1018</t>
        </is>
      </c>
      <c r="B22" s="58" t="inlineStr">
        <is>
          <t>Halcyon Data Group</t>
        </is>
      </c>
      <c r="C22" s="58" t="inlineStr">
        <is>
          <t>Technology</t>
        </is>
      </c>
      <c r="D22" s="58" t="inlineStr">
        <is>
          <t>Low</t>
        </is>
      </c>
      <c r="E22" s="72" t="n">
        <v>66</v>
      </c>
      <c r="F22" s="72" t="n">
        <v>32</v>
      </c>
      <c r="G22" s="73">
        <f>IFERROR(F22/E22,0)</f>
        <v/>
      </c>
      <c r="H22" s="58">
        <f>IF(E22&lt;=8,"$25",IF(E22&lt;=20,"$30",IF(E22&lt;=199,"$35","$50")))</f>
        <v/>
      </c>
      <c r="I22" s="58">
        <f>IF(E22&lt;=19,"Cal-COBRA","Federal COBRA")</f>
        <v/>
      </c>
      <c r="J22" s="58" t="inlineStr">
        <is>
          <t>Bay Area</t>
        </is>
      </c>
      <c r="K22" s="58" t="inlineStr">
        <is>
          <t>Jan</t>
        </is>
      </c>
      <c r="L22" s="58" t="inlineStr">
        <is>
          <t>BRK-26</t>
        </is>
      </c>
      <c r="M22" s="58" t="inlineStr">
        <is>
          <t>VOL</t>
        </is>
      </c>
      <c r="N22" s="58" t="inlineStr">
        <is>
          <t>Dental + Vision</t>
        </is>
      </c>
      <c r="O22" s="58" t="n">
        <v>10</v>
      </c>
      <c r="P22" s="58" t="n">
        <v>7</v>
      </c>
      <c r="Q22" s="58" t="n">
        <v>3</v>
      </c>
      <c r="R22" s="66">
        <f>IFERROR(O22/F22*100,0)</f>
        <v/>
      </c>
      <c r="S22" s="70">
        <f>F22*'Distribution Targets'!$C$34</f>
        <v/>
      </c>
      <c r="T22" s="71">
        <f>IF(M22="ER",IF(G22&lt;0.7,"BELOW 70% (P-18)",IF(G22&lt;0.75,"Near 70% threshold","OK")),IF(E22&lt;=9,IF(F22&lt;2,"BELOW 2–9 minimum (P-24)",IF(F22=2,"At 2–9 minimum","OK")),IF(F22&lt;5,"BELOW 10–500 minimum (P-23)",IF(F22&lt;7,"Near 10–500 minimum","OK"))))</f>
        <v/>
      </c>
      <c r="U22" s="71">
        <f>IF(O22&gt;=28,"A — anchor",IF(O22&gt;=10,"B — heavy",IF(O22&gt;=4,"C — moderate","D — tail")))</f>
        <v/>
      </c>
    </row>
    <row r="23" ht="15" customHeight="1" s="48">
      <c r="A23" s="56" t="inlineStr">
        <is>
          <t>EMP-1019</t>
        </is>
      </c>
      <c r="B23" s="56" t="inlineStr">
        <is>
          <t>Northgate Personnel Group</t>
        </is>
      </c>
      <c r="C23" s="56" t="inlineStr">
        <is>
          <t>Staffing &amp; Recruitment</t>
        </is>
      </c>
      <c r="D23" s="56" t="inlineStr">
        <is>
          <t>High</t>
        </is>
      </c>
      <c r="E23" s="68" t="n">
        <v>60</v>
      </c>
      <c r="F23" s="68" t="n">
        <v>43</v>
      </c>
      <c r="G23" s="69">
        <f>IFERROR(F23/E23,0)</f>
        <v/>
      </c>
      <c r="H23" s="56">
        <f>IF(E23&lt;=8,"$25",IF(E23&lt;=20,"$30",IF(E23&lt;=199,"$35","$50")))</f>
        <v/>
      </c>
      <c r="I23" s="56">
        <f>IF(E23&lt;=19,"Cal-COBRA","Federal COBRA")</f>
        <v/>
      </c>
      <c r="J23" s="56" t="inlineStr">
        <is>
          <t>Orange County</t>
        </is>
      </c>
      <c r="K23" s="56" t="inlineStr">
        <is>
          <t>Nov</t>
        </is>
      </c>
      <c r="L23" s="56" t="inlineStr">
        <is>
          <t>BRK-30</t>
        </is>
      </c>
      <c r="M23" s="56" t="inlineStr">
        <is>
          <t>ER</t>
        </is>
      </c>
      <c r="N23" s="56" t="inlineStr">
        <is>
          <t>Dental + Vision + Life + Chiro</t>
        </is>
      </c>
      <c r="O23" s="56" t="n">
        <v>10</v>
      </c>
      <c r="P23" s="56" t="n">
        <v>6</v>
      </c>
      <c r="Q23" s="56" t="n">
        <v>4</v>
      </c>
      <c r="R23" s="65">
        <f>IFERROR(O23/F23*100,0)</f>
        <v/>
      </c>
      <c r="S23" s="70">
        <f>F23*'Distribution Targets'!$C$34</f>
        <v/>
      </c>
      <c r="T23" s="71">
        <f>IF(M23="ER",IF(G23&lt;0.7,"BELOW 70% (P-18)",IF(G23&lt;0.75,"Near 70% threshold","OK")),IF(E23&lt;=9,IF(F23&lt;2,"BELOW 2–9 minimum (P-24)",IF(F23=2,"At 2–9 minimum","OK")),IF(F23&lt;5,"BELOW 10–500 minimum (P-23)",IF(F23&lt;7,"Near 10–500 minimum","OK"))))</f>
        <v/>
      </c>
      <c r="U23" s="71">
        <f>IF(O23&gt;=28,"A — anchor",IF(O23&gt;=10,"B — heavy",IF(O23&gt;=4,"C — moderate","D — tail")))</f>
        <v/>
      </c>
    </row>
    <row r="24" ht="15" customHeight="1" s="48">
      <c r="A24" s="58" t="inlineStr">
        <is>
          <t>EMP-1020</t>
        </is>
      </c>
      <c r="B24" s="58" t="inlineStr">
        <is>
          <t>Sandpiper Hospitality Group</t>
        </is>
      </c>
      <c r="C24" s="58" t="inlineStr">
        <is>
          <t>Hospitality &amp; Food Service</t>
        </is>
      </c>
      <c r="D24" s="58" t="inlineStr">
        <is>
          <t>High</t>
        </is>
      </c>
      <c r="E24" s="72" t="n">
        <v>205</v>
      </c>
      <c r="F24" s="72" t="n">
        <v>98</v>
      </c>
      <c r="G24" s="73">
        <f>IFERROR(F24/E24,0)</f>
        <v/>
      </c>
      <c r="H24" s="58">
        <f>IF(E24&lt;=8,"$25",IF(E24&lt;=20,"$30",IF(E24&lt;=199,"$35","$50")))</f>
        <v/>
      </c>
      <c r="I24" s="58">
        <f>IF(E24&lt;=19,"Cal-COBRA","Federal COBRA")</f>
        <v/>
      </c>
      <c r="J24" s="58" t="inlineStr">
        <is>
          <t>Los Angeles</t>
        </is>
      </c>
      <c r="K24" s="58" t="inlineStr">
        <is>
          <t>Dec</t>
        </is>
      </c>
      <c r="L24" s="58" t="inlineStr">
        <is>
          <t>BRK-02</t>
        </is>
      </c>
      <c r="M24" s="58" t="inlineStr">
        <is>
          <t>VOL</t>
        </is>
      </c>
      <c r="N24" s="58" t="inlineStr">
        <is>
          <t>Dental</t>
        </is>
      </c>
      <c r="O24" s="58" t="n">
        <v>10</v>
      </c>
      <c r="P24" s="58" t="n">
        <v>7</v>
      </c>
      <c r="Q24" s="58" t="n">
        <v>3</v>
      </c>
      <c r="R24" s="66">
        <f>IFERROR(O24/F24*100,0)</f>
        <v/>
      </c>
      <c r="S24" s="70">
        <f>F24*'Distribution Targets'!$C$34</f>
        <v/>
      </c>
      <c r="T24" s="71">
        <f>IF(M24="ER",IF(G24&lt;0.7,"BELOW 70% (P-18)",IF(G24&lt;0.75,"Near 70% threshold","OK")),IF(E24&lt;=9,IF(F24&lt;2,"BELOW 2–9 minimum (P-24)",IF(F24=2,"At 2–9 minimum","OK")),IF(F24&lt;5,"BELOW 10–500 minimum (P-23)",IF(F24&lt;7,"Near 10–500 minimum","OK"))))</f>
        <v/>
      </c>
      <c r="U24" s="71">
        <f>IF(O24&gt;=28,"A — anchor",IF(O24&gt;=10,"B — heavy",IF(O24&gt;=4,"C — moderate","D — tail")))</f>
        <v/>
      </c>
    </row>
    <row r="25" ht="15" customHeight="1" s="48">
      <c r="A25" s="56" t="inlineStr">
        <is>
          <t>EMP-1021</t>
        </is>
      </c>
      <c r="B25" s="56" t="inlineStr">
        <is>
          <t>Verdant Mechanical</t>
        </is>
      </c>
      <c r="C25" s="56" t="inlineStr">
        <is>
          <t>Construction &amp; Trades</t>
        </is>
      </c>
      <c r="D25" s="56" t="inlineStr">
        <is>
          <t>High</t>
        </is>
      </c>
      <c r="E25" s="68" t="n">
        <v>260</v>
      </c>
      <c r="F25" s="68" t="n">
        <v>125</v>
      </c>
      <c r="G25" s="69">
        <f>IFERROR(F25/E25,0)</f>
        <v/>
      </c>
      <c r="H25" s="56">
        <f>IF(E25&lt;=8,"$25",IF(E25&lt;=20,"$30",IF(E25&lt;=199,"$35","$50")))</f>
        <v/>
      </c>
      <c r="I25" s="56">
        <f>IF(E25&lt;=19,"Cal-COBRA","Federal COBRA")</f>
        <v/>
      </c>
      <c r="J25" s="56" t="inlineStr">
        <is>
          <t>San Diego</t>
        </is>
      </c>
      <c r="K25" s="56" t="inlineStr">
        <is>
          <t>Jan</t>
        </is>
      </c>
      <c r="L25" s="56" t="inlineStr">
        <is>
          <t>BRK-03</t>
        </is>
      </c>
      <c r="M25" s="56" t="inlineStr">
        <is>
          <t>VOL</t>
        </is>
      </c>
      <c r="N25" s="56" t="inlineStr">
        <is>
          <t>Dental + Chiro</t>
        </is>
      </c>
      <c r="O25" s="56" t="n">
        <v>7</v>
      </c>
      <c r="P25" s="56" t="n">
        <v>5</v>
      </c>
      <c r="Q25" s="56" t="n">
        <v>2</v>
      </c>
      <c r="R25" s="65">
        <f>IFERROR(O25/F25*100,0)</f>
        <v/>
      </c>
      <c r="S25" s="70">
        <f>F25*'Distribution Targets'!$C$34</f>
        <v/>
      </c>
      <c r="T25" s="71">
        <f>IF(M25="ER",IF(G25&lt;0.7,"BELOW 70% (P-18)",IF(G25&lt;0.75,"Near 70% threshold","OK")),IF(E25&lt;=9,IF(F25&lt;2,"BELOW 2–9 minimum (P-24)",IF(F25=2,"At 2–9 minimum","OK")),IF(F25&lt;5,"BELOW 10–500 minimum (P-23)",IF(F25&lt;7,"Near 10–500 minimum","OK"))))</f>
        <v/>
      </c>
      <c r="U25" s="71">
        <f>IF(O25&gt;=28,"A — anchor",IF(O25&gt;=10,"B — heavy",IF(O25&gt;=4,"C — moderate","D — tail")))</f>
        <v/>
      </c>
    </row>
    <row r="26" ht="15" customHeight="1" s="48">
      <c r="A26" s="58" t="inlineStr">
        <is>
          <t>EMP-1022</t>
        </is>
      </c>
      <c r="B26" s="58" t="inlineStr">
        <is>
          <t>Ashford Precision Tooling</t>
        </is>
      </c>
      <c r="C26" s="58" t="inlineStr">
        <is>
          <t>Manufacturing</t>
        </is>
      </c>
      <c r="D26" s="58" t="inlineStr">
        <is>
          <t>Medium</t>
        </is>
      </c>
      <c r="E26" s="72" t="n">
        <v>230</v>
      </c>
      <c r="F26" s="72" t="n">
        <v>216</v>
      </c>
      <c r="G26" s="73">
        <f>IFERROR(F26/E26,0)</f>
        <v/>
      </c>
      <c r="H26" s="58">
        <f>IF(E26&lt;=8,"$25",IF(E26&lt;=20,"$30",IF(E26&lt;=199,"$35","$50")))</f>
        <v/>
      </c>
      <c r="I26" s="58">
        <f>IF(E26&lt;=19,"Cal-COBRA","Federal COBRA")</f>
        <v/>
      </c>
      <c r="J26" s="58" t="inlineStr">
        <is>
          <t>Inland Empire</t>
        </is>
      </c>
      <c r="K26" s="58" t="inlineStr">
        <is>
          <t>Feb</t>
        </is>
      </c>
      <c r="L26" s="58" t="inlineStr">
        <is>
          <t>BRK-04</t>
        </is>
      </c>
      <c r="M26" s="58" t="inlineStr">
        <is>
          <t>ER</t>
        </is>
      </c>
      <c r="N26" s="58" t="inlineStr">
        <is>
          <t>Dental + Vision + Life + Chiro</t>
        </is>
      </c>
      <c r="O26" s="58" t="n">
        <v>7</v>
      </c>
      <c r="P26" s="58" t="n">
        <v>5</v>
      </c>
      <c r="Q26" s="58" t="n">
        <v>2</v>
      </c>
      <c r="R26" s="66">
        <f>IFERROR(O26/F26*100,0)</f>
        <v/>
      </c>
      <c r="S26" s="70">
        <f>F26*'Distribution Targets'!$C$34</f>
        <v/>
      </c>
      <c r="T26" s="71">
        <f>IF(M26="ER",IF(G26&lt;0.7,"BELOW 70% (P-18)",IF(G26&lt;0.75,"Near 70% threshold","OK")),IF(E26&lt;=9,IF(F26&lt;2,"BELOW 2–9 minimum (P-24)",IF(F26=2,"At 2–9 minimum","OK")),IF(F26&lt;5,"BELOW 10–500 minimum (P-23)",IF(F26&lt;7,"Near 10–500 minimum","OK"))))</f>
        <v/>
      </c>
      <c r="U26" s="71">
        <f>IF(O26&gt;=28,"A — anchor",IF(O26&gt;=10,"B — heavy",IF(O26&gt;=4,"C — moderate","D — tail")))</f>
        <v/>
      </c>
    </row>
    <row r="27" ht="15" customHeight="1" s="48">
      <c r="A27" s="56" t="inlineStr">
        <is>
          <t>EMP-1023</t>
        </is>
      </c>
      <c r="B27" s="56" t="inlineStr">
        <is>
          <t>Calloway Dental Partners</t>
        </is>
      </c>
      <c r="C27" s="56" t="inlineStr">
        <is>
          <t>Healthcare Services</t>
        </is>
      </c>
      <c r="D27" s="56" t="inlineStr">
        <is>
          <t>Medium</t>
        </is>
      </c>
      <c r="E27" s="68" t="n">
        <v>215</v>
      </c>
      <c r="F27" s="68" t="n">
        <v>129</v>
      </c>
      <c r="G27" s="69">
        <f>IFERROR(F27/E27,0)</f>
        <v/>
      </c>
      <c r="H27" s="56">
        <f>IF(E27&lt;=8,"$25",IF(E27&lt;=20,"$30",IF(E27&lt;=199,"$35","$50")))</f>
        <v/>
      </c>
      <c r="I27" s="56">
        <f>IF(E27&lt;=19,"Cal-COBRA","Federal COBRA")</f>
        <v/>
      </c>
      <c r="J27" s="56" t="inlineStr">
        <is>
          <t>Central Valley</t>
        </is>
      </c>
      <c r="K27" s="56" t="inlineStr">
        <is>
          <t>Mar</t>
        </is>
      </c>
      <c r="L27" s="56" t="inlineStr">
        <is>
          <t>BRK-05</t>
        </is>
      </c>
      <c r="M27" s="56" t="inlineStr">
        <is>
          <t>VOL</t>
        </is>
      </c>
      <c r="N27" s="56" t="inlineStr">
        <is>
          <t>Dental</t>
        </is>
      </c>
      <c r="O27" s="56" t="n">
        <v>7</v>
      </c>
      <c r="P27" s="56" t="n">
        <v>5</v>
      </c>
      <c r="Q27" s="56" t="n">
        <v>2</v>
      </c>
      <c r="R27" s="65">
        <f>IFERROR(O27/F27*100,0)</f>
        <v/>
      </c>
      <c r="S27" s="70">
        <f>F27*'Distribution Targets'!$C$34</f>
        <v/>
      </c>
      <c r="T27" s="71">
        <f>IF(M27="ER",IF(G27&lt;0.7,"BELOW 70% (P-18)",IF(G27&lt;0.75,"Near 70% threshold","OK")),IF(E27&lt;=9,IF(F27&lt;2,"BELOW 2–9 minimum (P-24)",IF(F27=2,"At 2–9 minimum","OK")),IF(F27&lt;5,"BELOW 10–500 minimum (P-23)",IF(F27&lt;7,"Near 10–500 minimum","OK"))))</f>
        <v/>
      </c>
      <c r="U27" s="71">
        <f>IF(O27&gt;=28,"A — anchor",IF(O27&gt;=10,"B — heavy",IF(O27&gt;=4,"C — moderate","D — tail")))</f>
        <v/>
      </c>
    </row>
    <row r="28" ht="15" customHeight="1" s="48">
      <c r="A28" s="58" t="inlineStr">
        <is>
          <t>EMP-1024</t>
        </is>
      </c>
      <c r="B28" s="58" t="inlineStr">
        <is>
          <t>Delmar Retail Group</t>
        </is>
      </c>
      <c r="C28" s="58" t="inlineStr">
        <is>
          <t>Retail</t>
        </is>
      </c>
      <c r="D28" s="58" t="inlineStr">
        <is>
          <t>Medium</t>
        </is>
      </c>
      <c r="E28" s="72" t="n">
        <v>205</v>
      </c>
      <c r="F28" s="72" t="n">
        <v>176</v>
      </c>
      <c r="G28" s="73">
        <f>IFERROR(F28/E28,0)</f>
        <v/>
      </c>
      <c r="H28" s="58">
        <f>IF(E28&lt;=8,"$25",IF(E28&lt;=20,"$30",IF(E28&lt;=199,"$35","$50")))</f>
        <v/>
      </c>
      <c r="I28" s="58">
        <f>IF(E28&lt;=19,"Cal-COBRA","Federal COBRA")</f>
        <v/>
      </c>
      <c r="J28" s="58" t="inlineStr">
        <is>
          <t>Bay Area</t>
        </is>
      </c>
      <c r="K28" s="58" t="inlineStr">
        <is>
          <t>Apr</t>
        </is>
      </c>
      <c r="L28" s="58" t="inlineStr">
        <is>
          <t>BRK-06</t>
        </is>
      </c>
      <c r="M28" s="58" t="inlineStr">
        <is>
          <t>ER</t>
        </is>
      </c>
      <c r="N28" s="58" t="inlineStr">
        <is>
          <t>Dental + Vision + Chiro</t>
        </is>
      </c>
      <c r="O28" s="58" t="n">
        <v>6</v>
      </c>
      <c r="P28" s="58" t="n">
        <v>4</v>
      </c>
      <c r="Q28" s="58" t="n">
        <v>2</v>
      </c>
      <c r="R28" s="66">
        <f>IFERROR(O28/F28*100,0)</f>
        <v/>
      </c>
      <c r="S28" s="70">
        <f>F28*'Distribution Targets'!$C$34</f>
        <v/>
      </c>
      <c r="T28" s="71">
        <f>IF(M28="ER",IF(G28&lt;0.7,"BELOW 70% (P-18)",IF(G28&lt;0.75,"Near 70% threshold","OK")),IF(E28&lt;=9,IF(F28&lt;2,"BELOW 2–9 minimum (P-24)",IF(F28=2,"At 2–9 minimum","OK")),IF(F28&lt;5,"BELOW 10–500 minimum (P-23)",IF(F28&lt;7,"Near 10–500 minimum","OK"))))</f>
        <v/>
      </c>
      <c r="U28" s="71">
        <f>IF(O28&gt;=28,"A — anchor",IF(O28&gt;=10,"B — heavy",IF(O28&gt;=4,"C — moderate","D — tail")))</f>
        <v/>
      </c>
    </row>
    <row r="29" ht="15" customHeight="1" s="48">
      <c r="A29" s="56" t="inlineStr">
        <is>
          <t>EMP-1025</t>
        </is>
      </c>
      <c r="B29" s="56" t="inlineStr">
        <is>
          <t>Emberline Logistics</t>
        </is>
      </c>
      <c r="C29" s="56" t="inlineStr">
        <is>
          <t>Logistics &amp; Transport</t>
        </is>
      </c>
      <c r="D29" s="56" t="inlineStr">
        <is>
          <t>Medium</t>
        </is>
      </c>
      <c r="E29" s="68" t="n">
        <v>200</v>
      </c>
      <c r="F29" s="68" t="n">
        <v>124</v>
      </c>
      <c r="G29" s="69">
        <f>IFERROR(F29/E29,0)</f>
        <v/>
      </c>
      <c r="H29" s="56">
        <f>IF(E29&lt;=8,"$25",IF(E29&lt;=20,"$30",IF(E29&lt;=199,"$35","$50")))</f>
        <v/>
      </c>
      <c r="I29" s="56">
        <f>IF(E29&lt;=19,"Cal-COBRA","Federal COBRA")</f>
        <v/>
      </c>
      <c r="J29" s="56" t="inlineStr">
        <is>
          <t>Orange County</t>
        </is>
      </c>
      <c r="K29" s="56" t="inlineStr">
        <is>
          <t>May</t>
        </is>
      </c>
      <c r="L29" s="56" t="inlineStr">
        <is>
          <t>BRK-07</t>
        </is>
      </c>
      <c r="M29" s="56" t="inlineStr">
        <is>
          <t>VOL</t>
        </is>
      </c>
      <c r="N29" s="56" t="inlineStr">
        <is>
          <t>Dental + Vision</t>
        </is>
      </c>
      <c r="O29" s="56" t="n">
        <v>6</v>
      </c>
      <c r="P29" s="56" t="n">
        <v>4</v>
      </c>
      <c r="Q29" s="56" t="n">
        <v>2</v>
      </c>
      <c r="R29" s="65">
        <f>IFERROR(O29/F29*100,0)</f>
        <v/>
      </c>
      <c r="S29" s="70">
        <f>F29*'Distribution Targets'!$C$34</f>
        <v/>
      </c>
      <c r="T29" s="71">
        <f>IF(M29="ER",IF(G29&lt;0.7,"BELOW 70% (P-18)",IF(G29&lt;0.75,"Near 70% threshold","OK")),IF(E29&lt;=9,IF(F29&lt;2,"BELOW 2–9 minimum (P-24)",IF(F29=2,"At 2–9 minimum","OK")),IF(F29&lt;5,"BELOW 10–500 minimum (P-23)",IF(F29&lt;7,"Near 10–500 minimum","OK"))))</f>
        <v/>
      </c>
      <c r="U29" s="71">
        <f>IF(O29&gt;=28,"A — anchor",IF(O29&gt;=10,"B — heavy",IF(O29&gt;=4,"C — moderate","D — tail")))</f>
        <v/>
      </c>
    </row>
    <row r="30" ht="15" customHeight="1" s="48">
      <c r="A30" s="58" t="inlineStr">
        <is>
          <t>EMP-1026</t>
        </is>
      </c>
      <c r="B30" s="58" t="inlineStr">
        <is>
          <t>Fairhaven Associates</t>
        </is>
      </c>
      <c r="C30" s="58" t="inlineStr">
        <is>
          <t>Professional Services</t>
        </is>
      </c>
      <c r="D30" s="58" t="inlineStr">
        <is>
          <t>Low</t>
        </is>
      </c>
      <c r="E30" s="72" t="n">
        <v>195</v>
      </c>
      <c r="F30" s="72" t="n">
        <v>133</v>
      </c>
      <c r="G30" s="73">
        <f>IFERROR(F30/E30,0)</f>
        <v/>
      </c>
      <c r="H30" s="58">
        <f>IF(E30&lt;=8,"$25",IF(E30&lt;=20,"$30",IF(E30&lt;=199,"$35","$50")))</f>
        <v/>
      </c>
      <c r="I30" s="58">
        <f>IF(E30&lt;=19,"Cal-COBRA","Federal COBRA")</f>
        <v/>
      </c>
      <c r="J30" s="58" t="inlineStr">
        <is>
          <t>Los Angeles</t>
        </is>
      </c>
      <c r="K30" s="58" t="inlineStr">
        <is>
          <t>Jun</t>
        </is>
      </c>
      <c r="L30" s="58" t="inlineStr">
        <is>
          <t>BRK-08</t>
        </is>
      </c>
      <c r="M30" s="58" t="inlineStr">
        <is>
          <t>ER</t>
        </is>
      </c>
      <c r="N30" s="58" t="inlineStr">
        <is>
          <t>Dental + Life</t>
        </is>
      </c>
      <c r="O30" s="58" t="n">
        <v>6</v>
      </c>
      <c r="P30" s="58" t="n">
        <v>4</v>
      </c>
      <c r="Q30" s="58" t="n">
        <v>2</v>
      </c>
      <c r="R30" s="66">
        <f>IFERROR(O30/F30*100,0)</f>
        <v/>
      </c>
      <c r="S30" s="70">
        <f>F30*'Distribution Targets'!$C$34</f>
        <v/>
      </c>
      <c r="T30" s="71">
        <f>IF(M30="ER",IF(G30&lt;0.7,"BELOW 70% (P-18)",IF(G30&lt;0.75,"Near 70% threshold","OK")),IF(E30&lt;=9,IF(F30&lt;2,"BELOW 2–9 minimum (P-24)",IF(F30=2,"At 2–9 minimum","OK")),IF(F30&lt;5,"BELOW 10–500 minimum (P-23)",IF(F30&lt;7,"Near 10–500 minimum","OK"))))</f>
        <v/>
      </c>
      <c r="U30" s="71">
        <f>IF(O30&gt;=28,"A — anchor",IF(O30&gt;=10,"B — heavy",IF(O30&gt;=4,"C — moderate","D — tail")))</f>
        <v/>
      </c>
    </row>
    <row r="31" ht="15" customHeight="1" s="48">
      <c r="A31" s="56" t="inlineStr">
        <is>
          <t>EMP-1027</t>
        </is>
      </c>
      <c r="B31" s="56" t="inlineStr">
        <is>
          <t>Granite Bay Systems</t>
        </is>
      </c>
      <c r="C31" s="56" t="inlineStr">
        <is>
          <t>Technology</t>
        </is>
      </c>
      <c r="D31" s="56" t="inlineStr">
        <is>
          <t>Low</t>
        </is>
      </c>
      <c r="E31" s="68" t="n">
        <v>160</v>
      </c>
      <c r="F31" s="68" t="n">
        <v>56</v>
      </c>
      <c r="G31" s="69">
        <f>IFERROR(F31/E31,0)</f>
        <v/>
      </c>
      <c r="H31" s="56">
        <f>IF(E31&lt;=8,"$25",IF(E31&lt;=20,"$30",IF(E31&lt;=199,"$35","$50")))</f>
        <v/>
      </c>
      <c r="I31" s="56">
        <f>IF(E31&lt;=19,"Cal-COBRA","Federal COBRA")</f>
        <v/>
      </c>
      <c r="J31" s="56" t="inlineStr">
        <is>
          <t>San Diego</t>
        </is>
      </c>
      <c r="K31" s="56" t="inlineStr">
        <is>
          <t>Jul</t>
        </is>
      </c>
      <c r="L31" s="56" t="inlineStr">
        <is>
          <t>BRK-09</t>
        </is>
      </c>
      <c r="M31" s="56" t="inlineStr">
        <is>
          <t>VOL</t>
        </is>
      </c>
      <c r="N31" s="56" t="inlineStr">
        <is>
          <t>Dental + Vision + Chiro</t>
        </is>
      </c>
      <c r="O31" s="56" t="n">
        <v>6</v>
      </c>
      <c r="P31" s="56" t="n">
        <v>4</v>
      </c>
      <c r="Q31" s="56" t="n">
        <v>2</v>
      </c>
      <c r="R31" s="65">
        <f>IFERROR(O31/F31*100,0)</f>
        <v/>
      </c>
      <c r="S31" s="70">
        <f>F31*'Distribution Targets'!$C$34</f>
        <v/>
      </c>
      <c r="T31" s="71">
        <f>IF(M31="ER",IF(G31&lt;0.7,"BELOW 70% (P-18)",IF(G31&lt;0.75,"Near 70% threshold","OK")),IF(E31&lt;=9,IF(F31&lt;2,"BELOW 2–9 minimum (P-24)",IF(F31=2,"At 2–9 minimum","OK")),IF(F31&lt;5,"BELOW 10–500 minimum (P-23)",IF(F31&lt;7,"Near 10–500 minimum","OK"))))</f>
        <v/>
      </c>
      <c r="U31" s="71">
        <f>IF(O31&gt;=28,"A — anchor",IF(O31&gt;=10,"B — heavy",IF(O31&gt;=4,"C — moderate","D — tail")))</f>
        <v/>
      </c>
    </row>
    <row r="32" ht="15" customHeight="1" s="48">
      <c r="A32" s="58" t="inlineStr">
        <is>
          <t>EMP-1028</t>
        </is>
      </c>
      <c r="B32" s="58" t="inlineStr">
        <is>
          <t>Highpoint Staffing</t>
        </is>
      </c>
      <c r="C32" s="58" t="inlineStr">
        <is>
          <t>Staffing &amp; Recruitment</t>
        </is>
      </c>
      <c r="D32" s="58" t="inlineStr">
        <is>
          <t>High</t>
        </is>
      </c>
      <c r="E32" s="72" t="n">
        <v>140</v>
      </c>
      <c r="F32" s="72" t="n">
        <v>126</v>
      </c>
      <c r="G32" s="73">
        <f>IFERROR(F32/E32,0)</f>
        <v/>
      </c>
      <c r="H32" s="58">
        <f>IF(E32&lt;=8,"$25",IF(E32&lt;=20,"$30",IF(E32&lt;=199,"$35","$50")))</f>
        <v/>
      </c>
      <c r="I32" s="58">
        <f>IF(E32&lt;=19,"Cal-COBRA","Federal COBRA")</f>
        <v/>
      </c>
      <c r="J32" s="58" t="inlineStr">
        <is>
          <t>Inland Empire</t>
        </is>
      </c>
      <c r="K32" s="58" t="inlineStr">
        <is>
          <t>Aug</t>
        </is>
      </c>
      <c r="L32" s="58" t="inlineStr">
        <is>
          <t>BRK-10</t>
        </is>
      </c>
      <c r="M32" s="58" t="inlineStr">
        <is>
          <t>ER</t>
        </is>
      </c>
      <c r="N32" s="58" t="inlineStr">
        <is>
          <t>Dental + Life</t>
        </is>
      </c>
      <c r="O32" s="58" t="n">
        <v>6</v>
      </c>
      <c r="P32" s="58" t="n">
        <v>4</v>
      </c>
      <c r="Q32" s="58" t="n">
        <v>2</v>
      </c>
      <c r="R32" s="66">
        <f>IFERROR(O32/F32*100,0)</f>
        <v/>
      </c>
      <c r="S32" s="70">
        <f>F32*'Distribution Targets'!$C$34</f>
        <v/>
      </c>
      <c r="T32" s="71">
        <f>IF(M32="ER",IF(G32&lt;0.7,"BELOW 70% (P-18)",IF(G32&lt;0.75,"Near 70% threshold","OK")),IF(E32&lt;=9,IF(F32&lt;2,"BELOW 2–9 minimum (P-24)",IF(F32=2,"At 2–9 minimum","OK")),IF(F32&lt;5,"BELOW 10–500 minimum (P-23)",IF(F32&lt;7,"Near 10–500 minimum","OK"))))</f>
        <v/>
      </c>
      <c r="U32" s="71">
        <f>IF(O32&gt;=28,"A — anchor",IF(O32&gt;=10,"B — heavy",IF(O32&gt;=4,"C — moderate","D — tail")))</f>
        <v/>
      </c>
    </row>
    <row r="33" ht="15" customHeight="1" s="48">
      <c r="A33" s="56" t="inlineStr">
        <is>
          <t>EMP-1029</t>
        </is>
      </c>
      <c r="B33" s="56" t="inlineStr">
        <is>
          <t>Junipero Restaurant Group</t>
        </is>
      </c>
      <c r="C33" s="56" t="inlineStr">
        <is>
          <t>Hospitality &amp; Food Service</t>
        </is>
      </c>
      <c r="D33" s="56" t="inlineStr">
        <is>
          <t>High</t>
        </is>
      </c>
      <c r="E33" s="68" t="n">
        <v>125</v>
      </c>
      <c r="F33" s="68" t="n">
        <v>44</v>
      </c>
      <c r="G33" s="69">
        <f>IFERROR(F33/E33,0)</f>
        <v/>
      </c>
      <c r="H33" s="56">
        <f>IF(E33&lt;=8,"$25",IF(E33&lt;=20,"$30",IF(E33&lt;=199,"$35","$50")))</f>
        <v/>
      </c>
      <c r="I33" s="56">
        <f>IF(E33&lt;=19,"Cal-COBRA","Federal COBRA")</f>
        <v/>
      </c>
      <c r="J33" s="56" t="inlineStr">
        <is>
          <t>Central Valley</t>
        </is>
      </c>
      <c r="K33" s="56" t="inlineStr">
        <is>
          <t>Sep</t>
        </is>
      </c>
      <c r="L33" s="56" t="inlineStr">
        <is>
          <t>BRK-11</t>
        </is>
      </c>
      <c r="M33" s="56" t="inlineStr">
        <is>
          <t>VOL</t>
        </is>
      </c>
      <c r="N33" s="56" t="inlineStr">
        <is>
          <t>Dental</t>
        </is>
      </c>
      <c r="O33" s="56" t="n">
        <v>5</v>
      </c>
      <c r="P33" s="56" t="n">
        <v>4</v>
      </c>
      <c r="Q33" s="56" t="n">
        <v>1</v>
      </c>
      <c r="R33" s="65">
        <f>IFERROR(O33/F33*100,0)</f>
        <v/>
      </c>
      <c r="S33" s="70">
        <f>F33*'Distribution Targets'!$C$34</f>
        <v/>
      </c>
      <c r="T33" s="71">
        <f>IF(M33="ER",IF(G33&lt;0.7,"BELOW 70% (P-18)",IF(G33&lt;0.75,"Near 70% threshold","OK")),IF(E33&lt;=9,IF(F33&lt;2,"BELOW 2–9 minimum (P-24)",IF(F33=2,"At 2–9 minimum","OK")),IF(F33&lt;5,"BELOW 10–500 minimum (P-23)",IF(F33&lt;7,"Near 10–500 minimum","OK"))))</f>
        <v/>
      </c>
      <c r="U33" s="71">
        <f>IF(O33&gt;=28,"A — anchor",IF(O33&gt;=10,"B — heavy",IF(O33&gt;=4,"C — moderate","D — tail")))</f>
        <v/>
      </c>
    </row>
    <row r="34" ht="15" customHeight="1" s="48">
      <c r="A34" s="58" t="inlineStr">
        <is>
          <t>EMP-1030</t>
        </is>
      </c>
      <c r="B34" s="58" t="inlineStr">
        <is>
          <t>Kingsley Mechanical</t>
        </is>
      </c>
      <c r="C34" s="58" t="inlineStr">
        <is>
          <t>Construction &amp; Trades</t>
        </is>
      </c>
      <c r="D34" s="58" t="inlineStr">
        <is>
          <t>High</t>
        </is>
      </c>
      <c r="E34" s="72" t="n">
        <v>105</v>
      </c>
      <c r="F34" s="72" t="n">
        <v>94</v>
      </c>
      <c r="G34" s="73">
        <f>IFERROR(F34/E34,0)</f>
        <v/>
      </c>
      <c r="H34" s="58">
        <f>IF(E34&lt;=8,"$25",IF(E34&lt;=20,"$30",IF(E34&lt;=199,"$35","$50")))</f>
        <v/>
      </c>
      <c r="I34" s="58">
        <f>IF(E34&lt;=19,"Cal-COBRA","Federal COBRA")</f>
        <v/>
      </c>
      <c r="J34" s="58" t="inlineStr">
        <is>
          <t>Bay Area</t>
        </is>
      </c>
      <c r="K34" s="58" t="inlineStr">
        <is>
          <t>Oct</t>
        </is>
      </c>
      <c r="L34" s="58" t="inlineStr">
        <is>
          <t>BRK-12</t>
        </is>
      </c>
      <c r="M34" s="58" t="inlineStr">
        <is>
          <t>ER</t>
        </is>
      </c>
      <c r="N34" s="58" t="inlineStr">
        <is>
          <t>Dental + Vision</t>
        </is>
      </c>
      <c r="O34" s="58" t="n">
        <v>5</v>
      </c>
      <c r="P34" s="58" t="n">
        <v>4</v>
      </c>
      <c r="Q34" s="58" t="n">
        <v>1</v>
      </c>
      <c r="R34" s="66">
        <f>IFERROR(O34/F34*100,0)</f>
        <v/>
      </c>
      <c r="S34" s="70">
        <f>F34*'Distribution Targets'!$C$34</f>
        <v/>
      </c>
      <c r="T34" s="71">
        <f>IF(M34="ER",IF(G34&lt;0.7,"BELOW 70% (P-18)",IF(G34&lt;0.75,"Near 70% threshold","OK")),IF(E34&lt;=9,IF(F34&lt;2,"BELOW 2–9 minimum (P-24)",IF(F34=2,"At 2–9 minimum","OK")),IF(F34&lt;5,"BELOW 10–500 minimum (P-23)",IF(F34&lt;7,"Near 10–500 minimum","OK"))))</f>
        <v/>
      </c>
      <c r="U34" s="71">
        <f>IF(O34&gt;=28,"A — anchor",IF(O34&gt;=10,"B — heavy",IF(O34&gt;=4,"C — moderate","D — tail")))</f>
        <v/>
      </c>
    </row>
    <row r="35" ht="15" customHeight="1" s="48">
      <c r="A35" s="56" t="inlineStr">
        <is>
          <t>EMP-1031</t>
        </is>
      </c>
      <c r="B35" s="56" t="inlineStr">
        <is>
          <t>Larkspur Manufacturing</t>
        </is>
      </c>
      <c r="C35" s="56" t="inlineStr">
        <is>
          <t>Manufacturing</t>
        </is>
      </c>
      <c r="D35" s="56" t="inlineStr">
        <is>
          <t>Medium</t>
        </is>
      </c>
      <c r="E35" s="68" t="n">
        <v>90</v>
      </c>
      <c r="F35" s="68" t="n">
        <v>54</v>
      </c>
      <c r="G35" s="69">
        <f>IFERROR(F35/E35,0)</f>
        <v/>
      </c>
      <c r="H35" s="56">
        <f>IF(E35&lt;=8,"$25",IF(E35&lt;=20,"$30",IF(E35&lt;=199,"$35","$50")))</f>
        <v/>
      </c>
      <c r="I35" s="56">
        <f>IF(E35&lt;=19,"Cal-COBRA","Federal COBRA")</f>
        <v/>
      </c>
      <c r="J35" s="56" t="inlineStr">
        <is>
          <t>Orange County</t>
        </is>
      </c>
      <c r="K35" s="56" t="inlineStr">
        <is>
          <t>Nov</t>
        </is>
      </c>
      <c r="L35" s="56" t="inlineStr">
        <is>
          <t>BRK-13</t>
        </is>
      </c>
      <c r="M35" s="56" t="inlineStr">
        <is>
          <t>VOL</t>
        </is>
      </c>
      <c r="N35" s="56" t="inlineStr">
        <is>
          <t>Dental + Vision</t>
        </is>
      </c>
      <c r="O35" s="56" t="n">
        <v>5</v>
      </c>
      <c r="P35" s="56" t="n">
        <v>4</v>
      </c>
      <c r="Q35" s="56" t="n">
        <v>1</v>
      </c>
      <c r="R35" s="65">
        <f>IFERROR(O35/F35*100,0)</f>
        <v/>
      </c>
      <c r="S35" s="70">
        <f>F35*'Distribution Targets'!$C$34</f>
        <v/>
      </c>
      <c r="T35" s="71">
        <f>IF(M35="ER",IF(G35&lt;0.7,"BELOW 70% (P-18)",IF(G35&lt;0.75,"Near 70% threshold","OK")),IF(E35&lt;=9,IF(F35&lt;2,"BELOW 2–9 minimum (P-24)",IF(F35=2,"At 2–9 minimum","OK")),IF(F35&lt;5,"BELOW 10–500 minimum (P-23)",IF(F35&lt;7,"Near 10–500 minimum","OK"))))</f>
        <v/>
      </c>
      <c r="U35" s="71">
        <f>IF(O35&gt;=28,"A — anchor",IF(O35&gt;=10,"B — heavy",IF(O35&gt;=4,"C — moderate","D — tail")))</f>
        <v/>
      </c>
    </row>
    <row r="36" ht="15" customHeight="1" s="48">
      <c r="A36" s="58" t="inlineStr">
        <is>
          <t>EMP-1032</t>
        </is>
      </c>
      <c r="B36" s="58" t="inlineStr">
        <is>
          <t>Montrose Medical Group</t>
        </is>
      </c>
      <c r="C36" s="58" t="inlineStr">
        <is>
          <t>Healthcare Services</t>
        </is>
      </c>
      <c r="D36" s="58" t="inlineStr">
        <is>
          <t>Medium</t>
        </is>
      </c>
      <c r="E36" s="72" t="n">
        <v>75</v>
      </c>
      <c r="F36" s="72" t="n">
        <v>51</v>
      </c>
      <c r="G36" s="73">
        <f>IFERROR(F36/E36,0)</f>
        <v/>
      </c>
      <c r="H36" s="58">
        <f>IF(E36&lt;=8,"$25",IF(E36&lt;=20,"$30",IF(E36&lt;=199,"$35","$50")))</f>
        <v/>
      </c>
      <c r="I36" s="58">
        <f>IF(E36&lt;=19,"Cal-COBRA","Federal COBRA")</f>
        <v/>
      </c>
      <c r="J36" s="58" t="inlineStr">
        <is>
          <t>Los Angeles</t>
        </is>
      </c>
      <c r="K36" s="58" t="inlineStr">
        <is>
          <t>Dec</t>
        </is>
      </c>
      <c r="L36" s="58" t="inlineStr">
        <is>
          <t>BRK-16</t>
        </is>
      </c>
      <c r="M36" s="58" t="inlineStr">
        <is>
          <t>ER</t>
        </is>
      </c>
      <c r="N36" s="58" t="inlineStr">
        <is>
          <t>Dental + Chiro</t>
        </is>
      </c>
      <c r="O36" s="58" t="n">
        <v>5</v>
      </c>
      <c r="P36" s="58" t="n">
        <v>4</v>
      </c>
      <c r="Q36" s="58" t="n">
        <v>1</v>
      </c>
      <c r="R36" s="66">
        <f>IFERROR(O36/F36*100,0)</f>
        <v/>
      </c>
      <c r="S36" s="70">
        <f>F36*'Distribution Targets'!$C$34</f>
        <v/>
      </c>
      <c r="T36" s="71">
        <f>IF(M36="ER",IF(G36&lt;0.7,"BELOW 70% (P-18)",IF(G36&lt;0.75,"Near 70% threshold","OK")),IF(E36&lt;=9,IF(F36&lt;2,"BELOW 2–9 minimum (P-24)",IF(F36=2,"At 2–9 minimum","OK")),IF(F36&lt;5,"BELOW 10–500 minimum (P-23)",IF(F36&lt;7,"Near 10–500 minimum","OK"))))</f>
        <v/>
      </c>
      <c r="U36" s="71">
        <f>IF(O36&gt;=28,"A — anchor",IF(O36&gt;=10,"B — heavy",IF(O36&gt;=4,"C — moderate","D — tail")))</f>
        <v/>
      </c>
    </row>
    <row r="37" ht="15" customHeight="1" s="48">
      <c r="A37" s="56" t="inlineStr">
        <is>
          <t>EMP-1033</t>
        </is>
      </c>
      <c r="B37" s="56" t="inlineStr">
        <is>
          <t>Nevins Markets</t>
        </is>
      </c>
      <c r="C37" s="56" t="inlineStr">
        <is>
          <t>Retail</t>
        </is>
      </c>
      <c r="D37" s="56" t="inlineStr">
        <is>
          <t>Medium</t>
        </is>
      </c>
      <c r="E37" s="68" t="n">
        <v>62</v>
      </c>
      <c r="F37" s="68" t="n">
        <v>38</v>
      </c>
      <c r="G37" s="69">
        <f>IFERROR(F37/E37,0)</f>
        <v/>
      </c>
      <c r="H37" s="56">
        <f>IF(E37&lt;=8,"$25",IF(E37&lt;=20,"$30",IF(E37&lt;=199,"$35","$50")))</f>
        <v/>
      </c>
      <c r="I37" s="56">
        <f>IF(E37&lt;=19,"Cal-COBRA","Federal COBRA")</f>
        <v/>
      </c>
      <c r="J37" s="56" t="inlineStr">
        <is>
          <t>San Diego</t>
        </is>
      </c>
      <c r="K37" s="56" t="inlineStr">
        <is>
          <t>Jan</t>
        </is>
      </c>
      <c r="L37" s="56" t="inlineStr">
        <is>
          <t>BRK-17</t>
        </is>
      </c>
      <c r="M37" s="56" t="inlineStr">
        <is>
          <t>VOL</t>
        </is>
      </c>
      <c r="N37" s="56" t="inlineStr">
        <is>
          <t>Dental</t>
        </is>
      </c>
      <c r="O37" s="56" t="n">
        <v>5</v>
      </c>
      <c r="P37" s="56" t="n">
        <v>4</v>
      </c>
      <c r="Q37" s="56" t="n">
        <v>1</v>
      </c>
      <c r="R37" s="65">
        <f>IFERROR(O37/F37*100,0)</f>
        <v/>
      </c>
      <c r="S37" s="70">
        <f>F37*'Distribution Targets'!$C$34</f>
        <v/>
      </c>
      <c r="T37" s="71">
        <f>IF(M37="ER",IF(G37&lt;0.7,"BELOW 70% (P-18)",IF(G37&lt;0.75,"Near 70% threshold","OK")),IF(E37&lt;=9,IF(F37&lt;2,"BELOW 2–9 minimum (P-24)",IF(F37=2,"At 2–9 minimum","OK")),IF(F37&lt;5,"BELOW 10–500 minimum (P-23)",IF(F37&lt;7,"Near 10–500 minimum","OK"))))</f>
        <v/>
      </c>
      <c r="U37" s="71">
        <f>IF(O37&gt;=28,"A — anchor",IF(O37&gt;=10,"B — heavy",IF(O37&gt;=4,"C — moderate","D — tail")))</f>
        <v/>
      </c>
    </row>
    <row r="38" ht="15" customHeight="1" s="48">
      <c r="A38" s="58" t="inlineStr">
        <is>
          <t>EMP-1034</t>
        </is>
      </c>
      <c r="B38" s="58" t="inlineStr">
        <is>
          <t>Ocotillo Transport</t>
        </is>
      </c>
      <c r="C38" s="58" t="inlineStr">
        <is>
          <t>Logistics &amp; Transport</t>
        </is>
      </c>
      <c r="D38" s="58" t="inlineStr">
        <is>
          <t>Medium</t>
        </is>
      </c>
      <c r="E38" s="72" t="n">
        <v>48</v>
      </c>
      <c r="F38" s="72" t="n">
        <v>37</v>
      </c>
      <c r="G38" s="73">
        <f>IFERROR(F38/E38,0)</f>
        <v/>
      </c>
      <c r="H38" s="58">
        <f>IF(E38&lt;=8,"$25",IF(E38&lt;=20,"$30",IF(E38&lt;=199,"$35","$50")))</f>
        <v/>
      </c>
      <c r="I38" s="58">
        <f>IF(E38&lt;=19,"Cal-COBRA","Federal COBRA")</f>
        <v/>
      </c>
      <c r="J38" s="58" t="inlineStr">
        <is>
          <t>Inland Empire</t>
        </is>
      </c>
      <c r="K38" s="58" t="inlineStr">
        <is>
          <t>Jan</t>
        </is>
      </c>
      <c r="L38" s="58" t="inlineStr">
        <is>
          <t>BRK-20</t>
        </is>
      </c>
      <c r="M38" s="58" t="inlineStr">
        <is>
          <t>ER</t>
        </is>
      </c>
      <c r="N38" s="58" t="inlineStr">
        <is>
          <t>Dental + Chiro</t>
        </is>
      </c>
      <c r="O38" s="58" t="n">
        <v>5</v>
      </c>
      <c r="P38" s="58" t="n">
        <v>3</v>
      </c>
      <c r="Q38" s="58" t="n">
        <v>2</v>
      </c>
      <c r="R38" s="66">
        <f>IFERROR(O38/F38*100,0)</f>
        <v/>
      </c>
      <c r="S38" s="70">
        <f>F38*'Distribution Targets'!$C$34</f>
        <v/>
      </c>
      <c r="T38" s="71">
        <f>IF(M38="ER",IF(G38&lt;0.7,"BELOW 70% (P-18)",IF(G38&lt;0.75,"Near 70% threshold","OK")),IF(E38&lt;=9,IF(F38&lt;2,"BELOW 2–9 minimum (P-24)",IF(F38=2,"At 2–9 minimum","OK")),IF(F38&lt;5,"BELOW 10–500 minimum (P-23)",IF(F38&lt;7,"Near 10–500 minimum","OK"))))</f>
        <v/>
      </c>
      <c r="U38" s="71">
        <f>IF(O38&gt;=28,"A — anchor",IF(O38&gt;=10,"B — heavy",IF(O38&gt;=4,"C — moderate","D — tail")))</f>
        <v/>
      </c>
    </row>
    <row r="39" ht="15" customHeight="1" s="48">
      <c r="A39" s="56" t="inlineStr">
        <is>
          <t>EMP-1035</t>
        </is>
      </c>
      <c r="B39" s="56" t="inlineStr">
        <is>
          <t>Pinecrest Associates</t>
        </is>
      </c>
      <c r="C39" s="56" t="inlineStr">
        <is>
          <t>Professional Services</t>
        </is>
      </c>
      <c r="D39" s="56" t="inlineStr">
        <is>
          <t>Low</t>
        </is>
      </c>
      <c r="E39" s="68" t="n">
        <v>40</v>
      </c>
      <c r="F39" s="68" t="n">
        <v>17</v>
      </c>
      <c r="G39" s="69">
        <f>IFERROR(F39/E39,0)</f>
        <v/>
      </c>
      <c r="H39" s="56">
        <f>IF(E39&lt;=8,"$25",IF(E39&lt;=20,"$30",IF(E39&lt;=199,"$35","$50")))</f>
        <v/>
      </c>
      <c r="I39" s="56">
        <f>IF(E39&lt;=19,"Cal-COBRA","Federal COBRA")</f>
        <v/>
      </c>
      <c r="J39" s="56" t="inlineStr">
        <is>
          <t>Central Valley</t>
        </is>
      </c>
      <c r="K39" s="56" t="inlineStr">
        <is>
          <t>Feb</t>
        </is>
      </c>
      <c r="L39" s="56" t="inlineStr">
        <is>
          <t>BRK-21</t>
        </is>
      </c>
      <c r="M39" s="56" t="inlineStr">
        <is>
          <t>VOL</t>
        </is>
      </c>
      <c r="N39" s="56" t="inlineStr">
        <is>
          <t>Dental + Vision + Chiro</t>
        </is>
      </c>
      <c r="O39" s="56" t="n">
        <v>5</v>
      </c>
      <c r="P39" s="56" t="n">
        <v>3</v>
      </c>
      <c r="Q39" s="56" t="n">
        <v>2</v>
      </c>
      <c r="R39" s="65">
        <f>IFERROR(O39/F39*100,0)</f>
        <v/>
      </c>
      <c r="S39" s="70">
        <f>F39*'Distribution Targets'!$C$34</f>
        <v/>
      </c>
      <c r="T39" s="71">
        <f>IF(M39="ER",IF(G39&lt;0.7,"BELOW 70% (P-18)",IF(G39&lt;0.75,"Near 70% threshold","OK")),IF(E39&lt;=9,IF(F39&lt;2,"BELOW 2–9 minimum (P-24)",IF(F39=2,"At 2–9 minimum","OK")),IF(F39&lt;5,"BELOW 10–500 minimum (P-23)",IF(F39&lt;7,"Near 10–500 minimum","OK"))))</f>
        <v/>
      </c>
      <c r="U39" s="71">
        <f>IF(O39&gt;=28,"A — anchor",IF(O39&gt;=10,"B — heavy",IF(O39&gt;=4,"C — moderate","D — tail")))</f>
        <v/>
      </c>
    </row>
    <row r="40" ht="15" customHeight="1" s="48">
      <c r="A40" s="58" t="inlineStr">
        <is>
          <t>EMP-1036</t>
        </is>
      </c>
      <c r="B40" s="58" t="inlineStr">
        <is>
          <t>Quarry Road Data Group</t>
        </is>
      </c>
      <c r="C40" s="58" t="inlineStr">
        <is>
          <t>Technology</t>
        </is>
      </c>
      <c r="D40" s="58" t="inlineStr">
        <is>
          <t>Low</t>
        </is>
      </c>
      <c r="E40" s="72" t="n">
        <v>30</v>
      </c>
      <c r="F40" s="72" t="n">
        <v>28</v>
      </c>
      <c r="G40" s="73">
        <f>IFERROR(F40/E40,0)</f>
        <v/>
      </c>
      <c r="H40" s="58">
        <f>IF(E40&lt;=8,"$25",IF(E40&lt;=20,"$30",IF(E40&lt;=199,"$35","$50")))</f>
        <v/>
      </c>
      <c r="I40" s="58">
        <f>IF(E40&lt;=19,"Cal-COBRA","Federal COBRA")</f>
        <v/>
      </c>
      <c r="J40" s="58" t="inlineStr">
        <is>
          <t>Bay Area</t>
        </is>
      </c>
      <c r="K40" s="58" t="inlineStr">
        <is>
          <t>Mar</t>
        </is>
      </c>
      <c r="L40" s="58" t="inlineStr">
        <is>
          <t>BRK-24</t>
        </is>
      </c>
      <c r="M40" s="58" t="inlineStr">
        <is>
          <t>ER</t>
        </is>
      </c>
      <c r="N40" s="58" t="inlineStr">
        <is>
          <t>Dental + Life</t>
        </is>
      </c>
      <c r="O40" s="58" t="n">
        <v>4</v>
      </c>
      <c r="P40" s="58" t="n">
        <v>3</v>
      </c>
      <c r="Q40" s="58" t="n">
        <v>1</v>
      </c>
      <c r="R40" s="66">
        <f>IFERROR(O40/F40*100,0)</f>
        <v/>
      </c>
      <c r="S40" s="70">
        <f>F40*'Distribution Targets'!$C$34</f>
        <v/>
      </c>
      <c r="T40" s="71">
        <f>IF(M40="ER",IF(G40&lt;0.7,"BELOW 70% (P-18)",IF(G40&lt;0.75,"Near 70% threshold","OK")),IF(E40&lt;=9,IF(F40&lt;2,"BELOW 2–9 minimum (P-24)",IF(F40=2,"At 2–9 minimum","OK")),IF(F40&lt;5,"BELOW 10–500 minimum (P-23)",IF(F40&lt;7,"Near 10–500 minimum","OK"))))</f>
        <v/>
      </c>
      <c r="U40" s="71">
        <f>IF(O40&gt;=28,"A — anchor",IF(O40&gt;=10,"B — heavy",IF(O40&gt;=4,"C — moderate","D — tail")))</f>
        <v/>
      </c>
    </row>
    <row r="41" ht="15" customHeight="1" s="48">
      <c r="A41" s="56" t="inlineStr">
        <is>
          <t>EMP-1037</t>
        </is>
      </c>
      <c r="B41" s="56" t="inlineStr">
        <is>
          <t>Redbud Staffing</t>
        </is>
      </c>
      <c r="C41" s="56" t="inlineStr">
        <is>
          <t>Staffing &amp; Recruitment</t>
        </is>
      </c>
      <c r="D41" s="56" t="inlineStr">
        <is>
          <t>High</t>
        </is>
      </c>
      <c r="E41" s="68" t="n">
        <v>26</v>
      </c>
      <c r="F41" s="68" t="n">
        <v>8</v>
      </c>
      <c r="G41" s="69">
        <f>IFERROR(F41/E41,0)</f>
        <v/>
      </c>
      <c r="H41" s="56">
        <f>IF(E41&lt;=8,"$25",IF(E41&lt;=20,"$30",IF(E41&lt;=199,"$35","$50")))</f>
        <v/>
      </c>
      <c r="I41" s="56">
        <f>IF(E41&lt;=19,"Cal-COBRA","Federal COBRA")</f>
        <v/>
      </c>
      <c r="J41" s="56" t="inlineStr">
        <is>
          <t>Orange County</t>
        </is>
      </c>
      <c r="K41" s="56" t="inlineStr">
        <is>
          <t>Apr</t>
        </is>
      </c>
      <c r="L41" s="56" t="inlineStr">
        <is>
          <t>BRK-26</t>
        </is>
      </c>
      <c r="M41" s="56" t="inlineStr">
        <is>
          <t>VOL</t>
        </is>
      </c>
      <c r="N41" s="56" t="inlineStr">
        <is>
          <t>Dental + Vision</t>
        </is>
      </c>
      <c r="O41" s="56" t="n">
        <v>4</v>
      </c>
      <c r="P41" s="56" t="n">
        <v>3</v>
      </c>
      <c r="Q41" s="56" t="n">
        <v>1</v>
      </c>
      <c r="R41" s="65">
        <f>IFERROR(O41/F41*100,0)</f>
        <v/>
      </c>
      <c r="S41" s="70">
        <f>F41*'Distribution Targets'!$C$34</f>
        <v/>
      </c>
      <c r="T41" s="71">
        <f>IF(M41="ER",IF(G41&lt;0.7,"BELOW 70% (P-18)",IF(G41&lt;0.75,"Near 70% threshold","OK")),IF(E41&lt;=9,IF(F41&lt;2,"BELOW 2–9 minimum (P-24)",IF(F41=2,"At 2–9 minimum","OK")),IF(F41&lt;5,"BELOW 10–500 minimum (P-23)",IF(F41&lt;7,"Near 10–500 minimum","OK"))))</f>
        <v/>
      </c>
      <c r="U41" s="71">
        <f>IF(O41&gt;=28,"A — anchor",IF(O41&gt;=10,"B — heavy",IF(O41&gt;=4,"C — moderate","D — tail")))</f>
        <v/>
      </c>
    </row>
    <row r="42" ht="15" customHeight="1" s="48">
      <c r="A42" s="58" t="inlineStr">
        <is>
          <t>EMP-1038</t>
        </is>
      </c>
      <c r="B42" s="58" t="inlineStr">
        <is>
          <t>Sierra Vista Hospitality Group</t>
        </is>
      </c>
      <c r="C42" s="58" t="inlineStr">
        <is>
          <t>Hospitality &amp; Food Service</t>
        </is>
      </c>
      <c r="D42" s="58" t="inlineStr">
        <is>
          <t>High</t>
        </is>
      </c>
      <c r="E42" s="72" t="n">
        <v>24</v>
      </c>
      <c r="F42" s="72" t="n">
        <v>23</v>
      </c>
      <c r="G42" s="73">
        <f>IFERROR(F42/E42,0)</f>
        <v/>
      </c>
      <c r="H42" s="58">
        <f>IF(E42&lt;=8,"$25",IF(E42&lt;=20,"$30",IF(E42&lt;=199,"$35","$50")))</f>
        <v/>
      </c>
      <c r="I42" s="58">
        <f>IF(E42&lt;=19,"Cal-COBRA","Federal COBRA")</f>
        <v/>
      </c>
      <c r="J42" s="58" t="inlineStr">
        <is>
          <t>Los Angeles</t>
        </is>
      </c>
      <c r="K42" s="58" t="inlineStr">
        <is>
          <t>May</t>
        </is>
      </c>
      <c r="L42" s="58" t="inlineStr">
        <is>
          <t>BRK-30</t>
        </is>
      </c>
      <c r="M42" s="58" t="inlineStr">
        <is>
          <t>ER</t>
        </is>
      </c>
      <c r="N42" s="58" t="inlineStr">
        <is>
          <t>Dental + Vision + Chiro</t>
        </is>
      </c>
      <c r="O42" s="58" t="n">
        <v>4</v>
      </c>
      <c r="P42" s="58" t="n">
        <v>3</v>
      </c>
      <c r="Q42" s="58" t="n">
        <v>1</v>
      </c>
      <c r="R42" s="66">
        <f>IFERROR(O42/F42*100,0)</f>
        <v/>
      </c>
      <c r="S42" s="70">
        <f>F42*'Distribution Targets'!$C$34</f>
        <v/>
      </c>
      <c r="T42" s="71">
        <f>IF(M42="ER",IF(G42&lt;0.7,"BELOW 70% (P-18)",IF(G42&lt;0.75,"Near 70% threshold","OK")),IF(E42&lt;=9,IF(F42&lt;2,"BELOW 2–9 minimum (P-24)",IF(F42=2,"At 2–9 minimum","OK")),IF(F42&lt;5,"BELOW 10–500 minimum (P-23)",IF(F42&lt;7,"Near 10–500 minimum","OK"))))</f>
        <v/>
      </c>
      <c r="U42" s="71">
        <f>IF(O42&gt;=28,"A — anchor",IF(O42&gt;=10,"B — heavy",IF(O42&gt;=4,"C — moderate","D — tail")))</f>
        <v/>
      </c>
    </row>
    <row r="43" ht="15" customHeight="1" s="48">
      <c r="A43" s="56" t="inlineStr">
        <is>
          <t>EMP-1039</t>
        </is>
      </c>
      <c r="B43" s="56" t="inlineStr">
        <is>
          <t>Thistle Construction</t>
        </is>
      </c>
      <c r="C43" s="56" t="inlineStr">
        <is>
          <t>Construction &amp; Trades</t>
        </is>
      </c>
      <c r="D43" s="56" t="inlineStr">
        <is>
          <t>High</t>
        </is>
      </c>
      <c r="E43" s="68" t="n">
        <v>22</v>
      </c>
      <c r="F43" s="68" t="n">
        <v>9</v>
      </c>
      <c r="G43" s="69">
        <f>IFERROR(F43/E43,0)</f>
        <v/>
      </c>
      <c r="H43" s="56">
        <f>IF(E43&lt;=8,"$25",IF(E43&lt;=20,"$30",IF(E43&lt;=199,"$35","$50")))</f>
        <v/>
      </c>
      <c r="I43" s="56">
        <f>IF(E43&lt;=19,"Cal-COBRA","Federal COBRA")</f>
        <v/>
      </c>
      <c r="J43" s="56" t="inlineStr">
        <is>
          <t>San Diego</t>
        </is>
      </c>
      <c r="K43" s="56" t="inlineStr">
        <is>
          <t>Jun</t>
        </is>
      </c>
      <c r="L43" s="56" t="inlineStr">
        <is>
          <t>BRK-04</t>
        </is>
      </c>
      <c r="M43" s="56" t="inlineStr">
        <is>
          <t>VOL</t>
        </is>
      </c>
      <c r="N43" s="56" t="inlineStr">
        <is>
          <t>Dental + Chiro</t>
        </is>
      </c>
      <c r="O43" s="56" t="n">
        <v>4</v>
      </c>
      <c r="P43" s="56" t="n">
        <v>3</v>
      </c>
      <c r="Q43" s="56" t="n">
        <v>1</v>
      </c>
      <c r="R43" s="65">
        <f>IFERROR(O43/F43*100,0)</f>
        <v/>
      </c>
      <c r="S43" s="70">
        <f>F43*'Distribution Targets'!$C$34</f>
        <v/>
      </c>
      <c r="T43" s="71">
        <f>IF(M43="ER",IF(G43&lt;0.7,"BELOW 70% (P-18)",IF(G43&lt;0.75,"Near 70% threshold","OK")),IF(E43&lt;=9,IF(F43&lt;2,"BELOW 2–9 minimum (P-24)",IF(F43=2,"At 2–9 minimum","OK")),IF(F43&lt;5,"BELOW 10–500 minimum (P-23)",IF(F43&lt;7,"Near 10–500 minimum","OK"))))</f>
        <v/>
      </c>
      <c r="U43" s="71">
        <f>IF(O43&gt;=28,"A — anchor",IF(O43&gt;=10,"B — heavy",IF(O43&gt;=4,"C — moderate","D — tail")))</f>
        <v/>
      </c>
    </row>
    <row r="44" ht="15" customHeight="1" s="48">
      <c r="A44" s="58" t="inlineStr">
        <is>
          <t>EMP-1040</t>
        </is>
      </c>
      <c r="B44" s="58" t="inlineStr">
        <is>
          <t>Umber Precision Tooling</t>
        </is>
      </c>
      <c r="C44" s="58" t="inlineStr">
        <is>
          <t>Manufacturing</t>
        </is>
      </c>
      <c r="D44" s="58" t="inlineStr">
        <is>
          <t>Medium</t>
        </is>
      </c>
      <c r="E44" s="72" t="n">
        <v>21</v>
      </c>
      <c r="F44" s="72" t="n">
        <v>20</v>
      </c>
      <c r="G44" s="73">
        <f>IFERROR(F44/E44,0)</f>
        <v/>
      </c>
      <c r="H44" s="58">
        <f>IF(E44&lt;=8,"$25",IF(E44&lt;=20,"$30",IF(E44&lt;=199,"$35","$50")))</f>
        <v/>
      </c>
      <c r="I44" s="58">
        <f>IF(E44&lt;=19,"Cal-COBRA","Federal COBRA")</f>
        <v/>
      </c>
      <c r="J44" s="58" t="inlineStr">
        <is>
          <t>Inland Empire</t>
        </is>
      </c>
      <c r="K44" s="58" t="inlineStr">
        <is>
          <t>Jul</t>
        </is>
      </c>
      <c r="L44" s="58" t="inlineStr">
        <is>
          <t>BRK-05</t>
        </is>
      </c>
      <c r="M44" s="58" t="inlineStr">
        <is>
          <t>ER</t>
        </is>
      </c>
      <c r="N44" s="58" t="inlineStr">
        <is>
          <t>Dental + Vision</t>
        </is>
      </c>
      <c r="O44" s="58" t="n">
        <v>4</v>
      </c>
      <c r="P44" s="58" t="n">
        <v>3</v>
      </c>
      <c r="Q44" s="58" t="n">
        <v>1</v>
      </c>
      <c r="R44" s="66">
        <f>IFERROR(O44/F44*100,0)</f>
        <v/>
      </c>
      <c r="S44" s="70">
        <f>F44*'Distribution Targets'!$C$34</f>
        <v/>
      </c>
      <c r="T44" s="71">
        <f>IF(M44="ER",IF(G44&lt;0.7,"BELOW 70% (P-18)",IF(G44&lt;0.75,"Near 70% threshold","OK")),IF(E44&lt;=9,IF(F44&lt;2,"BELOW 2–9 minimum (P-24)",IF(F44=2,"At 2–9 minimum","OK")),IF(F44&lt;5,"BELOW 10–500 minimum (P-23)",IF(F44&lt;7,"Near 10–500 minimum","OK"))))</f>
        <v/>
      </c>
      <c r="U44" s="71">
        <f>IF(O44&gt;=28,"A — anchor",IF(O44&gt;=10,"B — heavy",IF(O44&gt;=4,"C — moderate","D — tail")))</f>
        <v/>
      </c>
    </row>
    <row r="45" ht="15" customHeight="1" s="48">
      <c r="A45" s="56" t="inlineStr">
        <is>
          <t>EMP-1041</t>
        </is>
      </c>
      <c r="B45" s="56" t="inlineStr">
        <is>
          <t>Valmont Medical Group</t>
        </is>
      </c>
      <c r="C45" s="56" t="inlineStr">
        <is>
          <t>Healthcare Services</t>
        </is>
      </c>
      <c r="D45" s="56" t="inlineStr">
        <is>
          <t>Medium</t>
        </is>
      </c>
      <c r="E45" s="68" t="n">
        <v>18</v>
      </c>
      <c r="F45" s="68" t="n">
        <v>8</v>
      </c>
      <c r="G45" s="69">
        <f>IFERROR(F45/E45,0)</f>
        <v/>
      </c>
      <c r="H45" s="56">
        <f>IF(E45&lt;=8,"$25",IF(E45&lt;=20,"$30",IF(E45&lt;=199,"$35","$50")))</f>
        <v/>
      </c>
      <c r="I45" s="56">
        <f>IF(E45&lt;=19,"Cal-COBRA","Federal COBRA")</f>
        <v/>
      </c>
      <c r="J45" s="56" t="inlineStr">
        <is>
          <t>Central Valley</t>
        </is>
      </c>
      <c r="K45" s="56" t="inlineStr">
        <is>
          <t>Aug</t>
        </is>
      </c>
      <c r="L45" s="56" t="inlineStr">
        <is>
          <t>BRK-14</t>
        </is>
      </c>
      <c r="M45" s="56" t="inlineStr">
        <is>
          <t>VOL</t>
        </is>
      </c>
      <c r="N45" s="56" t="inlineStr">
        <is>
          <t>Dental + Vision + Chiro</t>
        </is>
      </c>
      <c r="O45" s="56" t="n">
        <v>4</v>
      </c>
      <c r="P45" s="56" t="n">
        <v>2</v>
      </c>
      <c r="Q45" s="56" t="n">
        <v>2</v>
      </c>
      <c r="R45" s="65">
        <f>IFERROR(O45/F45*100,0)</f>
        <v/>
      </c>
      <c r="S45" s="70">
        <f>F45*'Distribution Targets'!$C$34</f>
        <v/>
      </c>
      <c r="T45" s="71">
        <f>IF(M45="ER",IF(G45&lt;0.7,"BELOW 70% (P-18)",IF(G45&lt;0.75,"Near 70% threshold","OK")),IF(E45&lt;=9,IF(F45&lt;2,"BELOW 2–9 minimum (P-24)",IF(F45=2,"At 2–9 minimum","OK")),IF(F45&lt;5,"BELOW 10–500 minimum (P-23)",IF(F45&lt;7,"Near 10–500 minimum","OK"))))</f>
        <v/>
      </c>
      <c r="U45" s="71">
        <f>IF(O45&gt;=28,"A — anchor",IF(O45&gt;=10,"B — heavy",IF(O45&gt;=4,"C — moderate","D — tail")))</f>
        <v/>
      </c>
    </row>
    <row r="46" ht="15" customHeight="1" s="48">
      <c r="A46" s="58" t="inlineStr">
        <is>
          <t>EMP-1042</t>
        </is>
      </c>
      <c r="B46" s="58" t="inlineStr">
        <is>
          <t>Westbrook Supply Co</t>
        </is>
      </c>
      <c r="C46" s="58" t="inlineStr">
        <is>
          <t>Retail</t>
        </is>
      </c>
      <c r="D46" s="58" t="inlineStr">
        <is>
          <t>Medium</t>
        </is>
      </c>
      <c r="E46" s="72" t="n">
        <v>16</v>
      </c>
      <c r="F46" s="72" t="n">
        <v>14</v>
      </c>
      <c r="G46" s="73">
        <f>IFERROR(F46/E46,0)</f>
        <v/>
      </c>
      <c r="H46" s="58">
        <f>IF(E46&lt;=8,"$25",IF(E46&lt;=20,"$30",IF(E46&lt;=199,"$35","$50")))</f>
        <v/>
      </c>
      <c r="I46" s="58">
        <f>IF(E46&lt;=19,"Cal-COBRA","Federal COBRA")</f>
        <v/>
      </c>
      <c r="J46" s="58" t="inlineStr">
        <is>
          <t>Bay Area</t>
        </is>
      </c>
      <c r="K46" s="58" t="inlineStr">
        <is>
          <t>Sep</t>
        </is>
      </c>
      <c r="L46" s="58" t="inlineStr">
        <is>
          <t>BRK-15</t>
        </is>
      </c>
      <c r="M46" s="58" t="inlineStr">
        <is>
          <t>ER</t>
        </is>
      </c>
      <c r="N46" s="58" t="inlineStr">
        <is>
          <t>Dental</t>
        </is>
      </c>
      <c r="O46" s="58" t="n">
        <v>4</v>
      </c>
      <c r="P46" s="58" t="n">
        <v>2</v>
      </c>
      <c r="Q46" s="58" t="n">
        <v>2</v>
      </c>
      <c r="R46" s="66">
        <f>IFERROR(O46/F46*100,0)</f>
        <v/>
      </c>
      <c r="S46" s="70">
        <f>F46*'Distribution Targets'!$C$34</f>
        <v/>
      </c>
      <c r="T46" s="71">
        <f>IF(M46="ER",IF(G46&lt;0.7,"BELOW 70% (P-18)",IF(G46&lt;0.75,"Near 70% threshold","OK")),IF(E46&lt;=9,IF(F46&lt;2,"BELOW 2–9 minimum (P-24)",IF(F46=2,"At 2–9 minimum","OK")),IF(F46&lt;5,"BELOW 10–500 minimum (P-23)",IF(F46&lt;7,"Near 10–500 minimum","OK"))))</f>
        <v/>
      </c>
      <c r="U46" s="71">
        <f>IF(O46&gt;=28,"A — anchor",IF(O46&gt;=10,"B — heavy",IF(O46&gt;=4,"C — moderate","D — tail")))</f>
        <v/>
      </c>
    </row>
    <row r="47" ht="15" customHeight="1" s="48">
      <c r="A47" s="56" t="inlineStr">
        <is>
          <t>EMP-1043</t>
        </is>
      </c>
      <c r="B47" s="56" t="inlineStr">
        <is>
          <t>Yarrow Freight</t>
        </is>
      </c>
      <c r="C47" s="56" t="inlineStr">
        <is>
          <t>Logistics &amp; Transport</t>
        </is>
      </c>
      <c r="D47" s="56" t="inlineStr">
        <is>
          <t>Medium</t>
        </is>
      </c>
      <c r="E47" s="68" t="n">
        <v>14</v>
      </c>
      <c r="F47" s="68" t="n">
        <v>6</v>
      </c>
      <c r="G47" s="69">
        <f>IFERROR(F47/E47,0)</f>
        <v/>
      </c>
      <c r="H47" s="56">
        <f>IF(E47&lt;=8,"$25",IF(E47&lt;=20,"$30",IF(E47&lt;=199,"$35","$50")))</f>
        <v/>
      </c>
      <c r="I47" s="56">
        <f>IF(E47&lt;=19,"Cal-COBRA","Federal COBRA")</f>
        <v/>
      </c>
      <c r="J47" s="56" t="inlineStr">
        <is>
          <t>Orange County</t>
        </is>
      </c>
      <c r="K47" s="56" t="inlineStr">
        <is>
          <t>Oct</t>
        </is>
      </c>
      <c r="L47" s="56" t="inlineStr">
        <is>
          <t>BRK-18</t>
        </is>
      </c>
      <c r="M47" s="56" t="inlineStr">
        <is>
          <t>VOL</t>
        </is>
      </c>
      <c r="N47" s="56" t="inlineStr">
        <is>
          <t>Dental + Vision</t>
        </is>
      </c>
      <c r="O47" s="56" t="n">
        <v>4</v>
      </c>
      <c r="P47" s="56" t="n">
        <v>2</v>
      </c>
      <c r="Q47" s="56" t="n">
        <v>2</v>
      </c>
      <c r="R47" s="65">
        <f>IFERROR(O47/F47*100,0)</f>
        <v/>
      </c>
      <c r="S47" s="70">
        <f>F47*'Distribution Targets'!$C$34</f>
        <v/>
      </c>
      <c r="T47" s="71">
        <f>IF(M47="ER",IF(G47&lt;0.7,"BELOW 70% (P-18)",IF(G47&lt;0.75,"Near 70% threshold","OK")),IF(E47&lt;=9,IF(F47&lt;2,"BELOW 2–9 minimum (P-24)",IF(F47=2,"At 2–9 minimum","OK")),IF(F47&lt;5,"BELOW 10–500 minimum (P-23)",IF(F47&lt;7,"Near 10–500 minimum","OK"))))</f>
        <v/>
      </c>
      <c r="U47" s="71">
        <f>IF(O47&gt;=28,"A — anchor",IF(O47&gt;=10,"B — heavy",IF(O47&gt;=4,"C — moderate","D — tail")))</f>
        <v/>
      </c>
    </row>
    <row r="48" ht="15" customHeight="1" s="48">
      <c r="A48" s="58" t="inlineStr">
        <is>
          <t>EMP-1044</t>
        </is>
      </c>
      <c r="B48" s="58" t="inlineStr">
        <is>
          <t>Zephyr Advisors</t>
        </is>
      </c>
      <c r="C48" s="58" t="inlineStr">
        <is>
          <t>Professional Services</t>
        </is>
      </c>
      <c r="D48" s="58" t="inlineStr">
        <is>
          <t>Low</t>
        </is>
      </c>
      <c r="E48" s="72" t="n">
        <v>12</v>
      </c>
      <c r="F48" s="72" t="n">
        <v>8</v>
      </c>
      <c r="G48" s="73">
        <f>IFERROR(F48/E48,0)</f>
        <v/>
      </c>
      <c r="H48" s="58">
        <f>IF(E48&lt;=8,"$25",IF(E48&lt;=20,"$30",IF(E48&lt;=199,"$35","$50")))</f>
        <v/>
      </c>
      <c r="I48" s="58">
        <f>IF(E48&lt;=19,"Cal-COBRA","Federal COBRA")</f>
        <v/>
      </c>
      <c r="J48" s="58" t="inlineStr">
        <is>
          <t>Los Angeles</t>
        </is>
      </c>
      <c r="K48" s="58" t="inlineStr">
        <is>
          <t>Nov</t>
        </is>
      </c>
      <c r="L48" s="58" t="inlineStr">
        <is>
          <t>BRK-19</t>
        </is>
      </c>
      <c r="M48" s="58" t="inlineStr">
        <is>
          <t>ER</t>
        </is>
      </c>
      <c r="N48" s="58" t="inlineStr">
        <is>
          <t>Dental + Life</t>
        </is>
      </c>
      <c r="O48" s="58" t="n">
        <v>4</v>
      </c>
      <c r="P48" s="58" t="n">
        <v>2</v>
      </c>
      <c r="Q48" s="58" t="n">
        <v>2</v>
      </c>
      <c r="R48" s="66">
        <f>IFERROR(O48/F48*100,0)</f>
        <v/>
      </c>
      <c r="S48" s="70">
        <f>F48*'Distribution Targets'!$C$34</f>
        <v/>
      </c>
      <c r="T48" s="71">
        <f>IF(M48="ER",IF(G48&lt;0.7,"BELOW 70% (P-18)",IF(G48&lt;0.75,"Near 70% threshold","OK")),IF(E48&lt;=9,IF(F48&lt;2,"BELOW 2–9 minimum (P-24)",IF(F48=2,"At 2–9 minimum","OK")),IF(F48&lt;5,"BELOW 10–500 minimum (P-23)",IF(F48&lt;7,"Near 10–500 minimum","OK"))))</f>
        <v/>
      </c>
      <c r="U48" s="71">
        <f>IF(O48&gt;=28,"A — anchor",IF(O48&gt;=10,"B — heavy",IF(O48&gt;=4,"C — moderate","D — tail")))</f>
        <v/>
      </c>
    </row>
    <row r="49" ht="15" customHeight="1" s="48">
      <c r="A49" s="56" t="inlineStr">
        <is>
          <t>EMP-1045</t>
        </is>
      </c>
      <c r="B49" s="56" t="inlineStr">
        <is>
          <t>Aviston Technologies</t>
        </is>
      </c>
      <c r="C49" s="56" t="inlineStr">
        <is>
          <t>Technology</t>
        </is>
      </c>
      <c r="D49" s="56" t="inlineStr">
        <is>
          <t>Low</t>
        </is>
      </c>
      <c r="E49" s="68" t="n">
        <v>10</v>
      </c>
      <c r="F49" s="68" t="n">
        <v>6</v>
      </c>
      <c r="G49" s="69">
        <f>IFERROR(F49/E49,0)</f>
        <v/>
      </c>
      <c r="H49" s="56">
        <f>IF(E49&lt;=8,"$25",IF(E49&lt;=20,"$30",IF(E49&lt;=199,"$35","$50")))</f>
        <v/>
      </c>
      <c r="I49" s="56">
        <f>IF(E49&lt;=19,"Cal-COBRA","Federal COBRA")</f>
        <v/>
      </c>
      <c r="J49" s="56" t="inlineStr">
        <is>
          <t>San Diego</t>
        </is>
      </c>
      <c r="K49" s="56" t="inlineStr">
        <is>
          <t>Dec</t>
        </is>
      </c>
      <c r="L49" s="56" t="inlineStr">
        <is>
          <t>BRK-25</t>
        </is>
      </c>
      <c r="M49" s="56" t="inlineStr">
        <is>
          <t>VOL</t>
        </is>
      </c>
      <c r="N49" s="56" t="inlineStr">
        <is>
          <t>Dental + Vision + Chiro</t>
        </is>
      </c>
      <c r="O49" s="56" t="n">
        <v>4</v>
      </c>
      <c r="P49" s="56" t="n">
        <v>2</v>
      </c>
      <c r="Q49" s="56" t="n">
        <v>2</v>
      </c>
      <c r="R49" s="65">
        <f>IFERROR(O49/F49*100,0)</f>
        <v/>
      </c>
      <c r="S49" s="70">
        <f>F49*'Distribution Targets'!$C$34</f>
        <v/>
      </c>
      <c r="T49" s="71">
        <f>IF(M49="ER",IF(G49&lt;0.7,"BELOW 70% (P-18)",IF(G49&lt;0.75,"Near 70% threshold","OK")),IF(E49&lt;=9,IF(F49&lt;2,"BELOW 2–9 minimum (P-24)",IF(F49=2,"At 2–9 minimum","OK")),IF(F49&lt;5,"BELOW 10–500 minimum (P-23)",IF(F49&lt;7,"Near 10–500 minimum","OK"))))</f>
        <v/>
      </c>
      <c r="U49" s="71">
        <f>IF(O49&gt;=28,"A — anchor",IF(O49&gt;=10,"B — heavy",IF(O49&gt;=4,"C — moderate","D — tail")))</f>
        <v/>
      </c>
    </row>
    <row r="50" ht="15" customHeight="1" s="48">
      <c r="A50" s="58" t="inlineStr">
        <is>
          <t>EMP-1046</t>
        </is>
      </c>
      <c r="B50" s="58" t="inlineStr">
        <is>
          <t>Brightwater Workforce Partners</t>
        </is>
      </c>
      <c r="C50" s="58" t="inlineStr">
        <is>
          <t>Staffing &amp; Recruitment</t>
        </is>
      </c>
      <c r="D50" s="58" t="inlineStr">
        <is>
          <t>High</t>
        </is>
      </c>
      <c r="E50" s="72" t="n">
        <v>150</v>
      </c>
      <c r="F50" s="72" t="n">
        <v>141</v>
      </c>
      <c r="G50" s="73">
        <f>IFERROR(F50/E50,0)</f>
        <v/>
      </c>
      <c r="H50" s="58">
        <f>IF(E50&lt;=8,"$25",IF(E50&lt;=20,"$30",IF(E50&lt;=199,"$35","$50")))</f>
        <v/>
      </c>
      <c r="I50" s="58">
        <f>IF(E50&lt;=19,"Cal-COBRA","Federal COBRA")</f>
        <v/>
      </c>
      <c r="J50" s="58" t="inlineStr">
        <is>
          <t>Inland Empire</t>
        </is>
      </c>
      <c r="K50" s="58" t="inlineStr">
        <is>
          <t>Jan</t>
        </is>
      </c>
      <c r="L50" s="58" t="inlineStr">
        <is>
          <t>BRK-06</t>
        </is>
      </c>
      <c r="M50" s="58" t="inlineStr">
        <is>
          <t>ER</t>
        </is>
      </c>
      <c r="N50" s="58" t="inlineStr">
        <is>
          <t>Dental + Chiro</t>
        </is>
      </c>
      <c r="O50" s="58" t="n">
        <v>3</v>
      </c>
      <c r="P50" s="58" t="n">
        <v>2</v>
      </c>
      <c r="Q50" s="58" t="n">
        <v>1</v>
      </c>
      <c r="R50" s="66">
        <f>IFERROR(O50/F50*100,0)</f>
        <v/>
      </c>
      <c r="S50" s="70">
        <f>F50*'Distribution Targets'!$C$34</f>
        <v/>
      </c>
      <c r="T50" s="71">
        <f>IF(M50="ER",IF(G50&lt;0.7,"BELOW 70% (P-18)",IF(G50&lt;0.75,"Near 70% threshold","OK")),IF(E50&lt;=9,IF(F50&lt;2,"BELOW 2–9 minimum (P-24)",IF(F50=2,"At 2–9 minimum","OK")),IF(F50&lt;5,"BELOW 10–500 minimum (P-23)",IF(F50&lt;7,"Near 10–500 minimum","OK"))))</f>
        <v/>
      </c>
      <c r="U50" s="71">
        <f>IF(O50&gt;=28,"A — anchor",IF(O50&gt;=10,"B — heavy",IF(O50&gt;=4,"C — moderate","D — tail")))</f>
        <v/>
      </c>
    </row>
    <row r="51" ht="15" customHeight="1" s="48">
      <c r="A51" s="56" t="inlineStr">
        <is>
          <t>EMP-1047</t>
        </is>
      </c>
      <c r="B51" s="56" t="inlineStr">
        <is>
          <t>Corvina Catering Co</t>
        </is>
      </c>
      <c r="C51" s="56" t="inlineStr">
        <is>
          <t>Hospitality &amp; Food Service</t>
        </is>
      </c>
      <c r="D51" s="56" t="inlineStr">
        <is>
          <t>High</t>
        </is>
      </c>
      <c r="E51" s="68" t="n">
        <v>120</v>
      </c>
      <c r="F51" s="68" t="n">
        <v>74</v>
      </c>
      <c r="G51" s="69">
        <f>IFERROR(F51/E51,0)</f>
        <v/>
      </c>
      <c r="H51" s="56">
        <f>IF(E51&lt;=8,"$25",IF(E51&lt;=20,"$30",IF(E51&lt;=199,"$35","$50")))</f>
        <v/>
      </c>
      <c r="I51" s="56">
        <f>IF(E51&lt;=19,"Cal-COBRA","Federal COBRA")</f>
        <v/>
      </c>
      <c r="J51" s="56" t="inlineStr">
        <is>
          <t>Central Valley</t>
        </is>
      </c>
      <c r="K51" s="56" t="inlineStr">
        <is>
          <t>Feb</t>
        </is>
      </c>
      <c r="L51" s="56" t="inlineStr">
        <is>
          <t>BRK-07</t>
        </is>
      </c>
      <c r="M51" s="56" t="inlineStr">
        <is>
          <t>VOL</t>
        </is>
      </c>
      <c r="N51" s="56" t="inlineStr">
        <is>
          <t>Dental + Chiro</t>
        </is>
      </c>
      <c r="O51" s="56" t="n">
        <v>3</v>
      </c>
      <c r="P51" s="56" t="n">
        <v>2</v>
      </c>
      <c r="Q51" s="56" t="n">
        <v>1</v>
      </c>
      <c r="R51" s="65">
        <f>IFERROR(O51/F51*100,0)</f>
        <v/>
      </c>
      <c r="S51" s="70">
        <f>F51*'Distribution Targets'!$C$34</f>
        <v/>
      </c>
      <c r="T51" s="71">
        <f>IF(M51="ER",IF(G51&lt;0.7,"BELOW 70% (P-18)",IF(G51&lt;0.75,"Near 70% threshold","OK")),IF(E51&lt;=9,IF(F51&lt;2,"BELOW 2–9 minimum (P-24)",IF(F51=2,"At 2–9 minimum","OK")),IF(F51&lt;5,"BELOW 10–500 minimum (P-23)",IF(F51&lt;7,"Near 10–500 minimum","OK"))))</f>
        <v/>
      </c>
      <c r="U51" s="71">
        <f>IF(O51&gt;=28,"A — anchor",IF(O51&gt;=10,"B — heavy",IF(O51&gt;=4,"C — moderate","D — tail")))</f>
        <v/>
      </c>
    </row>
    <row r="52" ht="15" customHeight="1" s="48">
      <c r="A52" s="58" t="inlineStr">
        <is>
          <t>EMP-1048</t>
        </is>
      </c>
      <c r="B52" s="58" t="inlineStr">
        <is>
          <t>Dunsmuir Construction</t>
        </is>
      </c>
      <c r="C52" s="58" t="inlineStr">
        <is>
          <t>Construction &amp; Trades</t>
        </is>
      </c>
      <c r="D52" s="58" t="inlineStr">
        <is>
          <t>High</t>
        </is>
      </c>
      <c r="E52" s="72" t="n">
        <v>96</v>
      </c>
      <c r="F52" s="72" t="n">
        <v>25</v>
      </c>
      <c r="G52" s="73">
        <f>IFERROR(F52/E52,0)</f>
        <v/>
      </c>
      <c r="H52" s="58">
        <f>IF(E52&lt;=8,"$25",IF(E52&lt;=20,"$30",IF(E52&lt;=199,"$35","$50")))</f>
        <v/>
      </c>
      <c r="I52" s="58">
        <f>IF(E52&lt;=19,"Cal-COBRA","Federal COBRA")</f>
        <v/>
      </c>
      <c r="J52" s="58" t="inlineStr">
        <is>
          <t>Bay Area</t>
        </is>
      </c>
      <c r="K52" s="58" t="inlineStr">
        <is>
          <t>Mar</t>
        </is>
      </c>
      <c r="L52" s="58" t="inlineStr">
        <is>
          <t>BRK-08</t>
        </is>
      </c>
      <c r="M52" s="58" t="inlineStr">
        <is>
          <t>VOL</t>
        </is>
      </c>
      <c r="N52" s="58" t="inlineStr">
        <is>
          <t>Dental + Chiro</t>
        </is>
      </c>
      <c r="O52" s="58" t="n">
        <v>3</v>
      </c>
      <c r="P52" s="58" t="n">
        <v>2</v>
      </c>
      <c r="Q52" s="58" t="n">
        <v>1</v>
      </c>
      <c r="R52" s="66">
        <f>IFERROR(O52/F52*100,0)</f>
        <v/>
      </c>
      <c r="S52" s="70">
        <f>F52*'Distribution Targets'!$C$34</f>
        <v/>
      </c>
      <c r="T52" s="71">
        <f>IF(M52="ER",IF(G52&lt;0.7,"BELOW 70% (P-18)",IF(G52&lt;0.75,"Near 70% threshold","OK")),IF(E52&lt;=9,IF(F52&lt;2,"BELOW 2–9 minimum (P-24)",IF(F52=2,"At 2–9 minimum","OK")),IF(F52&lt;5,"BELOW 10–500 minimum (P-23)",IF(F52&lt;7,"Near 10–500 minimum","OK"))))</f>
        <v/>
      </c>
      <c r="U52" s="71">
        <f>IF(O52&gt;=28,"A — anchor",IF(O52&gt;=10,"B — heavy",IF(O52&gt;=4,"C — moderate","D — tail")))</f>
        <v/>
      </c>
    </row>
    <row r="53" ht="15" customHeight="1" s="48">
      <c r="A53" s="56" t="inlineStr">
        <is>
          <t>EMP-1049</t>
        </is>
      </c>
      <c r="B53" s="56" t="inlineStr">
        <is>
          <t>Elkhorn Precision Tooling</t>
        </is>
      </c>
      <c r="C53" s="56" t="inlineStr">
        <is>
          <t>Manufacturing</t>
        </is>
      </c>
      <c r="D53" s="56" t="inlineStr">
        <is>
          <t>Medium</t>
        </is>
      </c>
      <c r="E53" s="68" t="n">
        <v>74</v>
      </c>
      <c r="F53" s="68" t="n">
        <v>56</v>
      </c>
      <c r="G53" s="69">
        <f>IFERROR(F53/E53,0)</f>
        <v/>
      </c>
      <c r="H53" s="56">
        <f>IF(E53&lt;=8,"$25",IF(E53&lt;=20,"$30",IF(E53&lt;=199,"$35","$50")))</f>
        <v/>
      </c>
      <c r="I53" s="56">
        <f>IF(E53&lt;=19,"Cal-COBRA","Federal COBRA")</f>
        <v/>
      </c>
      <c r="J53" s="56" t="inlineStr">
        <is>
          <t>Orange County</t>
        </is>
      </c>
      <c r="K53" s="56" t="inlineStr">
        <is>
          <t>Apr</t>
        </is>
      </c>
      <c r="L53" s="56" t="inlineStr">
        <is>
          <t>BRK-09</t>
        </is>
      </c>
      <c r="M53" s="56" t="inlineStr">
        <is>
          <t>ER</t>
        </is>
      </c>
      <c r="N53" s="56" t="inlineStr">
        <is>
          <t>Dental + Life</t>
        </is>
      </c>
      <c r="O53" s="56" t="n">
        <v>3</v>
      </c>
      <c r="P53" s="56" t="n">
        <v>2</v>
      </c>
      <c r="Q53" s="56" t="n">
        <v>1</v>
      </c>
      <c r="R53" s="65">
        <f>IFERROR(O53/F53*100,0)</f>
        <v/>
      </c>
      <c r="S53" s="70">
        <f>F53*'Distribution Targets'!$C$34</f>
        <v/>
      </c>
      <c r="T53" s="71">
        <f>IF(M53="ER",IF(G53&lt;0.7,"BELOW 70% (P-18)",IF(G53&lt;0.75,"Near 70% threshold","OK")),IF(E53&lt;=9,IF(F53&lt;2,"BELOW 2–9 minimum (P-24)",IF(F53=2,"At 2–9 minimum","OK")),IF(F53&lt;5,"BELOW 10–500 minimum (P-23)",IF(F53&lt;7,"Near 10–500 minimum","OK"))))</f>
        <v/>
      </c>
      <c r="U53" s="71">
        <f>IF(O53&gt;=28,"A — anchor",IF(O53&gt;=10,"B — heavy",IF(O53&gt;=4,"C — moderate","D — tail")))</f>
        <v/>
      </c>
    </row>
    <row r="54" ht="15" customHeight="1" s="48">
      <c r="A54" s="58" t="inlineStr">
        <is>
          <t>EMP-1050</t>
        </is>
      </c>
      <c r="B54" s="58" t="inlineStr">
        <is>
          <t>Fernbrook Medical Group</t>
        </is>
      </c>
      <c r="C54" s="58" t="inlineStr">
        <is>
          <t>Healthcare Services</t>
        </is>
      </c>
      <c r="D54" s="58" t="inlineStr">
        <is>
          <t>Medium</t>
        </is>
      </c>
      <c r="E54" s="72" t="n">
        <v>58</v>
      </c>
      <c r="F54" s="72" t="n">
        <v>15</v>
      </c>
      <c r="G54" s="73">
        <f>IFERROR(F54/E54,0)</f>
        <v/>
      </c>
      <c r="H54" s="58">
        <f>IF(E54&lt;=8,"$25",IF(E54&lt;=20,"$30",IF(E54&lt;=199,"$35","$50")))</f>
        <v/>
      </c>
      <c r="I54" s="58">
        <f>IF(E54&lt;=19,"Cal-COBRA","Federal COBRA")</f>
        <v/>
      </c>
      <c r="J54" s="58" t="inlineStr">
        <is>
          <t>Los Angeles</t>
        </is>
      </c>
      <c r="K54" s="58" t="inlineStr">
        <is>
          <t>May</t>
        </is>
      </c>
      <c r="L54" s="58" t="inlineStr">
        <is>
          <t>BRK-10</t>
        </is>
      </c>
      <c r="M54" s="58" t="inlineStr">
        <is>
          <t>VOL</t>
        </is>
      </c>
      <c r="N54" s="58" t="inlineStr">
        <is>
          <t>Dental + Chiro</t>
        </is>
      </c>
      <c r="O54" s="58" t="n">
        <v>3</v>
      </c>
      <c r="P54" s="58" t="n">
        <v>2</v>
      </c>
      <c r="Q54" s="58" t="n">
        <v>1</v>
      </c>
      <c r="R54" s="66">
        <f>IFERROR(O54/F54*100,0)</f>
        <v/>
      </c>
      <c r="S54" s="70">
        <f>F54*'Distribution Targets'!$C$34</f>
        <v/>
      </c>
      <c r="T54" s="71">
        <f>IF(M54="ER",IF(G54&lt;0.7,"BELOW 70% (P-18)",IF(G54&lt;0.75,"Near 70% threshold","OK")),IF(E54&lt;=9,IF(F54&lt;2,"BELOW 2–9 minimum (P-24)",IF(F54=2,"At 2–9 minimum","OK")),IF(F54&lt;5,"BELOW 10–500 minimum (P-23)",IF(F54&lt;7,"Near 10–500 minimum","OK"))))</f>
        <v/>
      </c>
      <c r="U54" s="71">
        <f>IF(O54&gt;=28,"A — anchor",IF(O54&gt;=10,"B — heavy",IF(O54&gt;=4,"C — moderate","D — tail")))</f>
        <v/>
      </c>
    </row>
    <row r="55" ht="15" customHeight="1" s="48">
      <c r="A55" s="56" t="inlineStr">
        <is>
          <t>EMP-1051</t>
        </is>
      </c>
      <c r="B55" s="56" t="inlineStr">
        <is>
          <t>Goldstream Markets</t>
        </is>
      </c>
      <c r="C55" s="56" t="inlineStr">
        <is>
          <t>Retail</t>
        </is>
      </c>
      <c r="D55" s="56" t="inlineStr">
        <is>
          <t>Medium</t>
        </is>
      </c>
      <c r="E55" s="68" t="n">
        <v>44</v>
      </c>
      <c r="F55" s="68" t="n">
        <v>26</v>
      </c>
      <c r="G55" s="69">
        <f>IFERROR(F55/E55,0)</f>
        <v/>
      </c>
      <c r="H55" s="56">
        <f>IF(E55&lt;=8,"$25",IF(E55&lt;=20,"$30",IF(E55&lt;=199,"$35","$50")))</f>
        <v/>
      </c>
      <c r="I55" s="56">
        <f>IF(E55&lt;=19,"Cal-COBRA","Federal COBRA")</f>
        <v/>
      </c>
      <c r="J55" s="56" t="inlineStr">
        <is>
          <t>San Diego</t>
        </is>
      </c>
      <c r="K55" s="56" t="inlineStr">
        <is>
          <t>Jun</t>
        </is>
      </c>
      <c r="L55" s="56" t="inlineStr">
        <is>
          <t>BRK-16</t>
        </is>
      </c>
      <c r="M55" s="56" t="inlineStr">
        <is>
          <t>VOL</t>
        </is>
      </c>
      <c r="N55" s="56" t="inlineStr">
        <is>
          <t>Dental</t>
        </is>
      </c>
      <c r="O55" s="56" t="n">
        <v>3</v>
      </c>
      <c r="P55" s="56" t="n">
        <v>2</v>
      </c>
      <c r="Q55" s="56" t="n">
        <v>1</v>
      </c>
      <c r="R55" s="65">
        <f>IFERROR(O55/F55*100,0)</f>
        <v/>
      </c>
      <c r="S55" s="70">
        <f>F55*'Distribution Targets'!$C$34</f>
        <v/>
      </c>
      <c r="T55" s="71">
        <f>IF(M55="ER",IF(G55&lt;0.7,"BELOW 70% (P-18)",IF(G55&lt;0.75,"Near 70% threshold","OK")),IF(E55&lt;=9,IF(F55&lt;2,"BELOW 2–9 minimum (P-24)",IF(F55=2,"At 2–9 minimum","OK")),IF(F55&lt;5,"BELOW 10–500 minimum (P-23)",IF(F55&lt;7,"Near 10–500 minimum","OK"))))</f>
        <v/>
      </c>
      <c r="U55" s="71">
        <f>IF(O55&gt;=28,"A — anchor",IF(O55&gt;=10,"B — heavy",IF(O55&gt;=4,"C — moderate","D — tail")))</f>
        <v/>
      </c>
    </row>
    <row r="56" ht="15" customHeight="1" s="48">
      <c r="A56" s="58" t="inlineStr">
        <is>
          <t>EMP-1052</t>
        </is>
      </c>
      <c r="B56" s="58" t="inlineStr">
        <is>
          <t>Hartwell Freight</t>
        </is>
      </c>
      <c r="C56" s="58" t="inlineStr">
        <is>
          <t>Logistics &amp; Transport</t>
        </is>
      </c>
      <c r="D56" s="58" t="inlineStr">
        <is>
          <t>Medium</t>
        </is>
      </c>
      <c r="E56" s="72" t="n">
        <v>35</v>
      </c>
      <c r="F56" s="72" t="n">
        <v>33</v>
      </c>
      <c r="G56" s="73">
        <f>IFERROR(F56/E56,0)</f>
        <v/>
      </c>
      <c r="H56" s="58">
        <f>IF(E56&lt;=8,"$25",IF(E56&lt;=20,"$30",IF(E56&lt;=199,"$35","$50")))</f>
        <v/>
      </c>
      <c r="I56" s="58">
        <f>IF(E56&lt;=19,"Cal-COBRA","Federal COBRA")</f>
        <v/>
      </c>
      <c r="J56" s="58" t="inlineStr">
        <is>
          <t>Inland Empire</t>
        </is>
      </c>
      <c r="K56" s="58" t="inlineStr">
        <is>
          <t>Jul</t>
        </is>
      </c>
      <c r="L56" s="58" t="inlineStr">
        <is>
          <t>BRK-17</t>
        </is>
      </c>
      <c r="M56" s="58" t="inlineStr">
        <is>
          <t>ER</t>
        </is>
      </c>
      <c r="N56" s="58" t="inlineStr">
        <is>
          <t>Dental + Vision + Life + Chiro</t>
        </is>
      </c>
      <c r="O56" s="58" t="n">
        <v>3</v>
      </c>
      <c r="P56" s="58" t="n">
        <v>2</v>
      </c>
      <c r="Q56" s="58" t="n">
        <v>1</v>
      </c>
      <c r="R56" s="66">
        <f>IFERROR(O56/F56*100,0)</f>
        <v/>
      </c>
      <c r="S56" s="70">
        <f>F56*'Distribution Targets'!$C$34</f>
        <v/>
      </c>
      <c r="T56" s="71">
        <f>IF(M56="ER",IF(G56&lt;0.7,"BELOW 70% (P-18)",IF(G56&lt;0.75,"Near 70% threshold","OK")),IF(E56&lt;=9,IF(F56&lt;2,"BELOW 2–9 minimum (P-24)",IF(F56=2,"At 2–9 minimum","OK")),IF(F56&lt;5,"BELOW 10–500 minimum (P-23)",IF(F56&lt;7,"Near 10–500 minimum","OK"))))</f>
        <v/>
      </c>
      <c r="U56" s="71">
        <f>IF(O56&gt;=28,"A — anchor",IF(O56&gt;=10,"B — heavy",IF(O56&gt;=4,"C — moderate","D — tail")))</f>
        <v/>
      </c>
    </row>
    <row r="57" ht="15" customHeight="1" s="48">
      <c r="A57" s="56" t="inlineStr">
        <is>
          <t>EMP-1053</t>
        </is>
      </c>
      <c r="B57" s="56" t="inlineStr">
        <is>
          <t>Inglewood Associates</t>
        </is>
      </c>
      <c r="C57" s="56" t="inlineStr">
        <is>
          <t>Professional Services</t>
        </is>
      </c>
      <c r="D57" s="56" t="inlineStr">
        <is>
          <t>Low</t>
        </is>
      </c>
      <c r="E57" s="68" t="n">
        <v>28</v>
      </c>
      <c r="F57" s="68" t="n">
        <v>17</v>
      </c>
      <c r="G57" s="69">
        <f>IFERROR(F57/E57,0)</f>
        <v/>
      </c>
      <c r="H57" s="56">
        <f>IF(E57&lt;=8,"$25",IF(E57&lt;=20,"$30",IF(E57&lt;=199,"$35","$50")))</f>
        <v/>
      </c>
      <c r="I57" s="56">
        <f>IF(E57&lt;=19,"Cal-COBRA","Federal COBRA")</f>
        <v/>
      </c>
      <c r="J57" s="56" t="inlineStr">
        <is>
          <t>Central Valley</t>
        </is>
      </c>
      <c r="K57" s="56" t="inlineStr">
        <is>
          <t>Aug</t>
        </is>
      </c>
      <c r="L57" s="56" t="inlineStr">
        <is>
          <t>BRK-20</t>
        </is>
      </c>
      <c r="M57" s="56" t="inlineStr">
        <is>
          <t>VOL</t>
        </is>
      </c>
      <c r="N57" s="56" t="inlineStr">
        <is>
          <t>Dental + Vision + Chiro</t>
        </is>
      </c>
      <c r="O57" s="56" t="n">
        <v>3</v>
      </c>
      <c r="P57" s="56" t="n">
        <v>2</v>
      </c>
      <c r="Q57" s="56" t="n">
        <v>1</v>
      </c>
      <c r="R57" s="65">
        <f>IFERROR(O57/F57*100,0)</f>
        <v/>
      </c>
      <c r="S57" s="70">
        <f>F57*'Distribution Targets'!$C$34</f>
        <v/>
      </c>
      <c r="T57" s="71">
        <f>IF(M57="ER",IF(G57&lt;0.7,"BELOW 70% (P-18)",IF(G57&lt;0.75,"Near 70% threshold","OK")),IF(E57&lt;=9,IF(F57&lt;2,"BELOW 2–9 minimum (P-24)",IF(F57=2,"At 2–9 minimum","OK")),IF(F57&lt;5,"BELOW 10–500 minimum (P-23)",IF(F57&lt;7,"Near 10–500 minimum","OK"))))</f>
        <v/>
      </c>
      <c r="U57" s="71">
        <f>IF(O57&gt;=28,"A — anchor",IF(O57&gt;=10,"B — heavy",IF(O57&gt;=4,"C — moderate","D — tail")))</f>
        <v/>
      </c>
    </row>
    <row r="58" ht="15" customHeight="1" s="48">
      <c r="A58" s="58" t="inlineStr">
        <is>
          <t>EMP-1054</t>
        </is>
      </c>
      <c r="B58" s="58" t="inlineStr">
        <is>
          <t>Jessup Systems</t>
        </is>
      </c>
      <c r="C58" s="58" t="inlineStr">
        <is>
          <t>Technology</t>
        </is>
      </c>
      <c r="D58" s="58" t="inlineStr">
        <is>
          <t>Low</t>
        </is>
      </c>
      <c r="E58" s="72" t="n">
        <v>24</v>
      </c>
      <c r="F58" s="72" t="n">
        <v>8</v>
      </c>
      <c r="G58" s="73">
        <f>IFERROR(F58/E58,0)</f>
        <v/>
      </c>
      <c r="H58" s="58">
        <f>IF(E58&lt;=8,"$25",IF(E58&lt;=20,"$30",IF(E58&lt;=199,"$35","$50")))</f>
        <v/>
      </c>
      <c r="I58" s="58">
        <f>IF(E58&lt;=19,"Cal-COBRA","Federal COBRA")</f>
        <v/>
      </c>
      <c r="J58" s="58" t="inlineStr">
        <is>
          <t>Bay Area</t>
        </is>
      </c>
      <c r="K58" s="58" t="inlineStr">
        <is>
          <t>Sep</t>
        </is>
      </c>
      <c r="L58" s="58" t="inlineStr">
        <is>
          <t>BRK-21</t>
        </is>
      </c>
      <c r="M58" s="58" t="inlineStr">
        <is>
          <t>VOL</t>
        </is>
      </c>
      <c r="N58" s="58" t="inlineStr">
        <is>
          <t>Dental + Vision</t>
        </is>
      </c>
      <c r="O58" s="58" t="n">
        <v>3</v>
      </c>
      <c r="P58" s="58" t="n">
        <v>2</v>
      </c>
      <c r="Q58" s="58" t="n">
        <v>1</v>
      </c>
      <c r="R58" s="66">
        <f>IFERROR(O58/F58*100,0)</f>
        <v/>
      </c>
      <c r="S58" s="70">
        <f>F58*'Distribution Targets'!$C$34</f>
        <v/>
      </c>
      <c r="T58" s="71">
        <f>IF(M58="ER",IF(G58&lt;0.7,"BELOW 70% (P-18)",IF(G58&lt;0.75,"Near 70% threshold","OK")),IF(E58&lt;=9,IF(F58&lt;2,"BELOW 2–9 minimum (P-24)",IF(F58=2,"At 2–9 minimum","OK")),IF(F58&lt;5,"BELOW 10–500 minimum (P-23)",IF(F58&lt;7,"Near 10–500 minimum","OK"))))</f>
        <v/>
      </c>
      <c r="U58" s="71">
        <f>IF(O58&gt;=28,"A — anchor",IF(O58&gt;=10,"B — heavy",IF(O58&gt;=4,"C — moderate","D — tail")))</f>
        <v/>
      </c>
    </row>
    <row r="59" ht="15" customHeight="1" s="48">
      <c r="A59" s="56" t="inlineStr">
        <is>
          <t>EMP-1055</t>
        </is>
      </c>
      <c r="B59" s="56" t="inlineStr">
        <is>
          <t>Kelso Personnel Group</t>
        </is>
      </c>
      <c r="C59" s="56" t="inlineStr">
        <is>
          <t>Staffing &amp; Recruitment</t>
        </is>
      </c>
      <c r="D59" s="56" t="inlineStr">
        <is>
          <t>High</t>
        </is>
      </c>
      <c r="E59" s="68" t="n">
        <v>20</v>
      </c>
      <c r="F59" s="68" t="n">
        <v>14</v>
      </c>
      <c r="G59" s="69">
        <f>IFERROR(F59/E59,0)</f>
        <v/>
      </c>
      <c r="H59" s="56">
        <f>IF(E59&lt;=8,"$25",IF(E59&lt;=20,"$30",IF(E59&lt;=199,"$35","$50")))</f>
        <v/>
      </c>
      <c r="I59" s="56">
        <f>IF(E59&lt;=19,"Cal-COBRA","Federal COBRA")</f>
        <v/>
      </c>
      <c r="J59" s="56" t="inlineStr">
        <is>
          <t>Orange County</t>
        </is>
      </c>
      <c r="K59" s="56" t="inlineStr">
        <is>
          <t>Oct</t>
        </is>
      </c>
      <c r="L59" s="56" t="inlineStr">
        <is>
          <t>BRK-24</t>
        </is>
      </c>
      <c r="M59" s="56" t="inlineStr">
        <is>
          <t>ER</t>
        </is>
      </c>
      <c r="N59" s="56" t="inlineStr">
        <is>
          <t>Dental + Vision</t>
        </is>
      </c>
      <c r="O59" s="56" t="n">
        <v>3</v>
      </c>
      <c r="P59" s="56" t="n">
        <v>2</v>
      </c>
      <c r="Q59" s="56" t="n">
        <v>1</v>
      </c>
      <c r="R59" s="65">
        <f>IFERROR(O59/F59*100,0)</f>
        <v/>
      </c>
      <c r="S59" s="70">
        <f>F59*'Distribution Targets'!$C$34</f>
        <v/>
      </c>
      <c r="T59" s="71">
        <f>IF(M59="ER",IF(G59&lt;0.7,"BELOW 70% (P-18)",IF(G59&lt;0.75,"Near 70% threshold","OK")),IF(E59&lt;=9,IF(F59&lt;2,"BELOW 2–9 minimum (P-24)",IF(F59=2,"At 2–9 minimum","OK")),IF(F59&lt;5,"BELOW 10–500 minimum (P-23)",IF(F59&lt;7,"Near 10–500 minimum","OK"))))</f>
        <v/>
      </c>
      <c r="U59" s="71">
        <f>IF(O59&gt;=28,"A — anchor",IF(O59&gt;=10,"B — heavy",IF(O59&gt;=4,"C — moderate","D — tail")))</f>
        <v/>
      </c>
    </row>
    <row r="60" ht="15" customHeight="1" s="48">
      <c r="A60" s="58" t="inlineStr">
        <is>
          <t>EMP-1056</t>
        </is>
      </c>
      <c r="B60" s="58" t="inlineStr">
        <is>
          <t>Lowry Restaurant Group</t>
        </is>
      </c>
      <c r="C60" s="58" t="inlineStr">
        <is>
          <t>Hospitality &amp; Food Service</t>
        </is>
      </c>
      <c r="D60" s="58" t="inlineStr">
        <is>
          <t>High</t>
        </is>
      </c>
      <c r="E60" s="72" t="n">
        <v>19</v>
      </c>
      <c r="F60" s="72" t="n">
        <v>5</v>
      </c>
      <c r="G60" s="73">
        <f>IFERROR(F60/E60,0)</f>
        <v/>
      </c>
      <c r="H60" s="58">
        <f>IF(E60&lt;=8,"$25",IF(E60&lt;=20,"$30",IF(E60&lt;=199,"$35","$50")))</f>
        <v/>
      </c>
      <c r="I60" s="58">
        <f>IF(E60&lt;=19,"Cal-COBRA","Federal COBRA")</f>
        <v/>
      </c>
      <c r="J60" s="58" t="inlineStr">
        <is>
          <t>Los Angeles</t>
        </is>
      </c>
      <c r="K60" s="58" t="inlineStr">
        <is>
          <t>Nov</t>
        </is>
      </c>
      <c r="L60" s="58" t="inlineStr">
        <is>
          <t>BRK-26</t>
        </is>
      </c>
      <c r="M60" s="58" t="inlineStr">
        <is>
          <t>VOL</t>
        </is>
      </c>
      <c r="N60" s="58" t="inlineStr">
        <is>
          <t>Dental</t>
        </is>
      </c>
      <c r="O60" s="58" t="n">
        <v>2</v>
      </c>
      <c r="P60" s="58" t="n">
        <v>1</v>
      </c>
      <c r="Q60" s="58" t="n">
        <v>1</v>
      </c>
      <c r="R60" s="66">
        <f>IFERROR(O60/F60*100,0)</f>
        <v/>
      </c>
      <c r="S60" s="70">
        <f>F60*'Distribution Targets'!$C$34</f>
        <v/>
      </c>
      <c r="T60" s="71">
        <f>IF(M60="ER",IF(G60&lt;0.7,"BELOW 70% (P-18)",IF(G60&lt;0.75,"Near 70% threshold","OK")),IF(E60&lt;=9,IF(F60&lt;2,"BELOW 2–9 minimum (P-24)",IF(F60=2,"At 2–9 minimum","OK")),IF(F60&lt;5,"BELOW 10–500 minimum (P-23)",IF(F60&lt;7,"Near 10–500 minimum","OK"))))</f>
        <v/>
      </c>
      <c r="U60" s="71">
        <f>IF(O60&gt;=28,"A — anchor",IF(O60&gt;=10,"B — heavy",IF(O60&gt;=4,"C — moderate","D — tail")))</f>
        <v/>
      </c>
    </row>
    <row r="61" ht="15" customHeight="1" s="48">
      <c r="A61" s="56" t="inlineStr">
        <is>
          <t>EMP-1057</t>
        </is>
      </c>
      <c r="B61" s="56" t="inlineStr">
        <is>
          <t>Maywood Mechanical</t>
        </is>
      </c>
      <c r="C61" s="56" t="inlineStr">
        <is>
          <t>Construction &amp; Trades</t>
        </is>
      </c>
      <c r="D61" s="56" t="inlineStr">
        <is>
          <t>High</t>
        </is>
      </c>
      <c r="E61" s="68" t="n">
        <v>18</v>
      </c>
      <c r="F61" s="68" t="n">
        <v>6</v>
      </c>
      <c r="G61" s="69">
        <f>IFERROR(F61/E61,0)</f>
        <v/>
      </c>
      <c r="H61" s="56">
        <f>IF(E61&lt;=8,"$25",IF(E61&lt;=20,"$30",IF(E61&lt;=199,"$35","$50")))</f>
        <v/>
      </c>
      <c r="I61" s="56">
        <f>IF(E61&lt;=19,"Cal-COBRA","Federal COBRA")</f>
        <v/>
      </c>
      <c r="J61" s="56" t="inlineStr">
        <is>
          <t>San Diego</t>
        </is>
      </c>
      <c r="K61" s="56" t="inlineStr">
        <is>
          <t>Dec</t>
        </is>
      </c>
      <c r="L61" s="56" t="inlineStr">
        <is>
          <t>BRK-30</t>
        </is>
      </c>
      <c r="M61" s="56" t="inlineStr">
        <is>
          <t>VOL</t>
        </is>
      </c>
      <c r="N61" s="56" t="inlineStr">
        <is>
          <t>Dental + Vision</t>
        </is>
      </c>
      <c r="O61" s="56" t="n">
        <v>2</v>
      </c>
      <c r="P61" s="56" t="n">
        <v>1</v>
      </c>
      <c r="Q61" s="56" t="n">
        <v>1</v>
      </c>
      <c r="R61" s="65">
        <f>IFERROR(O61/F61*100,0)</f>
        <v/>
      </c>
      <c r="S61" s="70">
        <f>F61*'Distribution Targets'!$C$34</f>
        <v/>
      </c>
      <c r="T61" s="71">
        <f>IF(M61="ER",IF(G61&lt;0.7,"BELOW 70% (P-18)",IF(G61&lt;0.75,"Near 70% threshold","OK")),IF(E61&lt;=9,IF(F61&lt;2,"BELOW 2–9 minimum (P-24)",IF(F61=2,"At 2–9 minimum","OK")),IF(F61&lt;5,"BELOW 10–500 minimum (P-23)",IF(F61&lt;7,"Near 10–500 minimum","OK"))))</f>
        <v/>
      </c>
      <c r="U61" s="71">
        <f>IF(O61&gt;=28,"A — anchor",IF(O61&gt;=10,"B — heavy",IF(O61&gt;=4,"C — moderate","D — tail")))</f>
        <v/>
      </c>
    </row>
    <row r="62" ht="15" customHeight="1" s="48">
      <c r="A62" s="58" t="inlineStr">
        <is>
          <t>EMP-1058</t>
        </is>
      </c>
      <c r="B62" s="58" t="inlineStr">
        <is>
          <t>Norwalk Precision Tooling</t>
        </is>
      </c>
      <c r="C62" s="58" t="inlineStr">
        <is>
          <t>Manufacturing</t>
        </is>
      </c>
      <c r="D62" s="58" t="inlineStr">
        <is>
          <t>Medium</t>
        </is>
      </c>
      <c r="E62" s="72" t="n">
        <v>17</v>
      </c>
      <c r="F62" s="72" t="n">
        <v>15</v>
      </c>
      <c r="G62" s="73">
        <f>IFERROR(F62/E62,0)</f>
        <v/>
      </c>
      <c r="H62" s="58">
        <f>IF(E62&lt;=8,"$25",IF(E62&lt;=20,"$30",IF(E62&lt;=199,"$35","$50")))</f>
        <v/>
      </c>
      <c r="I62" s="58">
        <f>IF(E62&lt;=19,"Cal-COBRA","Federal COBRA")</f>
        <v/>
      </c>
      <c r="J62" s="58" t="inlineStr">
        <is>
          <t>Inland Empire</t>
        </is>
      </c>
      <c r="K62" s="58" t="inlineStr">
        <is>
          <t>Jan</t>
        </is>
      </c>
      <c r="L62" s="58" t="inlineStr">
        <is>
          <t>BRK-11</t>
        </is>
      </c>
      <c r="M62" s="58" t="inlineStr">
        <is>
          <t>ER</t>
        </is>
      </c>
      <c r="N62" s="58" t="inlineStr">
        <is>
          <t>Dental + Vision + Life + Chiro</t>
        </is>
      </c>
      <c r="O62" s="58" t="n">
        <v>2</v>
      </c>
      <c r="P62" s="58" t="n">
        <v>1</v>
      </c>
      <c r="Q62" s="58" t="n">
        <v>1</v>
      </c>
      <c r="R62" s="66">
        <f>IFERROR(O62/F62*100,0)</f>
        <v/>
      </c>
      <c r="S62" s="70">
        <f>F62*'Distribution Targets'!$C$34</f>
        <v/>
      </c>
      <c r="T62" s="71">
        <f>IF(M62="ER",IF(G62&lt;0.7,"BELOW 70% (P-18)",IF(G62&lt;0.75,"Near 70% threshold","OK")),IF(E62&lt;=9,IF(F62&lt;2,"BELOW 2–9 minimum (P-24)",IF(F62=2,"At 2–9 minimum","OK")),IF(F62&lt;5,"BELOW 10–500 minimum (P-23)",IF(F62&lt;7,"Near 10–500 minimum","OK"))))</f>
        <v/>
      </c>
      <c r="U62" s="71">
        <f>IF(O62&gt;=28,"A — anchor",IF(O62&gt;=10,"B — heavy",IF(O62&gt;=4,"C — moderate","D — tail")))</f>
        <v/>
      </c>
    </row>
    <row r="63" ht="15" customHeight="1" s="48">
      <c r="A63" s="56" t="inlineStr">
        <is>
          <t>EMP-1059</t>
        </is>
      </c>
      <c r="B63" s="56" t="inlineStr">
        <is>
          <t>Orinda Home Care</t>
        </is>
      </c>
      <c r="C63" s="56" t="inlineStr">
        <is>
          <t>Healthcare Services</t>
        </is>
      </c>
      <c r="D63" s="56" t="inlineStr">
        <is>
          <t>Medium</t>
        </is>
      </c>
      <c r="E63" s="68" t="n">
        <v>16</v>
      </c>
      <c r="F63" s="68" t="n">
        <v>8</v>
      </c>
      <c r="G63" s="69">
        <f>IFERROR(F63/E63,0)</f>
        <v/>
      </c>
      <c r="H63" s="56">
        <f>IF(E63&lt;=8,"$25",IF(E63&lt;=20,"$30",IF(E63&lt;=199,"$35","$50")))</f>
        <v/>
      </c>
      <c r="I63" s="56">
        <f>IF(E63&lt;=19,"Cal-COBRA","Federal COBRA")</f>
        <v/>
      </c>
      <c r="J63" s="56" t="inlineStr">
        <is>
          <t>Central Valley</t>
        </is>
      </c>
      <c r="K63" s="56" t="inlineStr">
        <is>
          <t>Feb</t>
        </is>
      </c>
      <c r="L63" s="56" t="inlineStr">
        <is>
          <t>BRK-12</t>
        </is>
      </c>
      <c r="M63" s="56" t="inlineStr">
        <is>
          <t>VOL</t>
        </is>
      </c>
      <c r="N63" s="56" t="inlineStr">
        <is>
          <t>Dental</t>
        </is>
      </c>
      <c r="O63" s="56" t="n">
        <v>2</v>
      </c>
      <c r="P63" s="56" t="n">
        <v>1</v>
      </c>
      <c r="Q63" s="56" t="n">
        <v>1</v>
      </c>
      <c r="R63" s="65">
        <f>IFERROR(O63/F63*100,0)</f>
        <v/>
      </c>
      <c r="S63" s="70">
        <f>F63*'Distribution Targets'!$C$34</f>
        <v/>
      </c>
      <c r="T63" s="71">
        <f>IF(M63="ER",IF(G63&lt;0.7,"BELOW 70% (P-18)",IF(G63&lt;0.75,"Near 70% threshold","OK")),IF(E63&lt;=9,IF(F63&lt;2,"BELOW 2–9 minimum (P-24)",IF(F63=2,"At 2–9 minimum","OK")),IF(F63&lt;5,"BELOW 10–500 minimum (P-23)",IF(F63&lt;7,"Near 10–500 minimum","OK"))))</f>
        <v/>
      </c>
      <c r="U63" s="71">
        <f>IF(O63&gt;=28,"A — anchor",IF(O63&gt;=10,"B — heavy",IF(O63&gt;=4,"C — moderate","D — tail")))</f>
        <v/>
      </c>
    </row>
    <row r="64" ht="15" customHeight="1" s="48">
      <c r="A64" s="58" t="inlineStr">
        <is>
          <t>EMP-1060</t>
        </is>
      </c>
      <c r="B64" s="58" t="inlineStr">
        <is>
          <t>Pomerado Supply Co</t>
        </is>
      </c>
      <c r="C64" s="58" t="inlineStr">
        <is>
          <t>Retail</t>
        </is>
      </c>
      <c r="D64" s="58" t="inlineStr">
        <is>
          <t>Medium</t>
        </is>
      </c>
      <c r="E64" s="72" t="n">
        <v>15</v>
      </c>
      <c r="F64" s="72" t="n">
        <v>9</v>
      </c>
      <c r="G64" s="73">
        <f>IFERROR(F64/E64,0)</f>
        <v/>
      </c>
      <c r="H64" s="58">
        <f>IF(E64&lt;=8,"$25",IF(E64&lt;=20,"$30",IF(E64&lt;=199,"$35","$50")))</f>
        <v/>
      </c>
      <c r="I64" s="58">
        <f>IF(E64&lt;=19,"Cal-COBRA","Federal COBRA")</f>
        <v/>
      </c>
      <c r="J64" s="58" t="inlineStr">
        <is>
          <t>Bay Area</t>
        </is>
      </c>
      <c r="K64" s="58" t="inlineStr">
        <is>
          <t>Mar</t>
        </is>
      </c>
      <c r="L64" s="58" t="inlineStr">
        <is>
          <t>BRK-13</t>
        </is>
      </c>
      <c r="M64" s="58" t="inlineStr">
        <is>
          <t>VOL</t>
        </is>
      </c>
      <c r="N64" s="58" t="inlineStr">
        <is>
          <t>Dental + Chiro</t>
        </is>
      </c>
      <c r="O64" s="58" t="n">
        <v>2</v>
      </c>
      <c r="P64" s="58" t="n">
        <v>1</v>
      </c>
      <c r="Q64" s="58" t="n">
        <v>1</v>
      </c>
      <c r="R64" s="66">
        <f>IFERROR(O64/F64*100,0)</f>
        <v/>
      </c>
      <c r="S64" s="70">
        <f>F64*'Distribution Targets'!$C$34</f>
        <v/>
      </c>
      <c r="T64" s="71">
        <f>IF(M64="ER",IF(G64&lt;0.7,"BELOW 70% (P-18)",IF(G64&lt;0.75,"Near 70% threshold","OK")),IF(E64&lt;=9,IF(F64&lt;2,"BELOW 2–9 minimum (P-24)",IF(F64=2,"At 2–9 minimum","OK")),IF(F64&lt;5,"BELOW 10–500 minimum (P-23)",IF(F64&lt;7,"Near 10–500 minimum","OK"))))</f>
        <v/>
      </c>
      <c r="U64" s="71">
        <f>IF(O64&gt;=28,"A — anchor",IF(O64&gt;=10,"B — heavy",IF(O64&gt;=4,"C — moderate","D — tail")))</f>
        <v/>
      </c>
    </row>
    <row r="65" ht="15" customHeight="1" s="48">
      <c r="A65" s="56" t="inlineStr">
        <is>
          <t>EMP-1061</t>
        </is>
      </c>
      <c r="B65" s="56" t="inlineStr">
        <is>
          <t>Quintara Transport</t>
        </is>
      </c>
      <c r="C65" s="56" t="inlineStr">
        <is>
          <t>Logistics &amp; Transport</t>
        </is>
      </c>
      <c r="D65" s="56" t="inlineStr">
        <is>
          <t>Medium</t>
        </is>
      </c>
      <c r="E65" s="68" t="n">
        <v>14</v>
      </c>
      <c r="F65" s="68" t="n">
        <v>11</v>
      </c>
      <c r="G65" s="69">
        <f>IFERROR(F65/E65,0)</f>
        <v/>
      </c>
      <c r="H65" s="56">
        <f>IF(E65&lt;=8,"$25",IF(E65&lt;=20,"$30",IF(E65&lt;=199,"$35","$50")))</f>
        <v/>
      </c>
      <c r="I65" s="56">
        <f>IF(E65&lt;=19,"Cal-COBRA","Federal COBRA")</f>
        <v/>
      </c>
      <c r="J65" s="56" t="inlineStr">
        <is>
          <t>Orange County</t>
        </is>
      </c>
      <c r="K65" s="56" t="inlineStr">
        <is>
          <t>Apr</t>
        </is>
      </c>
      <c r="L65" s="56" t="inlineStr">
        <is>
          <t>BRK-27</t>
        </is>
      </c>
      <c r="M65" s="56" t="inlineStr">
        <is>
          <t>ER</t>
        </is>
      </c>
      <c r="N65" s="56" t="inlineStr">
        <is>
          <t>Dental + Vision</t>
        </is>
      </c>
      <c r="O65" s="56" t="n">
        <v>2</v>
      </c>
      <c r="P65" s="56" t="n">
        <v>1</v>
      </c>
      <c r="Q65" s="56" t="n">
        <v>1</v>
      </c>
      <c r="R65" s="65">
        <f>IFERROR(O65/F65*100,0)</f>
        <v/>
      </c>
      <c r="S65" s="70">
        <f>F65*'Distribution Targets'!$C$34</f>
        <v/>
      </c>
      <c r="T65" s="71">
        <f>IF(M65="ER",IF(G65&lt;0.7,"BELOW 70% (P-18)",IF(G65&lt;0.75,"Near 70% threshold","OK")),IF(E65&lt;=9,IF(F65&lt;2,"BELOW 2–9 minimum (P-24)",IF(F65=2,"At 2–9 minimum","OK")),IF(F65&lt;5,"BELOW 10–500 minimum (P-23)",IF(F65&lt;7,"Near 10–500 minimum","OK"))))</f>
        <v/>
      </c>
      <c r="U65" s="71">
        <f>IF(O65&gt;=28,"A — anchor",IF(O65&gt;=10,"B — heavy",IF(O65&gt;=4,"C — moderate","D — tail")))</f>
        <v/>
      </c>
    </row>
    <row r="66" ht="15" customHeight="1" s="48">
      <c r="A66" s="58" t="inlineStr">
        <is>
          <t>EMP-1062</t>
        </is>
      </c>
      <c r="B66" s="58" t="inlineStr">
        <is>
          <t>Ravenswood Advisors</t>
        </is>
      </c>
      <c r="C66" s="58" t="inlineStr">
        <is>
          <t>Professional Services</t>
        </is>
      </c>
      <c r="D66" s="58" t="inlineStr">
        <is>
          <t>Low</t>
        </is>
      </c>
      <c r="E66" s="72" t="n">
        <v>13</v>
      </c>
      <c r="F66" s="72" t="n">
        <v>3</v>
      </c>
      <c r="G66" s="73">
        <f>IFERROR(F66/E66,0)</f>
        <v/>
      </c>
      <c r="H66" s="58">
        <f>IF(E66&lt;=8,"$25",IF(E66&lt;=20,"$30",IF(E66&lt;=199,"$35","$50")))</f>
        <v/>
      </c>
      <c r="I66" s="58">
        <f>IF(E66&lt;=19,"Cal-COBRA","Federal COBRA")</f>
        <v/>
      </c>
      <c r="J66" s="58" t="inlineStr">
        <is>
          <t>Los Angeles</t>
        </is>
      </c>
      <c r="K66" s="58" t="inlineStr">
        <is>
          <t>May</t>
        </is>
      </c>
      <c r="L66" s="58" t="inlineStr">
        <is>
          <t>BRK-28</t>
        </is>
      </c>
      <c r="M66" s="58" t="inlineStr">
        <is>
          <t>VOL</t>
        </is>
      </c>
      <c r="N66" s="58" t="inlineStr">
        <is>
          <t>Dental</t>
        </is>
      </c>
      <c r="O66" s="58" t="n">
        <v>2</v>
      </c>
      <c r="P66" s="58" t="n">
        <v>1</v>
      </c>
      <c r="Q66" s="58" t="n">
        <v>1</v>
      </c>
      <c r="R66" s="66">
        <f>IFERROR(O66/F66*100,0)</f>
        <v/>
      </c>
      <c r="S66" s="70">
        <f>F66*'Distribution Targets'!$C$34</f>
        <v/>
      </c>
      <c r="T66" s="71">
        <f>IF(M66="ER",IF(G66&lt;0.7,"BELOW 70% (P-18)",IF(G66&lt;0.75,"Near 70% threshold","OK")),IF(E66&lt;=9,IF(F66&lt;2,"BELOW 2–9 minimum (P-24)",IF(F66=2,"At 2–9 minimum","OK")),IF(F66&lt;5,"BELOW 10–500 minimum (P-23)",IF(F66&lt;7,"Near 10–500 minimum","OK"))))</f>
        <v/>
      </c>
      <c r="U66" s="71">
        <f>IF(O66&gt;=28,"A — anchor",IF(O66&gt;=10,"B — heavy",IF(O66&gt;=4,"C — moderate","D — tail")))</f>
        <v/>
      </c>
    </row>
    <row r="67" ht="15" customHeight="1" s="48">
      <c r="A67" s="56" t="inlineStr">
        <is>
          <t>EMP-1063</t>
        </is>
      </c>
      <c r="B67" s="56" t="inlineStr">
        <is>
          <t>Seabright Systems</t>
        </is>
      </c>
      <c r="C67" s="56" t="inlineStr">
        <is>
          <t>Technology</t>
        </is>
      </c>
      <c r="D67" s="56" t="inlineStr">
        <is>
          <t>Low</t>
        </is>
      </c>
      <c r="E67" s="68" t="n">
        <v>12</v>
      </c>
      <c r="F67" s="68" t="n">
        <v>4</v>
      </c>
      <c r="G67" s="69">
        <f>IFERROR(F67/E67,0)</f>
        <v/>
      </c>
      <c r="H67" s="56">
        <f>IF(E67&lt;=8,"$25",IF(E67&lt;=20,"$30",IF(E67&lt;=199,"$35","$50")))</f>
        <v/>
      </c>
      <c r="I67" s="56">
        <f>IF(E67&lt;=19,"Cal-COBRA","Federal COBRA")</f>
        <v/>
      </c>
      <c r="J67" s="56" t="inlineStr">
        <is>
          <t>San Diego</t>
        </is>
      </c>
      <c r="K67" s="56" t="inlineStr">
        <is>
          <t>Jun</t>
        </is>
      </c>
      <c r="L67" s="56" t="inlineStr">
        <is>
          <t>BRK-29</t>
        </is>
      </c>
      <c r="M67" s="56" t="inlineStr">
        <is>
          <t>VOL</t>
        </is>
      </c>
      <c r="N67" s="56" t="inlineStr">
        <is>
          <t>Dental + Vision</t>
        </is>
      </c>
      <c r="O67" s="56" t="n">
        <v>2</v>
      </c>
      <c r="P67" s="56" t="n">
        <v>1</v>
      </c>
      <c r="Q67" s="56" t="n">
        <v>1</v>
      </c>
      <c r="R67" s="65">
        <f>IFERROR(O67/F67*100,0)</f>
        <v/>
      </c>
      <c r="S67" s="70">
        <f>F67*'Distribution Targets'!$C$34</f>
        <v/>
      </c>
      <c r="T67" s="71">
        <f>IF(M67="ER",IF(G67&lt;0.7,"BELOW 70% (P-18)",IF(G67&lt;0.75,"Near 70% threshold","OK")),IF(E67&lt;=9,IF(F67&lt;2,"BELOW 2–9 minimum (P-24)",IF(F67=2,"At 2–9 minimum","OK")),IF(F67&lt;5,"BELOW 10–500 minimum (P-23)",IF(F67&lt;7,"Near 10–500 minimum","OK"))))</f>
        <v/>
      </c>
      <c r="U67" s="71">
        <f>IF(O67&gt;=28,"A — anchor",IF(O67&gt;=10,"B — heavy",IF(O67&gt;=4,"C — moderate","D — tail")))</f>
        <v/>
      </c>
    </row>
    <row r="68" ht="15" customHeight="1" s="48">
      <c r="A68" s="58" t="inlineStr">
        <is>
          <t>EMP-1064</t>
        </is>
      </c>
      <c r="B68" s="58" t="inlineStr">
        <is>
          <t>Templeton Workforce Partners</t>
        </is>
      </c>
      <c r="C68" s="58" t="inlineStr">
        <is>
          <t>Staffing &amp; Recruitment</t>
        </is>
      </c>
      <c r="D68" s="58" t="inlineStr">
        <is>
          <t>High</t>
        </is>
      </c>
      <c r="E68" s="72" t="n">
        <v>11</v>
      </c>
      <c r="F68" s="72" t="n">
        <v>7</v>
      </c>
      <c r="G68" s="73">
        <f>IFERROR(F68/E68,0)</f>
        <v/>
      </c>
      <c r="H68" s="58">
        <f>IF(E68&lt;=8,"$25",IF(E68&lt;=20,"$30",IF(E68&lt;=199,"$35","$50")))</f>
        <v/>
      </c>
      <c r="I68" s="58">
        <f>IF(E68&lt;=19,"Cal-COBRA","Federal COBRA")</f>
        <v/>
      </c>
      <c r="J68" s="58" t="inlineStr">
        <is>
          <t>Inland Empire</t>
        </is>
      </c>
      <c r="K68" s="58" t="inlineStr">
        <is>
          <t>Jul</t>
        </is>
      </c>
      <c r="L68" s="58" t="inlineStr">
        <is>
          <t>BRK-04</t>
        </is>
      </c>
      <c r="M68" s="58" t="inlineStr">
        <is>
          <t>ER</t>
        </is>
      </c>
      <c r="N68" s="58" t="inlineStr">
        <is>
          <t>Dental + Life</t>
        </is>
      </c>
      <c r="O68" s="58" t="n">
        <v>2</v>
      </c>
      <c r="P68" s="58" t="n">
        <v>1</v>
      </c>
      <c r="Q68" s="58" t="n">
        <v>1</v>
      </c>
      <c r="R68" s="66">
        <f>IFERROR(O68/F68*100,0)</f>
        <v/>
      </c>
      <c r="S68" s="70">
        <f>F68*'Distribution Targets'!$C$34</f>
        <v/>
      </c>
      <c r="T68" s="71">
        <f>IF(M68="ER",IF(G68&lt;0.7,"BELOW 70% (P-18)",IF(G68&lt;0.75,"Near 70% threshold","OK")),IF(E68&lt;=9,IF(F68&lt;2,"BELOW 2–9 minimum (P-24)",IF(F68=2,"At 2–9 minimum","OK")),IF(F68&lt;5,"BELOW 10–500 minimum (P-23)",IF(F68&lt;7,"Near 10–500 minimum","OK"))))</f>
        <v/>
      </c>
      <c r="U68" s="71">
        <f>IF(O68&gt;=28,"A — anchor",IF(O68&gt;=10,"B — heavy",IF(O68&gt;=4,"C — moderate","D — tail")))</f>
        <v/>
      </c>
    </row>
    <row r="69" ht="15" customHeight="1" s="48">
      <c r="A69" s="56" t="inlineStr">
        <is>
          <t>EMP-1065</t>
        </is>
      </c>
      <c r="B69" s="56" t="inlineStr">
        <is>
          <t>Ukiah Hospitality Group</t>
        </is>
      </c>
      <c r="C69" s="56" t="inlineStr">
        <is>
          <t>Hospitality &amp; Food Service</t>
        </is>
      </c>
      <c r="D69" s="56" t="inlineStr">
        <is>
          <t>High</t>
        </is>
      </c>
      <c r="E69" s="68" t="n">
        <v>10</v>
      </c>
      <c r="F69" s="68" t="n">
        <v>3</v>
      </c>
      <c r="G69" s="69">
        <f>IFERROR(F69/E69,0)</f>
        <v/>
      </c>
      <c r="H69" s="56">
        <f>IF(E69&lt;=8,"$25",IF(E69&lt;=20,"$30",IF(E69&lt;=199,"$35","$50")))</f>
        <v/>
      </c>
      <c r="I69" s="56">
        <f>IF(E69&lt;=19,"Cal-COBRA","Federal COBRA")</f>
        <v/>
      </c>
      <c r="J69" s="56" t="inlineStr">
        <is>
          <t>Central Valley</t>
        </is>
      </c>
      <c r="K69" s="56" t="inlineStr">
        <is>
          <t>Aug</t>
        </is>
      </c>
      <c r="L69" s="56" t="inlineStr">
        <is>
          <t>BRK-05</t>
        </is>
      </c>
      <c r="M69" s="56" t="inlineStr">
        <is>
          <t>VOL</t>
        </is>
      </c>
      <c r="N69" s="56" t="inlineStr">
        <is>
          <t>Dental + Vision + Chiro</t>
        </is>
      </c>
      <c r="O69" s="56" t="n">
        <v>2</v>
      </c>
      <c r="P69" s="56" t="n">
        <v>1</v>
      </c>
      <c r="Q69" s="56" t="n">
        <v>1</v>
      </c>
      <c r="R69" s="65">
        <f>IFERROR(O69/F69*100,0)</f>
        <v/>
      </c>
      <c r="S69" s="70">
        <f>F69*'Distribution Targets'!$C$34</f>
        <v/>
      </c>
      <c r="T69" s="71">
        <f>IF(M69="ER",IF(G69&lt;0.7,"BELOW 70% (P-18)",IF(G69&lt;0.75,"Near 70% threshold","OK")),IF(E69&lt;=9,IF(F69&lt;2,"BELOW 2–9 minimum (P-24)",IF(F69=2,"At 2–9 minimum","OK")),IF(F69&lt;5,"BELOW 10–500 minimum (P-23)",IF(F69&lt;7,"Near 10–500 minimum","OK"))))</f>
        <v/>
      </c>
      <c r="U69" s="71">
        <f>IF(O69&gt;=28,"A — anchor",IF(O69&gt;=10,"B — heavy",IF(O69&gt;=4,"C — moderate","D — tail")))</f>
        <v/>
      </c>
    </row>
    <row r="70" ht="15" customHeight="1" s="48">
      <c r="A70" s="58" t="inlineStr">
        <is>
          <t>EMP-1066</t>
        </is>
      </c>
      <c r="B70" s="58" t="inlineStr">
        <is>
          <t>Verano Builders</t>
        </is>
      </c>
      <c r="C70" s="58" t="inlineStr">
        <is>
          <t>Construction &amp; Trades</t>
        </is>
      </c>
      <c r="D70" s="58" t="inlineStr">
        <is>
          <t>High</t>
        </is>
      </c>
      <c r="E70" s="72" t="n">
        <v>20</v>
      </c>
      <c r="F70" s="72" t="n">
        <v>11</v>
      </c>
      <c r="G70" s="73">
        <f>IFERROR(F70/E70,0)</f>
        <v/>
      </c>
      <c r="H70" s="58">
        <f>IF(E70&lt;=8,"$25",IF(E70&lt;=20,"$30",IF(E70&lt;=199,"$35","$50")))</f>
        <v/>
      </c>
      <c r="I70" s="58">
        <f>IF(E70&lt;=19,"Cal-COBRA","Federal COBRA")</f>
        <v/>
      </c>
      <c r="J70" s="58" t="inlineStr">
        <is>
          <t>Bay Area</t>
        </is>
      </c>
      <c r="K70" s="58" t="inlineStr">
        <is>
          <t>Sep</t>
        </is>
      </c>
      <c r="L70" s="58" t="inlineStr">
        <is>
          <t>BRK-14</t>
        </is>
      </c>
      <c r="M70" s="58" t="inlineStr">
        <is>
          <t>VOL</t>
        </is>
      </c>
      <c r="N70" s="58" t="inlineStr">
        <is>
          <t>Dental</t>
        </is>
      </c>
      <c r="O70" s="58" t="n">
        <v>2</v>
      </c>
      <c r="P70" s="58" t="n">
        <v>1</v>
      </c>
      <c r="Q70" s="58" t="n">
        <v>1</v>
      </c>
      <c r="R70" s="66">
        <f>IFERROR(O70/F70*100,0)</f>
        <v/>
      </c>
      <c r="S70" s="70">
        <f>F70*'Distribution Targets'!$C$34</f>
        <v/>
      </c>
      <c r="T70" s="71">
        <f>IF(M70="ER",IF(G70&lt;0.7,"BELOW 70% (P-18)",IF(G70&lt;0.75,"Near 70% threshold","OK")),IF(E70&lt;=9,IF(F70&lt;2,"BELOW 2–9 minimum (P-24)",IF(F70=2,"At 2–9 minimum","OK")),IF(F70&lt;5,"BELOW 10–500 minimum (P-23)",IF(F70&lt;7,"Near 10–500 minimum","OK"))))</f>
        <v/>
      </c>
      <c r="U70" s="71">
        <f>IF(O70&gt;=28,"A — anchor",IF(O70&gt;=10,"B — heavy",IF(O70&gt;=4,"C — moderate","D — tail")))</f>
        <v/>
      </c>
    </row>
    <row r="71" ht="15" customHeight="1" s="48">
      <c r="A71" s="56" t="inlineStr">
        <is>
          <t>EMP-1067</t>
        </is>
      </c>
      <c r="B71" s="56" t="inlineStr">
        <is>
          <t>Windermere Precision Tooling</t>
        </is>
      </c>
      <c r="C71" s="56" t="inlineStr">
        <is>
          <t>Manufacturing</t>
        </is>
      </c>
      <c r="D71" s="56" t="inlineStr">
        <is>
          <t>Medium</t>
        </is>
      </c>
      <c r="E71" s="68" t="n">
        <v>19</v>
      </c>
      <c r="F71" s="68" t="n">
        <v>15</v>
      </c>
      <c r="G71" s="69">
        <f>IFERROR(F71/E71,0)</f>
        <v/>
      </c>
      <c r="H71" s="56">
        <f>IF(E71&lt;=8,"$25",IF(E71&lt;=20,"$30",IF(E71&lt;=199,"$35","$50")))</f>
        <v/>
      </c>
      <c r="I71" s="56">
        <f>IF(E71&lt;=19,"Cal-COBRA","Federal COBRA")</f>
        <v/>
      </c>
      <c r="J71" s="56" t="inlineStr">
        <is>
          <t>Orange County</t>
        </is>
      </c>
      <c r="K71" s="56" t="inlineStr">
        <is>
          <t>Oct</t>
        </is>
      </c>
      <c r="L71" s="56" t="inlineStr">
        <is>
          <t>BRK-15</t>
        </is>
      </c>
      <c r="M71" s="56" t="inlineStr">
        <is>
          <t>ER</t>
        </is>
      </c>
      <c r="N71" s="56" t="inlineStr">
        <is>
          <t>Dental</t>
        </is>
      </c>
      <c r="O71" s="56" t="n">
        <v>2</v>
      </c>
      <c r="P71" s="56" t="n">
        <v>1</v>
      </c>
      <c r="Q71" s="56" t="n">
        <v>1</v>
      </c>
      <c r="R71" s="65">
        <f>IFERROR(O71/F71*100,0)</f>
        <v/>
      </c>
      <c r="S71" s="70">
        <f>F71*'Distribution Targets'!$C$34</f>
        <v/>
      </c>
      <c r="T71" s="71">
        <f>IF(M71="ER",IF(G71&lt;0.7,"BELOW 70% (P-18)",IF(G71&lt;0.75,"Near 70% threshold","OK")),IF(E71&lt;=9,IF(F71&lt;2,"BELOW 2–9 minimum (P-24)",IF(F71=2,"At 2–9 minimum","OK")),IF(F71&lt;5,"BELOW 10–500 minimum (P-23)",IF(F71&lt;7,"Near 10–500 minimum","OK"))))</f>
        <v/>
      </c>
      <c r="U71" s="71">
        <f>IF(O71&gt;=28,"A — anchor",IF(O71&gt;=10,"B — heavy",IF(O71&gt;=4,"C — moderate","D — tail")))</f>
        <v/>
      </c>
    </row>
    <row r="72" ht="15" customHeight="1" s="48">
      <c r="A72" s="58" t="inlineStr">
        <is>
          <t>EMP-1068</t>
        </is>
      </c>
      <c r="B72" s="58" t="inlineStr">
        <is>
          <t>Ximena Medical Group</t>
        </is>
      </c>
      <c r="C72" s="58" t="inlineStr">
        <is>
          <t>Healthcare Services</t>
        </is>
      </c>
      <c r="D72" s="58" t="inlineStr">
        <is>
          <t>Medium</t>
        </is>
      </c>
      <c r="E72" s="72" t="n">
        <v>18</v>
      </c>
      <c r="F72" s="72" t="n">
        <v>11</v>
      </c>
      <c r="G72" s="73">
        <f>IFERROR(F72/E72,0)</f>
        <v/>
      </c>
      <c r="H72" s="58">
        <f>IF(E72&lt;=8,"$25",IF(E72&lt;=20,"$30",IF(E72&lt;=199,"$35","$50")))</f>
        <v/>
      </c>
      <c r="I72" s="58">
        <f>IF(E72&lt;=19,"Cal-COBRA","Federal COBRA")</f>
        <v/>
      </c>
      <c r="J72" s="58" t="inlineStr">
        <is>
          <t>Los Angeles</t>
        </is>
      </c>
      <c r="K72" s="58" t="inlineStr">
        <is>
          <t>Nov</t>
        </is>
      </c>
      <c r="L72" s="58" t="inlineStr">
        <is>
          <t>BRK-18</t>
        </is>
      </c>
      <c r="M72" s="58" t="inlineStr">
        <is>
          <t>VOL</t>
        </is>
      </c>
      <c r="N72" s="58" t="inlineStr">
        <is>
          <t>Dental + Chiro</t>
        </is>
      </c>
      <c r="O72" s="58" t="n">
        <v>2</v>
      </c>
      <c r="P72" s="58" t="n">
        <v>1</v>
      </c>
      <c r="Q72" s="58" t="n">
        <v>1</v>
      </c>
      <c r="R72" s="66">
        <f>IFERROR(O72/F72*100,0)</f>
        <v/>
      </c>
      <c r="S72" s="70">
        <f>F72*'Distribution Targets'!$C$34</f>
        <v/>
      </c>
      <c r="T72" s="71">
        <f>IF(M72="ER",IF(G72&lt;0.7,"BELOW 70% (P-18)",IF(G72&lt;0.75,"Near 70% threshold","OK")),IF(E72&lt;=9,IF(F72&lt;2,"BELOW 2–9 minimum (P-24)",IF(F72=2,"At 2–9 minimum","OK")),IF(F72&lt;5,"BELOW 10–500 minimum (P-23)",IF(F72&lt;7,"Near 10–500 minimum","OK"))))</f>
        <v/>
      </c>
      <c r="U72" s="71">
        <f>IF(O72&gt;=28,"A — anchor",IF(O72&gt;=10,"B — heavy",IF(O72&gt;=4,"C — moderate","D — tail")))</f>
        <v/>
      </c>
    </row>
    <row r="73" ht="15" customHeight="1" s="48">
      <c r="A73" s="56" t="inlineStr">
        <is>
          <t>EMP-1069</t>
        </is>
      </c>
      <c r="B73" s="56" t="inlineStr">
        <is>
          <t>Yreka Retail Group</t>
        </is>
      </c>
      <c r="C73" s="56" t="inlineStr">
        <is>
          <t>Retail</t>
        </is>
      </c>
      <c r="D73" s="56" t="inlineStr">
        <is>
          <t>Medium</t>
        </is>
      </c>
      <c r="E73" s="68" t="n">
        <v>16</v>
      </c>
      <c r="F73" s="68" t="n">
        <v>10</v>
      </c>
      <c r="G73" s="69">
        <f>IFERROR(F73/E73,0)</f>
        <v/>
      </c>
      <c r="H73" s="56">
        <f>IF(E73&lt;=8,"$25",IF(E73&lt;=20,"$30",IF(E73&lt;=199,"$35","$50")))</f>
        <v/>
      </c>
      <c r="I73" s="56">
        <f>IF(E73&lt;=19,"Cal-COBRA","Federal COBRA")</f>
        <v/>
      </c>
      <c r="J73" s="56" t="inlineStr">
        <is>
          <t>San Diego</t>
        </is>
      </c>
      <c r="K73" s="56" t="inlineStr">
        <is>
          <t>Dec</t>
        </is>
      </c>
      <c r="L73" s="56" t="inlineStr">
        <is>
          <t>BRK-19</t>
        </is>
      </c>
      <c r="M73" s="56" t="inlineStr">
        <is>
          <t>VOL</t>
        </is>
      </c>
      <c r="N73" s="56" t="inlineStr">
        <is>
          <t>Dental + Vision</t>
        </is>
      </c>
      <c r="O73" s="56" t="n">
        <v>2</v>
      </c>
      <c r="P73" s="56" t="n">
        <v>1</v>
      </c>
      <c r="Q73" s="56" t="n">
        <v>1</v>
      </c>
      <c r="R73" s="65">
        <f>IFERROR(O73/F73*100,0)</f>
        <v/>
      </c>
      <c r="S73" s="70">
        <f>F73*'Distribution Targets'!$C$34</f>
        <v/>
      </c>
      <c r="T73" s="71">
        <f>IF(M73="ER",IF(G73&lt;0.7,"BELOW 70% (P-18)",IF(G73&lt;0.75,"Near 70% threshold","OK")),IF(E73&lt;=9,IF(F73&lt;2,"BELOW 2–9 minimum (P-24)",IF(F73=2,"At 2–9 minimum","OK")),IF(F73&lt;5,"BELOW 10–500 minimum (P-23)",IF(F73&lt;7,"Near 10–500 minimum","OK"))))</f>
        <v/>
      </c>
      <c r="U73" s="71">
        <f>IF(O73&gt;=28,"A — anchor",IF(O73&gt;=10,"B — heavy",IF(O73&gt;=4,"C — moderate","D — tail")))</f>
        <v/>
      </c>
    </row>
    <row r="74" ht="15" customHeight="1" s="48">
      <c r="A74" s="58" t="inlineStr">
        <is>
          <t>EMP-1070</t>
        </is>
      </c>
      <c r="B74" s="58" t="inlineStr">
        <is>
          <t>Zuma Freight</t>
        </is>
      </c>
      <c r="C74" s="58" t="inlineStr">
        <is>
          <t>Logistics &amp; Transport</t>
        </is>
      </c>
      <c r="D74" s="58" t="inlineStr">
        <is>
          <t>Medium</t>
        </is>
      </c>
      <c r="E74" s="72" t="n">
        <v>14</v>
      </c>
      <c r="F74" s="72" t="n">
        <v>12</v>
      </c>
      <c r="G74" s="73">
        <f>IFERROR(F74/E74,0)</f>
        <v/>
      </c>
      <c r="H74" s="58">
        <f>IF(E74&lt;=8,"$25",IF(E74&lt;=20,"$30",IF(E74&lt;=199,"$35","$50")))</f>
        <v/>
      </c>
      <c r="I74" s="58">
        <f>IF(E74&lt;=19,"Cal-COBRA","Federal COBRA")</f>
        <v/>
      </c>
      <c r="J74" s="58" t="inlineStr">
        <is>
          <t>Inland Empire</t>
        </is>
      </c>
      <c r="K74" s="58" t="inlineStr">
        <is>
          <t>Jan</t>
        </is>
      </c>
      <c r="L74" s="58" t="inlineStr">
        <is>
          <t>BRK-25</t>
        </is>
      </c>
      <c r="M74" s="58" t="inlineStr">
        <is>
          <t>ER</t>
        </is>
      </c>
      <c r="N74" s="58" t="inlineStr">
        <is>
          <t>Dental</t>
        </is>
      </c>
      <c r="O74" s="58" t="n">
        <v>2</v>
      </c>
      <c r="P74" s="58" t="n">
        <v>1</v>
      </c>
      <c r="Q74" s="58" t="n">
        <v>1</v>
      </c>
      <c r="R74" s="66">
        <f>IFERROR(O74/F74*100,0)</f>
        <v/>
      </c>
      <c r="S74" s="70">
        <f>F74*'Distribution Targets'!$C$34</f>
        <v/>
      </c>
      <c r="T74" s="71">
        <f>IF(M74="ER",IF(G74&lt;0.7,"BELOW 70% (P-18)",IF(G74&lt;0.75,"Near 70% threshold","OK")),IF(E74&lt;=9,IF(F74&lt;2,"BELOW 2–9 minimum (P-24)",IF(F74=2,"At 2–9 minimum","OK")),IF(F74&lt;5,"BELOW 10–500 minimum (P-23)",IF(F74&lt;7,"Near 10–500 minimum","OK"))))</f>
        <v/>
      </c>
      <c r="U74" s="71">
        <f>IF(O74&gt;=28,"A — anchor",IF(O74&gt;=10,"B — heavy",IF(O74&gt;=4,"C — moderate","D — tail")))</f>
        <v/>
      </c>
    </row>
    <row r="75" ht="15" customHeight="1" s="48">
      <c r="A75" s="56" t="inlineStr">
        <is>
          <t>EMP-1071</t>
        </is>
      </c>
      <c r="B75" s="56" t="inlineStr">
        <is>
          <t>Altadena Consulting Group</t>
        </is>
      </c>
      <c r="C75" s="56" t="inlineStr">
        <is>
          <t>Professional Services</t>
        </is>
      </c>
      <c r="D75" s="56" t="inlineStr">
        <is>
          <t>Low</t>
        </is>
      </c>
      <c r="E75" s="68" t="n">
        <v>12</v>
      </c>
      <c r="F75" s="68" t="n">
        <v>7</v>
      </c>
      <c r="G75" s="69">
        <f>IFERROR(F75/E75,0)</f>
        <v/>
      </c>
      <c r="H75" s="56">
        <f>IF(E75&lt;=8,"$25",IF(E75&lt;=20,"$30",IF(E75&lt;=199,"$35","$50")))</f>
        <v/>
      </c>
      <c r="I75" s="56">
        <f>IF(E75&lt;=19,"Cal-COBRA","Federal COBRA")</f>
        <v/>
      </c>
      <c r="J75" s="56" t="inlineStr">
        <is>
          <t>Central Valley</t>
        </is>
      </c>
      <c r="K75" s="56" t="inlineStr">
        <is>
          <t>Feb</t>
        </is>
      </c>
      <c r="L75" s="56" t="inlineStr">
        <is>
          <t>BRK-22</t>
        </is>
      </c>
      <c r="M75" s="56" t="inlineStr">
        <is>
          <t>VOL</t>
        </is>
      </c>
      <c r="N75" s="56" t="inlineStr">
        <is>
          <t>Dental + Vision + Chiro</t>
        </is>
      </c>
      <c r="O75" s="56" t="n">
        <v>2</v>
      </c>
      <c r="P75" s="56" t="n">
        <v>1</v>
      </c>
      <c r="Q75" s="56" t="n">
        <v>1</v>
      </c>
      <c r="R75" s="65">
        <f>IFERROR(O75/F75*100,0)</f>
        <v/>
      </c>
      <c r="S75" s="70">
        <f>F75*'Distribution Targets'!$C$34</f>
        <v/>
      </c>
      <c r="T75" s="71">
        <f>IF(M75="ER",IF(G75&lt;0.7,"BELOW 70% (P-18)",IF(G75&lt;0.75,"Near 70% threshold","OK")),IF(E75&lt;=9,IF(F75&lt;2,"BELOW 2–9 minimum (P-24)",IF(F75=2,"At 2–9 minimum","OK")),IF(F75&lt;5,"BELOW 10–500 minimum (P-23)",IF(F75&lt;7,"Near 10–500 minimum","OK"))))</f>
        <v/>
      </c>
      <c r="U75" s="71">
        <f>IF(O75&gt;=28,"A — anchor",IF(O75&gt;=10,"B — heavy",IF(O75&gt;=4,"C — moderate","D — tail")))</f>
        <v/>
      </c>
    </row>
    <row r="76" ht="15" customHeight="1" s="48">
      <c r="A76" s="58" t="inlineStr">
        <is>
          <t>EMP-1072</t>
        </is>
      </c>
      <c r="B76" s="58" t="inlineStr">
        <is>
          <t>Beaumont Technologies</t>
        </is>
      </c>
      <c r="C76" s="58" t="inlineStr">
        <is>
          <t>Technology</t>
        </is>
      </c>
      <c r="D76" s="58" t="inlineStr">
        <is>
          <t>Low</t>
        </is>
      </c>
      <c r="E76" s="72" t="n">
        <v>10</v>
      </c>
      <c r="F76" s="72" t="n">
        <v>6</v>
      </c>
      <c r="G76" s="73">
        <f>IFERROR(F76/E76,0)</f>
        <v/>
      </c>
      <c r="H76" s="58">
        <f>IF(E76&lt;=8,"$25",IF(E76&lt;=20,"$30",IF(E76&lt;=199,"$35","$50")))</f>
        <v/>
      </c>
      <c r="I76" s="58">
        <f>IF(E76&lt;=19,"Cal-COBRA","Federal COBRA")</f>
        <v/>
      </c>
      <c r="J76" s="58" t="inlineStr">
        <is>
          <t>Bay Area</t>
        </is>
      </c>
      <c r="K76" s="58" t="inlineStr">
        <is>
          <t>Mar</t>
        </is>
      </c>
      <c r="L76" s="58" t="inlineStr">
        <is>
          <t>BRK-23</t>
        </is>
      </c>
      <c r="M76" s="58" t="inlineStr">
        <is>
          <t>VOL</t>
        </is>
      </c>
      <c r="N76" s="58" t="inlineStr">
        <is>
          <t>Dental + Vision</t>
        </is>
      </c>
      <c r="O76" s="58" t="n">
        <v>2</v>
      </c>
      <c r="P76" s="58" t="n">
        <v>1</v>
      </c>
      <c r="Q76" s="58" t="n">
        <v>1</v>
      </c>
      <c r="R76" s="66">
        <f>IFERROR(O76/F76*100,0)</f>
        <v/>
      </c>
      <c r="S76" s="70">
        <f>F76*'Distribution Targets'!$C$34</f>
        <v/>
      </c>
      <c r="T76" s="71">
        <f>IF(M76="ER",IF(G76&lt;0.7,"BELOW 70% (P-18)",IF(G76&lt;0.75,"Near 70% threshold","OK")),IF(E76&lt;=9,IF(F76&lt;2,"BELOW 2–9 minimum (P-24)",IF(F76=2,"At 2–9 minimum","OK")),IF(F76&lt;5,"BELOW 10–500 minimum (P-23)",IF(F76&lt;7,"Near 10–500 minimum","OK"))))</f>
        <v/>
      </c>
      <c r="U76" s="71">
        <f>IF(O76&gt;=28,"A — anchor",IF(O76&gt;=10,"B — heavy",IF(O76&gt;=4,"C — moderate","D — tail")))</f>
        <v/>
      </c>
    </row>
    <row r="77" ht="15" customHeight="1" s="48">
      <c r="A77" s="56" t="inlineStr">
        <is>
          <t>EMP-1073</t>
        </is>
      </c>
      <c r="B77" s="56" t="inlineStr">
        <is>
          <t>Cambria Workforce Partners</t>
        </is>
      </c>
      <c r="C77" s="56" t="inlineStr">
        <is>
          <t>Staffing &amp; Recruitment</t>
        </is>
      </c>
      <c r="D77" s="56" t="inlineStr">
        <is>
          <t>High</t>
        </is>
      </c>
      <c r="E77" s="68" t="n">
        <v>9</v>
      </c>
      <c r="F77" s="68" t="n">
        <v>7</v>
      </c>
      <c r="G77" s="69">
        <f>IFERROR(F77/E77,0)</f>
        <v/>
      </c>
      <c r="H77" s="56">
        <f>IF(E77&lt;=8,"$25",IF(E77&lt;=20,"$30",IF(E77&lt;=199,"$35","$50")))</f>
        <v/>
      </c>
      <c r="I77" s="56">
        <f>IF(E77&lt;=19,"Cal-COBRA","Federal COBRA")</f>
        <v/>
      </c>
      <c r="J77" s="56" t="inlineStr">
        <is>
          <t>Orange County</t>
        </is>
      </c>
      <c r="K77" s="56" t="inlineStr">
        <is>
          <t>Apr</t>
        </is>
      </c>
      <c r="L77" s="56" t="inlineStr">
        <is>
          <t>BRK-27</t>
        </is>
      </c>
      <c r="M77" s="56" t="inlineStr">
        <is>
          <t>ER</t>
        </is>
      </c>
      <c r="N77" s="56" t="inlineStr">
        <is>
          <t>Dental + Vision</t>
        </is>
      </c>
      <c r="O77" s="56" t="n">
        <v>2</v>
      </c>
      <c r="P77" s="56" t="n">
        <v>1</v>
      </c>
      <c r="Q77" s="56" t="n">
        <v>1</v>
      </c>
      <c r="R77" s="65">
        <f>IFERROR(O77/F77*100,0)</f>
        <v/>
      </c>
      <c r="S77" s="70">
        <f>F77*'Distribution Targets'!$C$34</f>
        <v/>
      </c>
      <c r="T77" s="71">
        <f>IF(M77="ER",IF(G77&lt;0.7,"BELOW 70% (P-18)",IF(G77&lt;0.75,"Near 70% threshold","OK")),IF(E77&lt;=9,IF(F77&lt;2,"BELOW 2–9 minimum (P-24)",IF(F77=2,"At 2–9 minimum","OK")),IF(F77&lt;5,"BELOW 10–500 minimum (P-23)",IF(F77&lt;7,"Near 10–500 minimum","OK"))))</f>
        <v/>
      </c>
      <c r="U77" s="71">
        <f>IF(O77&gt;=28,"A — anchor",IF(O77&gt;=10,"B — heavy",IF(O77&gt;=4,"C — moderate","D — tail")))</f>
        <v/>
      </c>
    </row>
    <row r="78" ht="15" customHeight="1" s="48">
      <c r="A78" s="58" t="inlineStr">
        <is>
          <t>EMP-1074</t>
        </is>
      </c>
      <c r="B78" s="58" t="inlineStr">
        <is>
          <t>Duarte Restaurant Group</t>
        </is>
      </c>
      <c r="C78" s="58" t="inlineStr">
        <is>
          <t>Hospitality &amp; Food Service</t>
        </is>
      </c>
      <c r="D78" s="58" t="inlineStr">
        <is>
          <t>High</t>
        </is>
      </c>
      <c r="E78" s="72" t="n">
        <v>8</v>
      </c>
      <c r="F78" s="72" t="n">
        <v>3</v>
      </c>
      <c r="G78" s="73">
        <f>IFERROR(F78/E78,0)</f>
        <v/>
      </c>
      <c r="H78" s="58">
        <f>IF(E78&lt;=8,"$25",IF(E78&lt;=20,"$30",IF(E78&lt;=199,"$35","$50")))</f>
        <v/>
      </c>
      <c r="I78" s="58">
        <f>IF(E78&lt;=19,"Cal-COBRA","Federal COBRA")</f>
        <v/>
      </c>
      <c r="J78" s="58" t="inlineStr">
        <is>
          <t>Los Angeles</t>
        </is>
      </c>
      <c r="K78" s="58" t="inlineStr">
        <is>
          <t>May</t>
        </is>
      </c>
      <c r="L78" s="58" t="inlineStr">
        <is>
          <t>BRK-28</t>
        </is>
      </c>
      <c r="M78" s="58" t="inlineStr">
        <is>
          <t>VOL</t>
        </is>
      </c>
      <c r="N78" s="58" t="inlineStr">
        <is>
          <t>Dental + Vision</t>
        </is>
      </c>
      <c r="O78" s="58" t="n">
        <v>2</v>
      </c>
      <c r="P78" s="58" t="n">
        <v>1</v>
      </c>
      <c r="Q78" s="58" t="n">
        <v>1</v>
      </c>
      <c r="R78" s="66">
        <f>IFERROR(O78/F78*100,0)</f>
        <v/>
      </c>
      <c r="S78" s="70">
        <f>F78*'Distribution Targets'!$C$34</f>
        <v/>
      </c>
      <c r="T78" s="71">
        <f>IF(M78="ER",IF(G78&lt;0.7,"BELOW 70% (P-18)",IF(G78&lt;0.75,"Near 70% threshold","OK")),IF(E78&lt;=9,IF(F78&lt;2,"BELOW 2–9 minimum (P-24)",IF(F78=2,"At 2–9 minimum","OK")),IF(F78&lt;5,"BELOW 10–500 minimum (P-23)",IF(F78&lt;7,"Near 10–500 minimum","OK"))))</f>
        <v/>
      </c>
      <c r="U78" s="71">
        <f>IF(O78&gt;=28,"A — anchor",IF(O78&gt;=10,"B — heavy",IF(O78&gt;=4,"C — moderate","D — tail")))</f>
        <v/>
      </c>
    </row>
    <row r="79" ht="15" customHeight="1" s="48">
      <c r="A79" s="56" t="inlineStr">
        <is>
          <t>EMP-1075</t>
        </is>
      </c>
      <c r="B79" s="56" t="inlineStr">
        <is>
          <t>Escalon Construction</t>
        </is>
      </c>
      <c r="C79" s="56" t="inlineStr">
        <is>
          <t>Construction &amp; Trades</t>
        </is>
      </c>
      <c r="D79" s="56" t="inlineStr">
        <is>
          <t>High</t>
        </is>
      </c>
      <c r="E79" s="68" t="n">
        <v>8</v>
      </c>
      <c r="F79" s="68" t="n">
        <v>5</v>
      </c>
      <c r="G79" s="69">
        <f>IFERROR(F79/E79,0)</f>
        <v/>
      </c>
      <c r="H79" s="56">
        <f>IF(E79&lt;=8,"$25",IF(E79&lt;=20,"$30",IF(E79&lt;=199,"$35","$50")))</f>
        <v/>
      </c>
      <c r="I79" s="56">
        <f>IF(E79&lt;=19,"Cal-COBRA","Federal COBRA")</f>
        <v/>
      </c>
      <c r="J79" s="56" t="inlineStr">
        <is>
          <t>San Diego</t>
        </is>
      </c>
      <c r="K79" s="56" t="inlineStr">
        <is>
          <t>Jun</t>
        </is>
      </c>
      <c r="L79" s="56" t="inlineStr">
        <is>
          <t>BRK-29</t>
        </is>
      </c>
      <c r="M79" s="56" t="inlineStr">
        <is>
          <t>VOL</t>
        </is>
      </c>
      <c r="N79" s="56" t="inlineStr">
        <is>
          <t>Dental + Chiro</t>
        </is>
      </c>
      <c r="O79" s="56" t="n">
        <v>2</v>
      </c>
      <c r="P79" s="56" t="n">
        <v>1</v>
      </c>
      <c r="Q79" s="56" t="n">
        <v>1</v>
      </c>
      <c r="R79" s="65">
        <f>IFERROR(O79/F79*100,0)</f>
        <v/>
      </c>
      <c r="S79" s="70">
        <f>F79*'Distribution Targets'!$C$34</f>
        <v/>
      </c>
      <c r="T79" s="71">
        <f>IF(M79="ER",IF(G79&lt;0.7,"BELOW 70% (P-18)",IF(G79&lt;0.75,"Near 70% threshold","OK")),IF(E79&lt;=9,IF(F79&lt;2,"BELOW 2–9 minimum (P-24)",IF(F79=2,"At 2–9 minimum","OK")),IF(F79&lt;5,"BELOW 10–500 minimum (P-23)",IF(F79&lt;7,"Near 10–500 minimum","OK"))))</f>
        <v/>
      </c>
      <c r="U79" s="71">
        <f>IF(O79&gt;=28,"A — anchor",IF(O79&gt;=10,"B — heavy",IF(O79&gt;=4,"C — moderate","D — tail")))</f>
        <v/>
      </c>
    </row>
    <row r="80" ht="15" customHeight="1" s="48">
      <c r="A80" s="58" t="inlineStr">
        <is>
          <t>EMP-1076</t>
        </is>
      </c>
      <c r="B80" s="58" t="inlineStr">
        <is>
          <t>Fillmore Industries</t>
        </is>
      </c>
      <c r="C80" s="58" t="inlineStr">
        <is>
          <t>Manufacturing</t>
        </is>
      </c>
      <c r="D80" s="58" t="inlineStr">
        <is>
          <t>Medium</t>
        </is>
      </c>
      <c r="E80" s="72" t="n">
        <v>7</v>
      </c>
      <c r="F80" s="72" t="n">
        <v>5</v>
      </c>
      <c r="G80" s="73">
        <f>IFERROR(F80/E80,0)</f>
        <v/>
      </c>
      <c r="H80" s="58">
        <f>IF(E80&lt;=8,"$25",IF(E80&lt;=20,"$30",IF(E80&lt;=199,"$35","$50")))</f>
        <v/>
      </c>
      <c r="I80" s="58">
        <f>IF(E80&lt;=19,"Cal-COBRA","Federal COBRA")</f>
        <v/>
      </c>
      <c r="J80" s="58" t="inlineStr">
        <is>
          <t>Inland Empire</t>
        </is>
      </c>
      <c r="K80" s="58" t="inlineStr">
        <is>
          <t>Jul</t>
        </is>
      </c>
      <c r="L80" s="58" t="inlineStr">
        <is>
          <t>BRK-07</t>
        </is>
      </c>
      <c r="M80" s="58" t="inlineStr">
        <is>
          <t>ER</t>
        </is>
      </c>
      <c r="N80" s="58" t="inlineStr">
        <is>
          <t>Dental + Vision + Life + Chiro</t>
        </is>
      </c>
      <c r="O80" s="58" t="n">
        <v>2</v>
      </c>
      <c r="P80" s="58" t="n">
        <v>1</v>
      </c>
      <c r="Q80" s="58" t="n">
        <v>1</v>
      </c>
      <c r="R80" s="66">
        <f>IFERROR(O80/F80*100,0)</f>
        <v/>
      </c>
      <c r="S80" s="70">
        <f>F80*'Distribution Targets'!$C$34</f>
        <v/>
      </c>
      <c r="T80" s="71">
        <f>IF(M80="ER",IF(G80&lt;0.7,"BELOW 70% (P-18)",IF(G80&lt;0.75,"Near 70% threshold","OK")),IF(E80&lt;=9,IF(F80&lt;2,"BELOW 2–9 minimum (P-24)",IF(F80=2,"At 2–9 minimum","OK")),IF(F80&lt;5,"BELOW 10–500 minimum (P-23)",IF(F80&lt;7,"Near 10–500 minimum","OK"))))</f>
        <v/>
      </c>
      <c r="U80" s="71">
        <f>IF(O80&gt;=28,"A — anchor",IF(O80&gt;=10,"B — heavy",IF(O80&gt;=4,"C — moderate","D — tail")))</f>
        <v/>
      </c>
    </row>
    <row r="81" ht="15" customHeight="1" s="48">
      <c r="A81" s="56" t="inlineStr">
        <is>
          <t>EMP-1077</t>
        </is>
      </c>
      <c r="B81" s="56" t="inlineStr">
        <is>
          <t>Galt Medical Group</t>
        </is>
      </c>
      <c r="C81" s="56" t="inlineStr">
        <is>
          <t>Healthcare Services</t>
        </is>
      </c>
      <c r="D81" s="56" t="inlineStr">
        <is>
          <t>Medium</t>
        </is>
      </c>
      <c r="E81" s="68" t="n">
        <v>7</v>
      </c>
      <c r="F81" s="68" t="n">
        <v>3</v>
      </c>
      <c r="G81" s="69">
        <f>IFERROR(F81/E81,0)</f>
        <v/>
      </c>
      <c r="H81" s="56">
        <f>IF(E81&lt;=8,"$25",IF(E81&lt;=20,"$30",IF(E81&lt;=199,"$35","$50")))</f>
        <v/>
      </c>
      <c r="I81" s="56">
        <f>IF(E81&lt;=19,"Cal-COBRA","Federal COBRA")</f>
        <v/>
      </c>
      <c r="J81" s="56" t="inlineStr">
        <is>
          <t>Central Valley</t>
        </is>
      </c>
      <c r="K81" s="56" t="inlineStr">
        <is>
          <t>Aug</t>
        </is>
      </c>
      <c r="L81" s="56" t="inlineStr">
        <is>
          <t>BRK-08</t>
        </is>
      </c>
      <c r="M81" s="56" t="inlineStr">
        <is>
          <t>VOL</t>
        </is>
      </c>
      <c r="N81" s="56" t="inlineStr">
        <is>
          <t>Dental + Vision</t>
        </is>
      </c>
      <c r="O81" s="56" t="n">
        <v>2</v>
      </c>
      <c r="P81" s="56" t="n">
        <v>1</v>
      </c>
      <c r="Q81" s="56" t="n">
        <v>1</v>
      </c>
      <c r="R81" s="65">
        <f>IFERROR(O81/F81*100,0)</f>
        <v/>
      </c>
      <c r="S81" s="70">
        <f>F81*'Distribution Targets'!$C$34</f>
        <v/>
      </c>
      <c r="T81" s="71">
        <f>IF(M81="ER",IF(G81&lt;0.7,"BELOW 70% (P-18)",IF(G81&lt;0.75,"Near 70% threshold","OK")),IF(E81&lt;=9,IF(F81&lt;2,"BELOW 2–9 minimum (P-24)",IF(F81=2,"At 2–9 minimum","OK")),IF(F81&lt;5,"BELOW 10–500 minimum (P-23)",IF(F81&lt;7,"Near 10–500 minimum","OK"))))</f>
        <v/>
      </c>
      <c r="U81" s="71">
        <f>IF(O81&gt;=28,"A — anchor",IF(O81&gt;=10,"B — heavy",IF(O81&gt;=4,"C — moderate","D — tail")))</f>
        <v/>
      </c>
    </row>
    <row r="82" ht="15" customHeight="1" s="48">
      <c r="A82" s="58" t="inlineStr">
        <is>
          <t>EMP-1078</t>
        </is>
      </c>
      <c r="B82" s="58" t="inlineStr">
        <is>
          <t>Hanford Markets</t>
        </is>
      </c>
      <c r="C82" s="58" t="inlineStr">
        <is>
          <t>Retail</t>
        </is>
      </c>
      <c r="D82" s="58" t="inlineStr">
        <is>
          <t>Medium</t>
        </is>
      </c>
      <c r="E82" s="72" t="n">
        <v>7</v>
      </c>
      <c r="F82" s="72" t="n">
        <v>3</v>
      </c>
      <c r="G82" s="73">
        <f>IFERROR(F82/E82,0)</f>
        <v/>
      </c>
      <c r="H82" s="58">
        <f>IF(E82&lt;=8,"$25",IF(E82&lt;=20,"$30",IF(E82&lt;=199,"$35","$50")))</f>
        <v/>
      </c>
      <c r="I82" s="58">
        <f>IF(E82&lt;=19,"Cal-COBRA","Federal COBRA")</f>
        <v/>
      </c>
      <c r="J82" s="58" t="inlineStr">
        <is>
          <t>Bay Area</t>
        </is>
      </c>
      <c r="K82" s="58" t="inlineStr">
        <is>
          <t>Sep</t>
        </is>
      </c>
      <c r="L82" s="58" t="inlineStr">
        <is>
          <t>BRK-09</t>
        </is>
      </c>
      <c r="M82" s="58" t="inlineStr">
        <is>
          <t>VOL</t>
        </is>
      </c>
      <c r="N82" s="58" t="inlineStr">
        <is>
          <t>Dental</t>
        </is>
      </c>
      <c r="O82" s="58" t="n">
        <v>2</v>
      </c>
      <c r="P82" s="58" t="n">
        <v>1</v>
      </c>
      <c r="Q82" s="58" t="n">
        <v>1</v>
      </c>
      <c r="R82" s="66">
        <f>IFERROR(O82/F82*100,0)</f>
        <v/>
      </c>
      <c r="S82" s="70">
        <f>F82*'Distribution Targets'!$C$34</f>
        <v/>
      </c>
      <c r="T82" s="71">
        <f>IF(M82="ER",IF(G82&lt;0.7,"BELOW 70% (P-18)",IF(G82&lt;0.75,"Near 70% threshold","OK")),IF(E82&lt;=9,IF(F82&lt;2,"BELOW 2–9 minimum (P-24)",IF(F82=2,"At 2–9 minimum","OK")),IF(F82&lt;5,"BELOW 10–500 minimum (P-23)",IF(F82&lt;7,"Near 10–500 minimum","OK"))))</f>
        <v/>
      </c>
      <c r="U82" s="71">
        <f>IF(O82&gt;=28,"A — anchor",IF(O82&gt;=10,"B — heavy",IF(O82&gt;=4,"C — moderate","D — tail")))</f>
        <v/>
      </c>
    </row>
    <row r="83" ht="15" customHeight="1" s="48">
      <c r="A83" s="56" t="inlineStr">
        <is>
          <t>EMP-1079</t>
        </is>
      </c>
      <c r="B83" s="56" t="inlineStr">
        <is>
          <t>Ione Freight</t>
        </is>
      </c>
      <c r="C83" s="56" t="inlineStr">
        <is>
          <t>Logistics &amp; Transport</t>
        </is>
      </c>
      <c r="D83" s="56" t="inlineStr">
        <is>
          <t>Medium</t>
        </is>
      </c>
      <c r="E83" s="68" t="n">
        <v>6</v>
      </c>
      <c r="F83" s="68" t="n">
        <v>5</v>
      </c>
      <c r="G83" s="69">
        <f>IFERROR(F83/E83,0)</f>
        <v/>
      </c>
      <c r="H83" s="56">
        <f>IF(E83&lt;=8,"$25",IF(E83&lt;=20,"$30",IF(E83&lt;=199,"$35","$50")))</f>
        <v/>
      </c>
      <c r="I83" s="56">
        <f>IF(E83&lt;=19,"Cal-COBRA","Federal COBRA")</f>
        <v/>
      </c>
      <c r="J83" s="56" t="inlineStr">
        <is>
          <t>Orange County</t>
        </is>
      </c>
      <c r="K83" s="56" t="inlineStr">
        <is>
          <t>Oct</t>
        </is>
      </c>
      <c r="L83" s="56" t="inlineStr">
        <is>
          <t>BRK-10</t>
        </is>
      </c>
      <c r="M83" s="56" t="inlineStr">
        <is>
          <t>ER</t>
        </is>
      </c>
      <c r="N83" s="56" t="inlineStr">
        <is>
          <t>Dental + Vision + Life</t>
        </is>
      </c>
      <c r="O83" s="56" t="n">
        <v>2</v>
      </c>
      <c r="P83" s="56" t="n">
        <v>1</v>
      </c>
      <c r="Q83" s="56" t="n">
        <v>1</v>
      </c>
      <c r="R83" s="65">
        <f>IFERROR(O83/F83*100,0)</f>
        <v/>
      </c>
      <c r="S83" s="70">
        <f>F83*'Distribution Targets'!$C$34</f>
        <v/>
      </c>
      <c r="T83" s="71">
        <f>IF(M83="ER",IF(G83&lt;0.7,"BELOW 70% (P-18)",IF(G83&lt;0.75,"Near 70% threshold","OK")),IF(E83&lt;=9,IF(F83&lt;2,"BELOW 2–9 minimum (P-24)",IF(F83=2,"At 2–9 minimum","OK")),IF(F83&lt;5,"BELOW 10–500 minimum (P-23)",IF(F83&lt;7,"Near 10–500 minimum","OK"))))</f>
        <v/>
      </c>
      <c r="U83" s="71">
        <f>IF(O83&gt;=28,"A — anchor",IF(O83&gt;=10,"B — heavy",IF(O83&gt;=4,"C — moderate","D — tail")))</f>
        <v/>
      </c>
    </row>
    <row r="84" ht="15" customHeight="1" s="48">
      <c r="A84" s="58" t="inlineStr">
        <is>
          <t>EMP-1080</t>
        </is>
      </c>
      <c r="B84" s="58" t="inlineStr">
        <is>
          <t>Jamul Associates</t>
        </is>
      </c>
      <c r="C84" s="58" t="inlineStr">
        <is>
          <t>Professional Services</t>
        </is>
      </c>
      <c r="D84" s="58" t="inlineStr">
        <is>
          <t>Low</t>
        </is>
      </c>
      <c r="E84" s="72" t="n">
        <v>6</v>
      </c>
      <c r="F84" s="72" t="n">
        <v>3</v>
      </c>
      <c r="G84" s="73">
        <f>IFERROR(F84/E84,0)</f>
        <v/>
      </c>
      <c r="H84" s="58">
        <f>IF(E84&lt;=8,"$25",IF(E84&lt;=20,"$30",IF(E84&lt;=199,"$35","$50")))</f>
        <v/>
      </c>
      <c r="I84" s="58">
        <f>IF(E84&lt;=19,"Cal-COBRA","Federal COBRA")</f>
        <v/>
      </c>
      <c r="J84" s="58" t="inlineStr">
        <is>
          <t>Los Angeles</t>
        </is>
      </c>
      <c r="K84" s="58" t="inlineStr">
        <is>
          <t>Nov</t>
        </is>
      </c>
      <c r="L84" s="58" t="inlineStr">
        <is>
          <t>BRK-16</t>
        </is>
      </c>
      <c r="M84" s="58" t="inlineStr">
        <is>
          <t>VOL</t>
        </is>
      </c>
      <c r="N84" s="58" t="inlineStr">
        <is>
          <t>Dental + Vision + Chiro</t>
        </is>
      </c>
      <c r="O84" s="58" t="n">
        <v>2</v>
      </c>
      <c r="P84" s="58" t="n">
        <v>1</v>
      </c>
      <c r="Q84" s="58" t="n">
        <v>1</v>
      </c>
      <c r="R84" s="66">
        <f>IFERROR(O84/F84*100,0)</f>
        <v/>
      </c>
      <c r="S84" s="70">
        <f>F84*'Distribution Targets'!$C$34</f>
        <v/>
      </c>
      <c r="T84" s="71">
        <f>IF(M84="ER",IF(G84&lt;0.7,"BELOW 70% (P-18)",IF(G84&lt;0.75,"Near 70% threshold","OK")),IF(E84&lt;=9,IF(F84&lt;2,"BELOW 2–9 minimum (P-24)",IF(F84=2,"At 2–9 minimum","OK")),IF(F84&lt;5,"BELOW 10–500 minimum (P-23)",IF(F84&lt;7,"Near 10–500 minimum","OK"))))</f>
        <v/>
      </c>
      <c r="U84" s="71">
        <f>IF(O84&gt;=28,"A — anchor",IF(O84&gt;=10,"B — heavy",IF(O84&gt;=4,"C — moderate","D — tail")))</f>
        <v/>
      </c>
    </row>
    <row r="85" ht="15" customHeight="1" s="48">
      <c r="A85" s="56" t="inlineStr">
        <is>
          <t>EMP-1081</t>
        </is>
      </c>
      <c r="B85" s="56" t="inlineStr">
        <is>
          <t>Keeler Systems</t>
        </is>
      </c>
      <c r="C85" s="56" t="inlineStr">
        <is>
          <t>Technology</t>
        </is>
      </c>
      <c r="D85" s="56" t="inlineStr">
        <is>
          <t>Low</t>
        </is>
      </c>
      <c r="E85" s="68" t="n">
        <v>6</v>
      </c>
      <c r="F85" s="68" t="n">
        <v>4</v>
      </c>
      <c r="G85" s="69">
        <f>IFERROR(F85/E85,0)</f>
        <v/>
      </c>
      <c r="H85" s="56">
        <f>IF(E85&lt;=8,"$25",IF(E85&lt;=20,"$30",IF(E85&lt;=199,"$35","$50")))</f>
        <v/>
      </c>
      <c r="I85" s="56">
        <f>IF(E85&lt;=19,"Cal-COBRA","Federal COBRA")</f>
        <v/>
      </c>
      <c r="J85" s="56" t="inlineStr">
        <is>
          <t>San Diego</t>
        </is>
      </c>
      <c r="K85" s="56" t="inlineStr">
        <is>
          <t>Dec</t>
        </is>
      </c>
      <c r="L85" s="56" t="inlineStr">
        <is>
          <t>BRK-17</t>
        </is>
      </c>
      <c r="M85" s="56" t="inlineStr">
        <is>
          <t>VOL</t>
        </is>
      </c>
      <c r="N85" s="56" t="inlineStr">
        <is>
          <t>Dental + Chiro</t>
        </is>
      </c>
      <c r="O85" s="56" t="n">
        <v>2</v>
      </c>
      <c r="P85" s="56" t="n">
        <v>1</v>
      </c>
      <c r="Q85" s="56" t="n">
        <v>1</v>
      </c>
      <c r="R85" s="65">
        <f>IFERROR(O85/F85*100,0)</f>
        <v/>
      </c>
      <c r="S85" s="70">
        <f>F85*'Distribution Targets'!$C$34</f>
        <v/>
      </c>
      <c r="T85" s="71">
        <f>IF(M85="ER",IF(G85&lt;0.7,"BELOW 70% (P-18)",IF(G85&lt;0.75,"Near 70% threshold","OK")),IF(E85&lt;=9,IF(F85&lt;2,"BELOW 2–9 minimum (P-24)",IF(F85=2,"At 2–9 minimum","OK")),IF(F85&lt;5,"BELOW 10–500 minimum (P-23)",IF(F85&lt;7,"Near 10–500 minimum","OK"))))</f>
        <v/>
      </c>
      <c r="U85" s="71">
        <f>IF(O85&gt;=28,"A — anchor",IF(O85&gt;=10,"B — heavy",IF(O85&gt;=4,"C — moderate","D — tail")))</f>
        <v/>
      </c>
    </row>
    <row r="86" ht="15" customHeight="1" s="48">
      <c r="A86" s="58" t="inlineStr">
        <is>
          <t>EMP-1082</t>
        </is>
      </c>
      <c r="B86" s="58" t="inlineStr">
        <is>
          <t>Lompoc Workforce Partners</t>
        </is>
      </c>
      <c r="C86" s="58" t="inlineStr">
        <is>
          <t>Staffing &amp; Recruitment</t>
        </is>
      </c>
      <c r="D86" s="58" t="inlineStr">
        <is>
          <t>High</t>
        </is>
      </c>
      <c r="E86" s="72" t="n">
        <v>5</v>
      </c>
      <c r="F86" s="72" t="n">
        <v>4</v>
      </c>
      <c r="G86" s="73">
        <f>IFERROR(F86/E86,0)</f>
        <v/>
      </c>
      <c r="H86" s="58">
        <f>IF(E86&lt;=8,"$25",IF(E86&lt;=20,"$30",IF(E86&lt;=199,"$35","$50")))</f>
        <v/>
      </c>
      <c r="I86" s="58">
        <f>IF(E86&lt;=19,"Cal-COBRA","Federal COBRA")</f>
        <v/>
      </c>
      <c r="J86" s="58" t="inlineStr">
        <is>
          <t>Inland Empire</t>
        </is>
      </c>
      <c r="K86" s="58" t="inlineStr">
        <is>
          <t>Jan</t>
        </is>
      </c>
      <c r="L86" s="58" t="inlineStr">
        <is>
          <t>BRK-20</t>
        </is>
      </c>
      <c r="M86" s="58" t="inlineStr">
        <is>
          <t>ER</t>
        </is>
      </c>
      <c r="N86" s="58" t="inlineStr">
        <is>
          <t>Dental + Vision</t>
        </is>
      </c>
      <c r="O86" s="58" t="n">
        <v>2</v>
      </c>
      <c r="P86" s="58" t="n">
        <v>1</v>
      </c>
      <c r="Q86" s="58" t="n">
        <v>1</v>
      </c>
      <c r="R86" s="66">
        <f>IFERROR(O86/F86*100,0)</f>
        <v/>
      </c>
      <c r="S86" s="70">
        <f>F86*'Distribution Targets'!$C$34</f>
        <v/>
      </c>
      <c r="T86" s="71">
        <f>IF(M86="ER",IF(G86&lt;0.7,"BELOW 70% (P-18)",IF(G86&lt;0.75,"Near 70% threshold","OK")),IF(E86&lt;=9,IF(F86&lt;2,"BELOW 2–9 minimum (P-24)",IF(F86=2,"At 2–9 minimum","OK")),IF(F86&lt;5,"BELOW 10–500 minimum (P-23)",IF(F86&lt;7,"Near 10–500 minimum","OK"))))</f>
        <v/>
      </c>
      <c r="U86" s="71">
        <f>IF(O86&gt;=28,"A — anchor",IF(O86&gt;=10,"B — heavy",IF(O86&gt;=4,"C — moderate","D — tail")))</f>
        <v/>
      </c>
    </row>
    <row r="87" ht="15" customHeight="1" s="48">
      <c r="A87" s="56" t="inlineStr">
        <is>
          <t>EMP-1083</t>
        </is>
      </c>
      <c r="B87" s="56" t="inlineStr">
        <is>
          <t>Manteca Restaurant Group</t>
        </is>
      </c>
      <c r="C87" s="56" t="inlineStr">
        <is>
          <t>Hospitality &amp; Food Service</t>
        </is>
      </c>
      <c r="D87" s="56" t="inlineStr">
        <is>
          <t>High</t>
        </is>
      </c>
      <c r="E87" s="68" t="n">
        <v>5</v>
      </c>
      <c r="F87" s="68" t="n">
        <v>3</v>
      </c>
      <c r="G87" s="69">
        <f>IFERROR(F87/E87,0)</f>
        <v/>
      </c>
      <c r="H87" s="56">
        <f>IF(E87&lt;=8,"$25",IF(E87&lt;=20,"$30",IF(E87&lt;=199,"$35","$50")))</f>
        <v/>
      </c>
      <c r="I87" s="56">
        <f>IF(E87&lt;=19,"Cal-COBRA","Federal COBRA")</f>
        <v/>
      </c>
      <c r="J87" s="56" t="inlineStr">
        <is>
          <t>Central Valley</t>
        </is>
      </c>
      <c r="K87" s="56" t="inlineStr">
        <is>
          <t>Feb</t>
        </is>
      </c>
      <c r="L87" s="56" t="inlineStr">
        <is>
          <t>BRK-21</t>
        </is>
      </c>
      <c r="M87" s="56" t="inlineStr">
        <is>
          <t>VOL</t>
        </is>
      </c>
      <c r="N87" s="56" t="inlineStr">
        <is>
          <t>Dental + Vision</t>
        </is>
      </c>
      <c r="O87" s="56" t="n">
        <v>2</v>
      </c>
      <c r="P87" s="56" t="n">
        <v>1</v>
      </c>
      <c r="Q87" s="56" t="n">
        <v>1</v>
      </c>
      <c r="R87" s="65">
        <f>IFERROR(O87/F87*100,0)</f>
        <v/>
      </c>
      <c r="S87" s="70">
        <f>F87*'Distribution Targets'!$C$34</f>
        <v/>
      </c>
      <c r="T87" s="71">
        <f>IF(M87="ER",IF(G87&lt;0.7,"BELOW 70% (P-18)",IF(G87&lt;0.75,"Near 70% threshold","OK")),IF(E87&lt;=9,IF(F87&lt;2,"BELOW 2–9 minimum (P-24)",IF(F87=2,"At 2–9 minimum","OK")),IF(F87&lt;5,"BELOW 10–500 minimum (P-23)",IF(F87&lt;7,"Near 10–500 minimum","OK"))))</f>
        <v/>
      </c>
      <c r="U87" s="71">
        <f>IF(O87&gt;=28,"A — anchor",IF(O87&gt;=10,"B — heavy",IF(O87&gt;=4,"C — moderate","D — tail")))</f>
        <v/>
      </c>
    </row>
    <row r="88" ht="15" customHeight="1" s="48">
      <c r="A88" s="58" t="inlineStr">
        <is>
          <t>EMP-1084</t>
        </is>
      </c>
      <c r="B88" s="58" t="inlineStr">
        <is>
          <t>Needles Mechanical</t>
        </is>
      </c>
      <c r="C88" s="58" t="inlineStr">
        <is>
          <t>Construction &amp; Trades</t>
        </is>
      </c>
      <c r="D88" s="58" t="inlineStr">
        <is>
          <t>High</t>
        </is>
      </c>
      <c r="E88" s="72" t="n">
        <v>5</v>
      </c>
      <c r="F88" s="72" t="n">
        <v>3</v>
      </c>
      <c r="G88" s="73">
        <f>IFERROR(F88/E88,0)</f>
        <v/>
      </c>
      <c r="H88" s="58">
        <f>IF(E88&lt;=8,"$25",IF(E88&lt;=20,"$30",IF(E88&lt;=199,"$35","$50")))</f>
        <v/>
      </c>
      <c r="I88" s="58">
        <f>IF(E88&lt;=19,"Cal-COBRA","Federal COBRA")</f>
        <v/>
      </c>
      <c r="J88" s="58" t="inlineStr">
        <is>
          <t>Bay Area</t>
        </is>
      </c>
      <c r="K88" s="58" t="inlineStr">
        <is>
          <t>Mar</t>
        </is>
      </c>
      <c r="L88" s="58" t="inlineStr">
        <is>
          <t>BRK-24</t>
        </is>
      </c>
      <c r="M88" s="58" t="inlineStr">
        <is>
          <t>VOL</t>
        </is>
      </c>
      <c r="N88" s="58" t="inlineStr">
        <is>
          <t>Dental + Vision</t>
        </is>
      </c>
      <c r="O88" s="58" t="n">
        <v>2</v>
      </c>
      <c r="P88" s="58" t="n">
        <v>1</v>
      </c>
      <c r="Q88" s="58" t="n">
        <v>1</v>
      </c>
      <c r="R88" s="66">
        <f>IFERROR(O88/F88*100,0)</f>
        <v/>
      </c>
      <c r="S88" s="70">
        <f>F88*'Distribution Targets'!$C$34</f>
        <v/>
      </c>
      <c r="T88" s="71">
        <f>IF(M88="ER",IF(G88&lt;0.7,"BELOW 70% (P-18)",IF(G88&lt;0.75,"Near 70% threshold","OK")),IF(E88&lt;=9,IF(F88&lt;2,"BELOW 2–9 minimum (P-24)",IF(F88=2,"At 2–9 minimum","OK")),IF(F88&lt;5,"BELOW 10–500 minimum (P-23)",IF(F88&lt;7,"Near 10–500 minimum","OK"))))</f>
        <v/>
      </c>
      <c r="U88" s="71">
        <f>IF(O88&gt;=28,"A — anchor",IF(O88&gt;=10,"B — heavy",IF(O88&gt;=4,"C — moderate","D — tail")))</f>
        <v/>
      </c>
    </row>
    <row r="89" ht="15" customHeight="1" s="48">
      <c r="A89" s="56" t="inlineStr">
        <is>
          <t>EMP-1085</t>
        </is>
      </c>
      <c r="B89" s="56" t="inlineStr">
        <is>
          <t>Olema Precision Tooling</t>
        </is>
      </c>
      <c r="C89" s="56" t="inlineStr">
        <is>
          <t>Manufacturing</t>
        </is>
      </c>
      <c r="D89" s="56" t="inlineStr">
        <is>
          <t>Medium</t>
        </is>
      </c>
      <c r="E89" s="68" t="n">
        <v>4</v>
      </c>
      <c r="F89" s="68" t="n">
        <v>3</v>
      </c>
      <c r="G89" s="69">
        <f>IFERROR(F89/E89,0)</f>
        <v/>
      </c>
      <c r="H89" s="56">
        <f>IF(E89&lt;=8,"$25",IF(E89&lt;=20,"$30",IF(E89&lt;=199,"$35","$50")))</f>
        <v/>
      </c>
      <c r="I89" s="56">
        <f>IF(E89&lt;=19,"Cal-COBRA","Federal COBRA")</f>
        <v/>
      </c>
      <c r="J89" s="56" t="inlineStr">
        <is>
          <t>Orange County</t>
        </is>
      </c>
      <c r="K89" s="56" t="inlineStr">
        <is>
          <t>Apr</t>
        </is>
      </c>
      <c r="L89" s="56" t="inlineStr">
        <is>
          <t>BRK-26</t>
        </is>
      </c>
      <c r="M89" s="56" t="inlineStr">
        <is>
          <t>ER</t>
        </is>
      </c>
      <c r="N89" s="56" t="inlineStr">
        <is>
          <t>Dental + Chiro</t>
        </is>
      </c>
      <c r="O89" s="56" t="n">
        <v>2</v>
      </c>
      <c r="P89" s="56" t="n">
        <v>1</v>
      </c>
      <c r="Q89" s="56" t="n">
        <v>1</v>
      </c>
      <c r="R89" s="65">
        <f>IFERROR(O89/F89*100,0)</f>
        <v/>
      </c>
      <c r="S89" s="70">
        <f>F89*'Distribution Targets'!$C$34</f>
        <v/>
      </c>
      <c r="T89" s="71">
        <f>IF(M89="ER",IF(G89&lt;0.7,"BELOW 70% (P-18)",IF(G89&lt;0.75,"Near 70% threshold","OK")),IF(E89&lt;=9,IF(F89&lt;2,"BELOW 2–9 minimum (P-24)",IF(F89=2,"At 2–9 minimum","OK")),IF(F89&lt;5,"BELOW 10–500 minimum (P-23)",IF(F89&lt;7,"Near 10–500 minimum","OK"))))</f>
        <v/>
      </c>
      <c r="U89" s="71">
        <f>IF(O89&gt;=28,"A — anchor",IF(O89&gt;=10,"B — heavy",IF(O89&gt;=4,"C — moderate","D — tail")))</f>
        <v/>
      </c>
    </row>
    <row r="90" ht="15" customHeight="1" s="48">
      <c r="A90" s="58" t="inlineStr">
        <is>
          <t>EMP-1086</t>
        </is>
      </c>
      <c r="B90" s="58" t="inlineStr">
        <is>
          <t>Piru Home Care</t>
        </is>
      </c>
      <c r="C90" s="58" t="inlineStr">
        <is>
          <t>Healthcare Services</t>
        </is>
      </c>
      <c r="D90" s="58" t="inlineStr">
        <is>
          <t>Medium</t>
        </is>
      </c>
      <c r="E90" s="72" t="n">
        <v>4</v>
      </c>
      <c r="F90" s="72" t="n">
        <v>3</v>
      </c>
      <c r="G90" s="73">
        <f>IFERROR(F90/E90,0)</f>
        <v/>
      </c>
      <c r="H90" s="58">
        <f>IF(E90&lt;=8,"$25",IF(E90&lt;=20,"$30",IF(E90&lt;=199,"$35","$50")))</f>
        <v/>
      </c>
      <c r="I90" s="58">
        <f>IF(E90&lt;=19,"Cal-COBRA","Federal COBRA")</f>
        <v/>
      </c>
      <c r="J90" s="58" t="inlineStr">
        <is>
          <t>Los Angeles</t>
        </is>
      </c>
      <c r="K90" s="58" t="inlineStr">
        <is>
          <t>May</t>
        </is>
      </c>
      <c r="L90" s="58" t="inlineStr">
        <is>
          <t>BRK-30</t>
        </is>
      </c>
      <c r="M90" s="58" t="inlineStr">
        <is>
          <t>VOL</t>
        </is>
      </c>
      <c r="N90" s="58" t="inlineStr">
        <is>
          <t>Dental</t>
        </is>
      </c>
      <c r="O90" s="58" t="n">
        <v>2</v>
      </c>
      <c r="P90" s="58" t="n">
        <v>1</v>
      </c>
      <c r="Q90" s="58" t="n">
        <v>1</v>
      </c>
      <c r="R90" s="66">
        <f>IFERROR(O90/F90*100,0)</f>
        <v/>
      </c>
      <c r="S90" s="70">
        <f>F90*'Distribution Targets'!$C$34</f>
        <v/>
      </c>
      <c r="T90" s="71">
        <f>IF(M90="ER",IF(G90&lt;0.7,"BELOW 70% (P-18)",IF(G90&lt;0.75,"Near 70% threshold","OK")),IF(E90&lt;=9,IF(F90&lt;2,"BELOW 2–9 minimum (P-24)",IF(F90=2,"At 2–9 minimum","OK")),IF(F90&lt;5,"BELOW 10–500 minimum (P-23)",IF(F90&lt;7,"Near 10–500 minimum","OK"))))</f>
        <v/>
      </c>
      <c r="U90" s="71">
        <f>IF(O90&gt;=28,"A — anchor",IF(O90&gt;=10,"B — heavy",IF(O90&gt;=4,"C — moderate","D — tail")))</f>
        <v/>
      </c>
    </row>
    <row r="91" ht="15" customHeight="1" s="48">
      <c r="A91" s="56" t="inlineStr">
        <is>
          <t>EMP-1087</t>
        </is>
      </c>
      <c r="B91" s="56" t="inlineStr">
        <is>
          <t>Quincy Retail Group</t>
        </is>
      </c>
      <c r="C91" s="56" t="inlineStr">
        <is>
          <t>Retail</t>
        </is>
      </c>
      <c r="D91" s="56" t="inlineStr">
        <is>
          <t>Medium</t>
        </is>
      </c>
      <c r="E91" s="68" t="n">
        <v>4</v>
      </c>
      <c r="F91" s="68" t="n">
        <v>3</v>
      </c>
      <c r="G91" s="69">
        <f>IFERROR(F91/E91,0)</f>
        <v/>
      </c>
      <c r="H91" s="56">
        <f>IF(E91&lt;=8,"$25",IF(E91&lt;=20,"$30",IF(E91&lt;=199,"$35","$50")))</f>
        <v/>
      </c>
      <c r="I91" s="56">
        <f>IF(E91&lt;=19,"Cal-COBRA","Federal COBRA")</f>
        <v/>
      </c>
      <c r="J91" s="56" t="inlineStr">
        <is>
          <t>San Diego</t>
        </is>
      </c>
      <c r="K91" s="56" t="inlineStr">
        <is>
          <t>Jun</t>
        </is>
      </c>
      <c r="L91" s="56" t="inlineStr">
        <is>
          <t>BRK-06</t>
        </is>
      </c>
      <c r="M91" s="56" t="inlineStr">
        <is>
          <t>VOL</t>
        </is>
      </c>
      <c r="N91" s="56" t="inlineStr">
        <is>
          <t>Dental + Vision + Chiro</t>
        </is>
      </c>
      <c r="O91" s="56" t="n">
        <v>2</v>
      </c>
      <c r="P91" s="56" t="n">
        <v>1</v>
      </c>
      <c r="Q91" s="56" t="n">
        <v>1</v>
      </c>
      <c r="R91" s="65">
        <f>IFERROR(O91/F91*100,0)</f>
        <v/>
      </c>
      <c r="S91" s="70">
        <f>F91*'Distribution Targets'!$C$34</f>
        <v/>
      </c>
      <c r="T91" s="71">
        <f>IF(M91="ER",IF(G91&lt;0.7,"BELOW 70% (P-18)",IF(G91&lt;0.75,"Near 70% threshold","OK")),IF(E91&lt;=9,IF(F91&lt;2,"BELOW 2–9 minimum (P-24)",IF(F91=2,"At 2–9 minimum","OK")),IF(F91&lt;5,"BELOW 10–500 minimum (P-23)",IF(F91&lt;7,"Near 10–500 minimum","OK"))))</f>
        <v/>
      </c>
      <c r="U91" s="71">
        <f>IF(O91&gt;=28,"A — anchor",IF(O91&gt;=10,"B — heavy",IF(O91&gt;=4,"C — moderate","D — tail")))</f>
        <v/>
      </c>
    </row>
    <row r="92" ht="15" customHeight="1" s="48">
      <c r="A92" s="58" t="inlineStr">
        <is>
          <t>EMP-1088</t>
        </is>
      </c>
      <c r="B92" s="58" t="inlineStr">
        <is>
          <t>Rialto Logistics</t>
        </is>
      </c>
      <c r="C92" s="58" t="inlineStr">
        <is>
          <t>Logistics &amp; Transport</t>
        </is>
      </c>
      <c r="D92" s="58" t="inlineStr">
        <is>
          <t>Medium</t>
        </is>
      </c>
      <c r="E92" s="72" t="n">
        <v>3</v>
      </c>
      <c r="F92" s="72" t="n">
        <v>3</v>
      </c>
      <c r="G92" s="73">
        <f>IFERROR(F92/E92,0)</f>
        <v/>
      </c>
      <c r="H92" s="58">
        <f>IF(E92&lt;=8,"$25",IF(E92&lt;=20,"$30",IF(E92&lt;=199,"$35","$50")))</f>
        <v/>
      </c>
      <c r="I92" s="58">
        <f>IF(E92&lt;=19,"Cal-COBRA","Federal COBRA")</f>
        <v/>
      </c>
      <c r="J92" s="58" t="inlineStr">
        <is>
          <t>Inland Empire</t>
        </is>
      </c>
      <c r="K92" s="58" t="inlineStr">
        <is>
          <t>Jul</t>
        </is>
      </c>
      <c r="L92" s="58" t="inlineStr">
        <is>
          <t>BRK-11</t>
        </is>
      </c>
      <c r="M92" s="58" t="inlineStr">
        <is>
          <t>ER</t>
        </is>
      </c>
      <c r="N92" s="58" t="inlineStr">
        <is>
          <t>Dental + Vision + Life</t>
        </is>
      </c>
      <c r="O92" s="58" t="n">
        <v>2</v>
      </c>
      <c r="P92" s="58" t="n">
        <v>1</v>
      </c>
      <c r="Q92" s="58" t="n">
        <v>1</v>
      </c>
      <c r="R92" s="66">
        <f>IFERROR(O92/F92*100,0)</f>
        <v/>
      </c>
      <c r="S92" s="70">
        <f>F92*'Distribution Targets'!$C$34</f>
        <v/>
      </c>
      <c r="T92" s="71">
        <f>IF(M92="ER",IF(G92&lt;0.7,"BELOW 70% (P-18)",IF(G92&lt;0.75,"Near 70% threshold","OK")),IF(E92&lt;=9,IF(F92&lt;2,"BELOW 2–9 minimum (P-24)",IF(F92=2,"At 2–9 minimum","OK")),IF(F92&lt;5,"BELOW 10–500 minimum (P-23)",IF(F92&lt;7,"Near 10–500 minimum","OK"))))</f>
        <v/>
      </c>
      <c r="U92" s="71">
        <f>IF(O92&gt;=28,"A — anchor",IF(O92&gt;=10,"B — heavy",IF(O92&gt;=4,"C — moderate","D — tail")))</f>
        <v/>
      </c>
    </row>
    <row r="93" ht="15" customHeight="1" s="48">
      <c r="A93" s="56" t="inlineStr">
        <is>
          <t>EMP-1089</t>
        </is>
      </c>
      <c r="B93" s="56" t="inlineStr">
        <is>
          <t>Soledad Advisors</t>
        </is>
      </c>
      <c r="C93" s="56" t="inlineStr">
        <is>
          <t>Professional Services</t>
        </is>
      </c>
      <c r="D93" s="56" t="inlineStr">
        <is>
          <t>Low</t>
        </is>
      </c>
      <c r="E93" s="68" t="n">
        <v>3</v>
      </c>
      <c r="F93" s="68" t="n">
        <v>3</v>
      </c>
      <c r="G93" s="69">
        <f>IFERROR(F93/E93,0)</f>
        <v/>
      </c>
      <c r="H93" s="56">
        <f>IF(E93&lt;=8,"$25",IF(E93&lt;=20,"$30",IF(E93&lt;=199,"$35","$50")))</f>
        <v/>
      </c>
      <c r="I93" s="56">
        <f>IF(E93&lt;=19,"Cal-COBRA","Federal COBRA")</f>
        <v/>
      </c>
      <c r="J93" s="56" t="inlineStr">
        <is>
          <t>Central Valley</t>
        </is>
      </c>
      <c r="K93" s="56" t="inlineStr">
        <is>
          <t>Aug</t>
        </is>
      </c>
      <c r="L93" s="56" t="inlineStr">
        <is>
          <t>BRK-12</t>
        </is>
      </c>
      <c r="M93" s="56" t="inlineStr">
        <is>
          <t>VOL</t>
        </is>
      </c>
      <c r="N93" s="56" t="inlineStr">
        <is>
          <t>Dental + Chiro</t>
        </is>
      </c>
      <c r="O93" s="56" t="n">
        <v>2</v>
      </c>
      <c r="P93" s="56" t="n">
        <v>1</v>
      </c>
      <c r="Q93" s="56" t="n">
        <v>1</v>
      </c>
      <c r="R93" s="65">
        <f>IFERROR(O93/F93*100,0)</f>
        <v/>
      </c>
      <c r="S93" s="70">
        <f>F93*'Distribution Targets'!$C$34</f>
        <v/>
      </c>
      <c r="T93" s="71">
        <f>IF(M93="ER",IF(G93&lt;0.7,"BELOW 70% (P-18)",IF(G93&lt;0.75,"Near 70% threshold","OK")),IF(E93&lt;=9,IF(F93&lt;2,"BELOW 2–9 minimum (P-24)",IF(F93=2,"At 2–9 minimum","OK")),IF(F93&lt;5,"BELOW 10–500 minimum (P-23)",IF(F93&lt;7,"Near 10–500 minimum","OK"))))</f>
        <v/>
      </c>
      <c r="U93" s="71">
        <f>IF(O93&gt;=28,"A — anchor",IF(O93&gt;=10,"B — heavy",IF(O93&gt;=4,"C — moderate","D — tail")))</f>
        <v/>
      </c>
    </row>
    <row r="94" ht="15" customHeight="1" s="48">
      <c r="A94" s="58" t="inlineStr">
        <is>
          <t>EMP-1090</t>
        </is>
      </c>
      <c r="B94" s="58" t="inlineStr">
        <is>
          <t>Tehachapi Data Group</t>
        </is>
      </c>
      <c r="C94" s="58" t="inlineStr">
        <is>
          <t>Technology</t>
        </is>
      </c>
      <c r="D94" s="58" t="inlineStr">
        <is>
          <t>Low</t>
        </is>
      </c>
      <c r="E94" s="72" t="n">
        <v>3</v>
      </c>
      <c r="F94" s="72" t="n">
        <v>3</v>
      </c>
      <c r="G94" s="73">
        <f>IFERROR(F94/E94,0)</f>
        <v/>
      </c>
      <c r="H94" s="58">
        <f>IF(E94&lt;=8,"$25",IF(E94&lt;=20,"$30",IF(E94&lt;=199,"$35","$50")))</f>
        <v/>
      </c>
      <c r="I94" s="58">
        <f>IF(E94&lt;=19,"Cal-COBRA","Federal COBRA")</f>
        <v/>
      </c>
      <c r="J94" s="58" t="inlineStr">
        <is>
          <t>Bay Area</t>
        </is>
      </c>
      <c r="K94" s="58" t="inlineStr">
        <is>
          <t>Sep</t>
        </is>
      </c>
      <c r="L94" s="58" t="inlineStr">
        <is>
          <t>BRK-13</t>
        </is>
      </c>
      <c r="M94" s="58" t="inlineStr">
        <is>
          <t>VOL</t>
        </is>
      </c>
      <c r="N94" s="58" t="inlineStr">
        <is>
          <t>Dental</t>
        </is>
      </c>
      <c r="O94" s="58" t="n">
        <v>2</v>
      </c>
      <c r="P94" s="58" t="n">
        <v>1</v>
      </c>
      <c r="Q94" s="58" t="n">
        <v>1</v>
      </c>
      <c r="R94" s="66">
        <f>IFERROR(O94/F94*100,0)</f>
        <v/>
      </c>
      <c r="S94" s="70">
        <f>F94*'Distribution Targets'!$C$34</f>
        <v/>
      </c>
      <c r="T94" s="71">
        <f>IF(M94="ER",IF(G94&lt;0.7,"BELOW 70% (P-18)",IF(G94&lt;0.75,"Near 70% threshold","OK")),IF(E94&lt;=9,IF(F94&lt;2,"BELOW 2–9 minimum (P-24)",IF(F94=2,"At 2–9 minimum","OK")),IF(F94&lt;5,"BELOW 10–500 minimum (P-23)",IF(F94&lt;7,"Near 10–500 minimum","OK"))))</f>
        <v/>
      </c>
      <c r="U94" s="71">
        <f>IF(O94&gt;=28,"A — anchor",IF(O94&gt;=10,"B — heavy",IF(O94&gt;=4,"C — moderate","D — tail")))</f>
        <v/>
      </c>
    </row>
    <row r="95" ht="15" customHeight="1" s="48">
      <c r="A95" s="56" t="inlineStr">
        <is>
          <t>EMP-1091</t>
        </is>
      </c>
      <c r="B95" s="56" t="inlineStr">
        <is>
          <t>Upland Personnel Group</t>
        </is>
      </c>
      <c r="C95" s="56" t="inlineStr">
        <is>
          <t>Staffing &amp; Recruitment</t>
        </is>
      </c>
      <c r="D95" s="56" t="inlineStr">
        <is>
          <t>High</t>
        </is>
      </c>
      <c r="E95" s="68" t="n">
        <v>2</v>
      </c>
      <c r="F95" s="68" t="n">
        <v>2</v>
      </c>
      <c r="G95" s="69">
        <f>IFERROR(F95/E95,0)</f>
        <v/>
      </c>
      <c r="H95" s="56">
        <f>IF(E95&lt;=8,"$25",IF(E95&lt;=20,"$30",IF(E95&lt;=199,"$35","$50")))</f>
        <v/>
      </c>
      <c r="I95" s="56">
        <f>IF(E95&lt;=19,"Cal-COBRA","Federal COBRA")</f>
        <v/>
      </c>
      <c r="J95" s="56" t="inlineStr">
        <is>
          <t>Orange County</t>
        </is>
      </c>
      <c r="K95" s="56" t="inlineStr">
        <is>
          <t>Oct</t>
        </is>
      </c>
      <c r="L95" s="56" t="inlineStr">
        <is>
          <t>BRK-27</t>
        </is>
      </c>
      <c r="M95" s="56" t="inlineStr">
        <is>
          <t>ER</t>
        </is>
      </c>
      <c r="N95" s="56" t="inlineStr">
        <is>
          <t>Dental</t>
        </is>
      </c>
      <c r="O95" s="56" t="n">
        <v>2</v>
      </c>
      <c r="P95" s="56" t="n">
        <v>1</v>
      </c>
      <c r="Q95" s="56" t="n">
        <v>1</v>
      </c>
      <c r="R95" s="65">
        <f>IFERROR(O95/F95*100,0)</f>
        <v/>
      </c>
      <c r="S95" s="70">
        <f>F95*'Distribution Targets'!$C$34</f>
        <v/>
      </c>
      <c r="T95" s="71">
        <f>IF(M95="ER",IF(G95&lt;0.7,"BELOW 70% (P-18)",IF(G95&lt;0.75,"Near 70% threshold","OK")),IF(E95&lt;=9,IF(F95&lt;2,"BELOW 2–9 minimum (P-24)",IF(F95=2,"At 2–9 minimum","OK")),IF(F95&lt;5,"BELOW 10–500 minimum (P-23)",IF(F95&lt;7,"Near 10–500 minimum","OK"))))</f>
        <v/>
      </c>
      <c r="U95" s="71">
        <f>IF(O95&gt;=28,"A — anchor",IF(O95&gt;=10,"B — heavy",IF(O95&gt;=4,"C — moderate","D — tail")))</f>
        <v/>
      </c>
    </row>
    <row r="96" ht="15" customHeight="1" s="48">
      <c r="A96" s="58" t="inlineStr">
        <is>
          <t>EMP-1092</t>
        </is>
      </c>
      <c r="B96" s="58" t="inlineStr">
        <is>
          <t>Visalia Restaurant Group</t>
        </is>
      </c>
      <c r="C96" s="58" t="inlineStr">
        <is>
          <t>Hospitality &amp; Food Service</t>
        </is>
      </c>
      <c r="D96" s="58" t="inlineStr">
        <is>
          <t>High</t>
        </is>
      </c>
      <c r="E96" s="72" t="n">
        <v>2</v>
      </c>
      <c r="F96" s="72" t="n">
        <v>2</v>
      </c>
      <c r="G96" s="73">
        <f>IFERROR(F96/E96,0)</f>
        <v/>
      </c>
      <c r="H96" s="58">
        <f>IF(E96&lt;=8,"$25",IF(E96&lt;=20,"$30",IF(E96&lt;=199,"$35","$50")))</f>
        <v/>
      </c>
      <c r="I96" s="58">
        <f>IF(E96&lt;=19,"Cal-COBRA","Federal COBRA")</f>
        <v/>
      </c>
      <c r="J96" s="58" t="inlineStr">
        <is>
          <t>Los Angeles</t>
        </is>
      </c>
      <c r="K96" s="58" t="inlineStr">
        <is>
          <t>Nov</t>
        </is>
      </c>
      <c r="L96" s="58" t="inlineStr">
        <is>
          <t>BRK-28</t>
        </is>
      </c>
      <c r="M96" s="58" t="inlineStr">
        <is>
          <t>VOL</t>
        </is>
      </c>
      <c r="N96" s="58" t="inlineStr">
        <is>
          <t>Dental + Vision + Chiro</t>
        </is>
      </c>
      <c r="O96" s="58" t="n">
        <v>2</v>
      </c>
      <c r="P96" s="58" t="n">
        <v>1</v>
      </c>
      <c r="Q96" s="58" t="n">
        <v>1</v>
      </c>
      <c r="R96" s="66">
        <f>IFERROR(O96/F96*100,0)</f>
        <v/>
      </c>
      <c r="S96" s="70">
        <f>F96*'Distribution Targets'!$C$34</f>
        <v/>
      </c>
      <c r="T96" s="71">
        <f>IF(M96="ER",IF(G96&lt;0.7,"BELOW 70% (P-18)",IF(G96&lt;0.75,"Near 70% threshold","OK")),IF(E96&lt;=9,IF(F96&lt;2,"BELOW 2–9 minimum (P-24)",IF(F96=2,"At 2–9 minimum","OK")),IF(F96&lt;5,"BELOW 10–500 minimum (P-23)",IF(F96&lt;7,"Near 10–500 minimum","OK"))))</f>
        <v/>
      </c>
      <c r="U96" s="71">
        <f>IF(O96&gt;=28,"A — anchor",IF(O96&gt;=10,"B — heavy",IF(O96&gt;=4,"C — moderate","D — tail")))</f>
        <v/>
      </c>
    </row>
    <row r="97" ht="15" customHeight="1" s="48">
      <c r="A97" s="56" t="inlineStr">
        <is>
          <t>EMP-1093</t>
        </is>
      </c>
      <c r="B97" s="56" t="inlineStr">
        <is>
          <t>Weimar Builders</t>
        </is>
      </c>
      <c r="C97" s="56" t="inlineStr">
        <is>
          <t>Construction &amp; Trades</t>
        </is>
      </c>
      <c r="D97" s="56" t="inlineStr">
        <is>
          <t>High</t>
        </is>
      </c>
      <c r="E97" s="68" t="n">
        <v>2</v>
      </c>
      <c r="F97" s="68" t="n">
        <v>2</v>
      </c>
      <c r="G97" s="69">
        <f>IFERROR(F97/E97,0)</f>
        <v/>
      </c>
      <c r="H97" s="56">
        <f>IF(E97&lt;=8,"$25",IF(E97&lt;=20,"$30",IF(E97&lt;=199,"$35","$50")))</f>
        <v/>
      </c>
      <c r="I97" s="56">
        <f>IF(E97&lt;=19,"Cal-COBRA","Federal COBRA")</f>
        <v/>
      </c>
      <c r="J97" s="56" t="inlineStr">
        <is>
          <t>San Diego</t>
        </is>
      </c>
      <c r="K97" s="56" t="inlineStr">
        <is>
          <t>Dec</t>
        </is>
      </c>
      <c r="L97" s="56" t="inlineStr">
        <is>
          <t>BRK-29</t>
        </is>
      </c>
      <c r="M97" s="56" t="inlineStr">
        <is>
          <t>VOL</t>
        </is>
      </c>
      <c r="N97" s="56" t="inlineStr">
        <is>
          <t>Dental + Vision</t>
        </is>
      </c>
      <c r="O97" s="56" t="n">
        <v>2</v>
      </c>
      <c r="P97" s="56" t="n">
        <v>1</v>
      </c>
      <c r="Q97" s="56" t="n">
        <v>1</v>
      </c>
      <c r="R97" s="65">
        <f>IFERROR(O97/F97*100,0)</f>
        <v/>
      </c>
      <c r="S97" s="70">
        <f>F97*'Distribution Targets'!$C$34</f>
        <v/>
      </c>
      <c r="T97" s="71">
        <f>IF(M97="ER",IF(G97&lt;0.7,"BELOW 70% (P-18)",IF(G97&lt;0.75,"Near 70% threshold","OK")),IF(E97&lt;=9,IF(F97&lt;2,"BELOW 2–9 minimum (P-24)",IF(F97=2,"At 2–9 minimum","OK")),IF(F97&lt;5,"BELOW 10–500 minimum (P-23)",IF(F97&lt;7,"Near 10–500 minimum","OK"))))</f>
        <v/>
      </c>
      <c r="U97" s="71">
        <f>IF(O97&gt;=28,"A — anchor",IF(O97&gt;=10,"B — heavy",IF(O97&gt;=4,"C — moderate","D — tail")))</f>
        <v/>
      </c>
    </row>
    <row r="98" ht="15" customHeight="1" s="48">
      <c r="A98" s="58" t="inlineStr">
        <is>
          <t>EMP-1094</t>
        </is>
      </c>
      <c r="B98" s="58" t="inlineStr">
        <is>
          <t>Yountville Manufacturing</t>
        </is>
      </c>
      <c r="C98" s="58" t="inlineStr">
        <is>
          <t>Manufacturing</t>
        </is>
      </c>
      <c r="D98" s="58" t="inlineStr">
        <is>
          <t>Medium</t>
        </is>
      </c>
      <c r="E98" s="72" t="n">
        <v>6</v>
      </c>
      <c r="F98" s="72" t="n">
        <v>5</v>
      </c>
      <c r="G98" s="73">
        <f>IFERROR(F98/E98,0)</f>
        <v/>
      </c>
      <c r="H98" s="58">
        <f>IF(E98&lt;=8,"$25",IF(E98&lt;=20,"$30",IF(E98&lt;=199,"$35","$50")))</f>
        <v/>
      </c>
      <c r="I98" s="58">
        <f>IF(E98&lt;=19,"Cal-COBRA","Federal COBRA")</f>
        <v/>
      </c>
      <c r="J98" s="58" t="inlineStr">
        <is>
          <t>Inland Empire</t>
        </is>
      </c>
      <c r="K98" s="58" t="inlineStr">
        <is>
          <t>Jan</t>
        </is>
      </c>
      <c r="L98" s="58" t="inlineStr">
        <is>
          <t>BRK-22</t>
        </is>
      </c>
      <c r="M98" s="58" t="inlineStr">
        <is>
          <t>ER</t>
        </is>
      </c>
      <c r="N98" s="58" t="inlineStr">
        <is>
          <t>Dental + Vision</t>
        </is>
      </c>
      <c r="O98" s="58" t="n">
        <v>2</v>
      </c>
      <c r="P98" s="58" t="n">
        <v>1</v>
      </c>
      <c r="Q98" s="58" t="n">
        <v>1</v>
      </c>
      <c r="R98" s="66">
        <f>IFERROR(O98/F98*100,0)</f>
        <v/>
      </c>
      <c r="S98" s="70">
        <f>F98*'Distribution Targets'!$C$34</f>
        <v/>
      </c>
      <c r="T98" s="71">
        <f>IF(M98="ER",IF(G98&lt;0.7,"BELOW 70% (P-18)",IF(G98&lt;0.75,"Near 70% threshold","OK")),IF(E98&lt;=9,IF(F98&lt;2,"BELOW 2–9 minimum (P-24)",IF(F98=2,"At 2–9 minimum","OK")),IF(F98&lt;5,"BELOW 10–500 minimum (P-23)",IF(F98&lt;7,"Near 10–500 minimum","OK"))))</f>
        <v/>
      </c>
      <c r="U98" s="71">
        <f>IF(O98&gt;=28,"A — anchor",IF(O98&gt;=10,"B — heavy",IF(O98&gt;=4,"C — moderate","D — tail")))</f>
        <v/>
      </c>
    </row>
    <row r="99" ht="15" customHeight="1" s="48">
      <c r="A99" s="56" t="inlineStr">
        <is>
          <t>EMP-1095</t>
        </is>
      </c>
      <c r="B99" s="56" t="inlineStr">
        <is>
          <t>Zamora Medical Group</t>
        </is>
      </c>
      <c r="C99" s="56" t="inlineStr">
        <is>
          <t>Healthcare Services</t>
        </is>
      </c>
      <c r="D99" s="56" t="inlineStr">
        <is>
          <t>Medium</t>
        </is>
      </c>
      <c r="E99" s="68" t="n">
        <v>5</v>
      </c>
      <c r="F99" s="68" t="n">
        <v>3</v>
      </c>
      <c r="G99" s="69">
        <f>IFERROR(F99/E99,0)</f>
        <v/>
      </c>
      <c r="H99" s="56">
        <f>IF(E99&lt;=8,"$25",IF(E99&lt;=20,"$30",IF(E99&lt;=199,"$35","$50")))</f>
        <v/>
      </c>
      <c r="I99" s="56">
        <f>IF(E99&lt;=19,"Cal-COBRA","Federal COBRA")</f>
        <v/>
      </c>
      <c r="J99" s="56" t="inlineStr">
        <is>
          <t>Central Valley</t>
        </is>
      </c>
      <c r="K99" s="56" t="inlineStr">
        <is>
          <t>Feb</t>
        </is>
      </c>
      <c r="L99" s="56" t="inlineStr">
        <is>
          <t>BRK-23</t>
        </is>
      </c>
      <c r="M99" s="56" t="inlineStr">
        <is>
          <t>VOL</t>
        </is>
      </c>
      <c r="N99" s="56" t="inlineStr">
        <is>
          <t>Dental</t>
        </is>
      </c>
      <c r="O99" s="56" t="n">
        <v>2</v>
      </c>
      <c r="P99" s="56" t="n">
        <v>1</v>
      </c>
      <c r="Q99" s="56" t="n">
        <v>1</v>
      </c>
      <c r="R99" s="65">
        <f>IFERROR(O99/F99*100,0)</f>
        <v/>
      </c>
      <c r="S99" s="70">
        <f>F99*'Distribution Targets'!$C$34</f>
        <v/>
      </c>
      <c r="T99" s="71">
        <f>IF(M99="ER",IF(G99&lt;0.7,"BELOW 70% (P-18)",IF(G99&lt;0.75,"Near 70% threshold","OK")),IF(E99&lt;=9,IF(F99&lt;2,"BELOW 2–9 minimum (P-24)",IF(F99=2,"At 2–9 minimum","OK")),IF(F99&lt;5,"BELOW 10–500 minimum (P-23)",IF(F99&lt;7,"Near 10–500 minimum","OK"))))</f>
        <v/>
      </c>
      <c r="U99" s="71">
        <f>IF(O99&gt;=28,"A — anchor",IF(O99&gt;=10,"B — heavy",IF(O99&gt;=4,"C — moderate","D — tail")))</f>
        <v/>
      </c>
    </row>
    <row r="100" ht="15" customHeight="1" s="48">
      <c r="A100" s="74" t="inlineStr">
        <is>
          <t>TOTAL</t>
        </is>
      </c>
      <c r="B100" s="58" t="n"/>
      <c r="C100" s="58" t="n"/>
      <c r="D100" s="58" t="n"/>
      <c r="E100" s="75">
        <f>SUM(E5:E99)</f>
        <v/>
      </c>
      <c r="F100" s="75">
        <f>SUM(F5:F99)</f>
        <v/>
      </c>
      <c r="G100" s="58" t="n"/>
      <c r="H100" s="58" t="n"/>
      <c r="I100" s="58" t="n"/>
      <c r="J100" s="58" t="n"/>
      <c r="K100" s="58" t="n"/>
      <c r="L100" s="58" t="n"/>
      <c r="M100" s="58" t="n"/>
      <c r="N100" s="58" t="n"/>
      <c r="O100" s="75">
        <f>SUM(O5:O99)</f>
        <v/>
      </c>
      <c r="P100" s="75">
        <f>SUM(P5:P99)</f>
        <v/>
      </c>
      <c r="Q100" s="75">
        <f>SUM(Q5:Q99)</f>
        <v/>
      </c>
      <c r="R100" s="58" t="n"/>
      <c r="S100" s="76">
        <f>SUM(S5:S99)</f>
        <v/>
      </c>
    </row>
    <row r="102" ht="15" customHeight="1" s="48">
      <c r="A102" s="60" t="inlineStr">
        <is>
          <t>CHECK</t>
        </is>
      </c>
      <c r="B102" s="67">
        <f>IF(O100=600,"OK — planned calls sum to 600","VARIANCE: "&amp;TEXT(O100-600,"+0;-0"))</f>
        <v/>
      </c>
    </row>
    <row r="104" ht="15" customHeight="1" s="48">
      <c r="A104" s="62" t="inlineStr">
        <is>
          <t>GROUP SIZE DISTRIBUTION — why it matters</t>
        </is>
      </c>
    </row>
    <row r="105" ht="34.5" customHeight="1" s="48">
      <c r="A105" s="55" t="inlineStr">
        <is>
          <t>Band (eligible employees)</t>
        </is>
      </c>
      <c r="B105" s="55" t="inlineStr">
        <is>
          <t>Groups</t>
        </is>
      </c>
      <c r="C105" s="55" t="inlineStr">
        <is>
          <t>Admin fee</t>
        </is>
      </c>
      <c r="D105" s="55" t="inlineStr">
        <is>
          <t>COBRA regime</t>
        </is>
      </c>
      <c r="E105" s="55" t="inlineStr">
        <is>
          <t>Voluntary dental minimum</t>
        </is>
      </c>
      <c r="F105" s="55" t="inlineStr">
        <is>
          <t>Orthodontia availability</t>
        </is>
      </c>
    </row>
    <row r="106" ht="31.5" customHeight="1" s="48">
      <c r="A106" s="57" t="inlineStr">
        <is>
          <t>2–8</t>
        </is>
      </c>
      <c r="B106" s="57">
        <f>COUNTIFS($E$5:$E$99,"&gt;=2",$E$5:$E$99,"&lt;=8")</f>
        <v/>
      </c>
      <c r="C106" s="57" t="inlineStr">
        <is>
          <t>$25</t>
        </is>
      </c>
      <c r="D106" s="57" t="inlineStr">
        <is>
          <t>Cal-COBRA</t>
        </is>
      </c>
      <c r="E106" s="57" t="inlineStr">
        <is>
          <t>Anthem 5 eligible / 2 enrolled; MetLife 2 / 2</t>
        </is>
      </c>
      <c r="F106" s="57" t="inlineStr">
        <is>
          <t>Ameritas at 5+; nothing else</t>
        </is>
      </c>
    </row>
    <row r="107" ht="31.5" customHeight="1" s="48">
      <c r="A107" s="59" t="inlineStr">
        <is>
          <t>9–19</t>
        </is>
      </c>
      <c r="B107" s="59">
        <f>COUNTIFS($E$5:$E$99,"&gt;=9",$E$5:$E$99,"&lt;=19")</f>
        <v/>
      </c>
      <c r="C107" s="59" t="inlineStr">
        <is>
          <t>$30</t>
        </is>
      </c>
      <c r="D107" s="59" t="inlineStr">
        <is>
          <t>Cal-COBRA</t>
        </is>
      </c>
      <c r="E107" s="59" t="inlineStr">
        <is>
          <t>Anthem 5 / 2; all other dental 10 eligible / 5 enrolled</t>
        </is>
      </c>
      <c r="F107" s="59" t="inlineStr">
        <is>
          <t>Ameritas 5+; Anthem and MetLife at 10+</t>
        </is>
      </c>
    </row>
    <row r="108" ht="31.5" customHeight="1" s="48">
      <c r="A108" s="57" t="inlineStr">
        <is>
          <t>20</t>
        </is>
      </c>
      <c r="B108" s="57">
        <f>COUNTIF($E$5:$E$99,20)</f>
        <v/>
      </c>
      <c r="C108" s="57" t="inlineStr">
        <is>
          <t>$30</t>
        </is>
      </c>
      <c r="D108" s="57" t="inlineStr">
        <is>
          <t>Federal COBRA</t>
        </is>
      </c>
      <c r="E108" s="57" t="inlineStr">
        <is>
          <t>As 10–500</t>
        </is>
      </c>
      <c r="F108" s="57" t="inlineStr">
        <is>
          <t>As 10+</t>
        </is>
      </c>
    </row>
    <row r="109" ht="31.5" customHeight="1" s="48">
      <c r="A109" s="59" t="inlineStr">
        <is>
          <t>21–199</t>
        </is>
      </c>
      <c r="B109" s="59">
        <f>COUNTIFS($E$5:$E$99,"&gt;=21",$E$5:$E$99,"&lt;=199")</f>
        <v/>
      </c>
      <c r="C109" s="59" t="inlineStr">
        <is>
          <t>$35</t>
        </is>
      </c>
      <c r="D109" s="59" t="inlineStr">
        <is>
          <t>Federal COBRA</t>
        </is>
      </c>
      <c r="E109" s="59" t="inlineStr">
        <is>
          <t>Anthem 5 / 2; all other dental 10 / 5</t>
        </is>
      </c>
      <c r="F109" s="59" t="inlineStr">
        <is>
          <t>All carriers; Delta voluntary needs 25+ eligible</t>
        </is>
      </c>
    </row>
    <row r="110" ht="31.5" customHeight="1" s="48">
      <c r="A110" s="57" t="inlineStr">
        <is>
          <t>200–500</t>
        </is>
      </c>
      <c r="B110" s="57">
        <f>COUNTIFS($E$5:$E$99,"&gt;=200")</f>
        <v/>
      </c>
      <c r="C110" s="57" t="inlineStr">
        <is>
          <t>$50</t>
        </is>
      </c>
      <c r="D110" s="57" t="inlineStr">
        <is>
          <t>Federal COBRA</t>
        </is>
      </c>
      <c r="E110" s="57" t="inlineStr">
        <is>
          <t>As above</t>
        </is>
      </c>
      <c r="F110" s="57" t="inlineStr">
        <is>
          <t>All carriers</t>
        </is>
      </c>
    </row>
    <row r="111" ht="15" customHeight="1" s="48">
      <c r="A111" s="60" t="inlineStr">
        <is>
          <t>Total</t>
        </is>
      </c>
      <c r="B111" s="62">
        <f>SUM(B106:B110)</f>
        <v/>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29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47" min="1" max="1"/>
    <col width="24" customWidth="1" style="47" min="2" max="2"/>
    <col width="7" customWidth="1" style="47" min="3" max="3"/>
    <col width="11" customWidth="1" style="47" min="4" max="4"/>
    <col width="28" customWidth="1" style="47" min="5" max="5"/>
    <col width="12" customWidth="1" style="47" min="6" max="6"/>
    <col width="14" customWidth="1" style="47" min="7" max="7"/>
    <col width="12" customWidth="1" style="47" min="8" max="9"/>
  </cols>
  <sheetData>
    <row r="1" ht="21.75" customHeight="1" s="48">
      <c r="A1" s="53" t="inlineStr">
        <is>
          <t>Member master</t>
        </is>
      </c>
    </row>
    <row r="2" ht="74.25" customHeight="1" s="48">
      <c r="A2" s="54" t="inlineStr">
        <is>
          <t>285 members carrying 390 planned member calls across 95 employers. The broker column is a live lookup rather than stored data, which is the point of the modelling rule: change an employer's broker of record in one place and every member and every historical call re-attributes automatically. Repeat callers are built in deliberately, weighted toward the heavier groups, so the repeat-contact and failure-driven-repeat metrics have real pairs to measure rather than coincidences. Distinct member counts are capped at the group's enrolled lives, so a four-person group cannot have six callers.</t>
        </is>
      </c>
    </row>
    <row r="3" ht="6" customHeight="1" s="48"/>
    <row r="4" ht="31.5" customHeight="1" s="48">
      <c r="A4" s="55" t="inlineStr">
        <is>
          <t>Member ID</t>
        </is>
      </c>
      <c r="B4" s="55" t="inlineStr">
        <is>
          <t>Member name</t>
        </is>
      </c>
      <c r="C4" s="55" t="inlineStr">
        <is>
          <t>Age</t>
        </is>
      </c>
      <c r="D4" s="55" t="inlineStr">
        <is>
          <t>Employer ID</t>
        </is>
      </c>
      <c r="E4" s="55" t="inlineStr">
        <is>
          <t>Employer name</t>
        </is>
      </c>
      <c r="F4" s="55" t="inlineStr">
        <is>
          <t>Broker (inherited)</t>
        </is>
      </c>
      <c r="G4" s="55" t="inlineStr">
        <is>
          <t>Primary line</t>
        </is>
      </c>
      <c r="H4" s="55" t="inlineStr">
        <is>
          <t>Planned calls</t>
        </is>
      </c>
      <c r="I4" s="55" t="inlineStr">
        <is>
          <t>Repeat caller</t>
        </is>
      </c>
    </row>
    <row r="5" ht="15" customHeight="1" s="48">
      <c r="A5" s="56" t="inlineStr">
        <is>
          <t>CB-7700001</t>
        </is>
      </c>
      <c r="B5" s="56" t="inlineStr">
        <is>
          <t>Omar Liu</t>
        </is>
      </c>
      <c r="C5" s="56" t="n">
        <v>52</v>
      </c>
      <c r="D5" s="56" t="inlineStr">
        <is>
          <t>EMP-1001</t>
        </is>
      </c>
      <c r="E5" s="56" t="inlineStr">
        <is>
          <t>Cedar Point Workforce Partners</t>
        </is>
      </c>
      <c r="F5" s="56">
        <f>IFERROR(INDEX('Employer Master'!$L$5:$L$99,MATCH(D5,'Employer Master'!$A$5:$A$99,0)),"")</f>
        <v/>
      </c>
      <c r="G5" s="56" t="inlineStr">
        <is>
          <t>Chiro</t>
        </is>
      </c>
      <c r="H5" s="56" t="n">
        <v>2</v>
      </c>
      <c r="I5" s="56">
        <f>IF(H5&gt;1,"yes","")</f>
        <v/>
      </c>
    </row>
    <row r="6" ht="15" customHeight="1" s="48">
      <c r="A6" s="58" t="inlineStr">
        <is>
          <t>CB-7700002</t>
        </is>
      </c>
      <c r="B6" s="58" t="inlineStr">
        <is>
          <t>Anouk Wexler</t>
        </is>
      </c>
      <c r="C6" s="58" t="n">
        <v>23</v>
      </c>
      <c r="D6" s="58" t="inlineStr">
        <is>
          <t>EMP-1001</t>
        </is>
      </c>
      <c r="E6" s="58" t="inlineStr">
        <is>
          <t>Cedar Point Workforce Partners</t>
        </is>
      </c>
      <c r="F6" s="58">
        <f>IFERROR(INDEX('Employer Master'!$L$5:$L$99,MATCH(D6,'Employer Master'!$A$5:$A$99,0)),"")</f>
        <v/>
      </c>
      <c r="G6" s="58" t="inlineStr">
        <is>
          <t>Vision</t>
        </is>
      </c>
      <c r="H6" s="58" t="n">
        <v>2</v>
      </c>
      <c r="I6" s="58">
        <f>IF(H6&gt;1,"yes","")</f>
        <v/>
      </c>
    </row>
    <row r="7" ht="15" customHeight="1" s="48">
      <c r="A7" s="56" t="inlineStr">
        <is>
          <t>CB-7700003</t>
        </is>
      </c>
      <c r="B7" s="56" t="inlineStr">
        <is>
          <t>Oscar Nakamura</t>
        </is>
      </c>
      <c r="C7" s="56" t="n">
        <v>27</v>
      </c>
      <c r="D7" s="56" t="inlineStr">
        <is>
          <t>EMP-1001</t>
        </is>
      </c>
      <c r="E7" s="56" t="inlineStr">
        <is>
          <t>Cedar Point Workforce Partners</t>
        </is>
      </c>
      <c r="F7" s="56">
        <f>IFERROR(INDEX('Employer Master'!$L$5:$L$99,MATCH(D7,'Employer Master'!$A$5:$A$99,0)),"")</f>
        <v/>
      </c>
      <c r="G7" s="56" t="inlineStr">
        <is>
          <t>Dental</t>
        </is>
      </c>
      <c r="H7" s="56" t="n">
        <v>2</v>
      </c>
      <c r="I7" s="56">
        <f>IF(H7&gt;1,"yes","")</f>
        <v/>
      </c>
    </row>
    <row r="8" ht="15" customHeight="1" s="48">
      <c r="A8" s="58" t="inlineStr">
        <is>
          <t>CB-7700004</t>
        </is>
      </c>
      <c r="B8" s="58" t="inlineStr">
        <is>
          <t>Blythe Arellano</t>
        </is>
      </c>
      <c r="C8" s="58" t="n">
        <v>53</v>
      </c>
      <c r="D8" s="58" t="inlineStr">
        <is>
          <t>EMP-1001</t>
        </is>
      </c>
      <c r="E8" s="58" t="inlineStr">
        <is>
          <t>Cedar Point Workforce Partners</t>
        </is>
      </c>
      <c r="F8" s="58">
        <f>IFERROR(INDEX('Employer Master'!$L$5:$L$99,MATCH(D8,'Employer Master'!$A$5:$A$99,0)),"")</f>
        <v/>
      </c>
      <c r="G8" s="58" t="inlineStr">
        <is>
          <t>Vision</t>
        </is>
      </c>
      <c r="H8" s="58" t="n">
        <v>2</v>
      </c>
      <c r="I8" s="58">
        <f>IF(H8&gt;1,"yes","")</f>
        <v/>
      </c>
    </row>
    <row r="9" ht="15" customHeight="1" s="48">
      <c r="A9" s="56" t="inlineStr">
        <is>
          <t>CB-7700005</t>
        </is>
      </c>
      <c r="B9" s="56" t="inlineStr">
        <is>
          <t>Grace Ortega</t>
        </is>
      </c>
      <c r="C9" s="56" t="n">
        <v>55</v>
      </c>
      <c r="D9" s="56" t="inlineStr">
        <is>
          <t>EMP-1001</t>
        </is>
      </c>
      <c r="E9" s="56" t="inlineStr">
        <is>
          <t>Cedar Point Workforce Partners</t>
        </is>
      </c>
      <c r="F9" s="56">
        <f>IFERROR(INDEX('Employer Master'!$L$5:$L$99,MATCH(D9,'Employer Master'!$A$5:$A$99,0)),"")</f>
        <v/>
      </c>
      <c r="G9" s="56" t="inlineStr">
        <is>
          <t>Vision</t>
        </is>
      </c>
      <c r="H9" s="56" t="n">
        <v>2</v>
      </c>
      <c r="I9" s="56">
        <f>IF(H9&gt;1,"yes","")</f>
        <v/>
      </c>
    </row>
    <row r="10" ht="15" customHeight="1" s="48">
      <c r="A10" s="58" t="inlineStr">
        <is>
          <t>CB-7700006</t>
        </is>
      </c>
      <c r="B10" s="58" t="inlineStr">
        <is>
          <t>Liesel Ortega</t>
        </is>
      </c>
      <c r="C10" s="58" t="n">
        <v>57</v>
      </c>
      <c r="D10" s="58" t="inlineStr">
        <is>
          <t>EMP-1001</t>
        </is>
      </c>
      <c r="E10" s="58" t="inlineStr">
        <is>
          <t>Cedar Point Workforce Partners</t>
        </is>
      </c>
      <c r="F10" s="58">
        <f>IFERROR(INDEX('Employer Master'!$L$5:$L$99,MATCH(D10,'Employer Master'!$A$5:$A$99,0)),"")</f>
        <v/>
      </c>
      <c r="G10" s="58" t="inlineStr">
        <is>
          <t>Chiro</t>
        </is>
      </c>
      <c r="H10" s="58" t="n">
        <v>2</v>
      </c>
      <c r="I10" s="58">
        <f>IF(H10&gt;1,"yes","")</f>
        <v/>
      </c>
    </row>
    <row r="11" ht="15" customHeight="1" s="48">
      <c r="A11" s="56" t="inlineStr">
        <is>
          <t>CB-7700007</t>
        </is>
      </c>
      <c r="B11" s="56" t="inlineStr">
        <is>
          <t>Ingrid Zielinski</t>
        </is>
      </c>
      <c r="C11" s="56" t="n">
        <v>30</v>
      </c>
      <c r="D11" s="56" t="inlineStr">
        <is>
          <t>EMP-1001</t>
        </is>
      </c>
      <c r="E11" s="56" t="inlineStr">
        <is>
          <t>Cedar Point Workforce Partners</t>
        </is>
      </c>
      <c r="F11" s="56">
        <f>IFERROR(INDEX('Employer Master'!$L$5:$L$99,MATCH(D11,'Employer Master'!$A$5:$A$99,0)),"")</f>
        <v/>
      </c>
      <c r="G11" s="56" t="inlineStr">
        <is>
          <t>Dental</t>
        </is>
      </c>
      <c r="H11" s="56" t="n">
        <v>2</v>
      </c>
      <c r="I11" s="56">
        <f>IF(H11&gt;1,"yes","")</f>
        <v/>
      </c>
    </row>
    <row r="12" ht="15" customHeight="1" s="48">
      <c r="A12" s="58" t="inlineStr">
        <is>
          <t>CB-7700008</t>
        </is>
      </c>
      <c r="B12" s="58" t="inlineStr">
        <is>
          <t>Halina Dragomir</t>
        </is>
      </c>
      <c r="C12" s="58" t="n">
        <v>51</v>
      </c>
      <c r="D12" s="58" t="inlineStr">
        <is>
          <t>EMP-1001</t>
        </is>
      </c>
      <c r="E12" s="58" t="inlineStr">
        <is>
          <t>Cedar Point Workforce Partners</t>
        </is>
      </c>
      <c r="F12" s="58">
        <f>IFERROR(INDEX('Employer Master'!$L$5:$L$99,MATCH(D12,'Employer Master'!$A$5:$A$99,0)),"")</f>
        <v/>
      </c>
      <c r="G12" s="58" t="inlineStr">
        <is>
          <t>Dental</t>
        </is>
      </c>
      <c r="H12" s="58" t="n">
        <v>1</v>
      </c>
      <c r="I12" s="58">
        <f>IF(H12&gt;1,"yes","")</f>
        <v/>
      </c>
    </row>
    <row r="13" ht="15" customHeight="1" s="48">
      <c r="A13" s="56" t="inlineStr">
        <is>
          <t>CB-7700009</t>
        </is>
      </c>
      <c r="B13" s="56" t="inlineStr">
        <is>
          <t>Aurelio Steinberg</t>
        </is>
      </c>
      <c r="C13" s="56" t="n">
        <v>38</v>
      </c>
      <c r="D13" s="56" t="inlineStr">
        <is>
          <t>EMP-1001</t>
        </is>
      </c>
      <c r="E13" s="56" t="inlineStr">
        <is>
          <t>Cedar Point Workforce Partners</t>
        </is>
      </c>
      <c r="F13" s="56">
        <f>IFERROR(INDEX('Employer Master'!$L$5:$L$99,MATCH(D13,'Employer Master'!$A$5:$A$99,0)),"")</f>
        <v/>
      </c>
      <c r="G13" s="56" t="inlineStr">
        <is>
          <t>Chiro</t>
        </is>
      </c>
      <c r="H13" s="56" t="n">
        <v>1</v>
      </c>
      <c r="I13" s="56">
        <f>IF(H13&gt;1,"yes","")</f>
        <v/>
      </c>
    </row>
    <row r="14" ht="15" customHeight="1" s="48">
      <c r="A14" s="58" t="inlineStr">
        <is>
          <t>CB-7700010</t>
        </is>
      </c>
      <c r="B14" s="58" t="inlineStr">
        <is>
          <t>Kirsten Kowalczyk</t>
        </is>
      </c>
      <c r="C14" s="58" t="n">
        <v>37</v>
      </c>
      <c r="D14" s="58" t="inlineStr">
        <is>
          <t>EMP-1001</t>
        </is>
      </c>
      <c r="E14" s="58" t="inlineStr">
        <is>
          <t>Cedar Point Workforce Partners</t>
        </is>
      </c>
      <c r="F14" s="58">
        <f>IFERROR(INDEX('Employer Master'!$L$5:$L$99,MATCH(D14,'Employer Master'!$A$5:$A$99,0)),"")</f>
        <v/>
      </c>
      <c r="G14" s="58" t="inlineStr">
        <is>
          <t>Chiro</t>
        </is>
      </c>
      <c r="H14" s="58" t="n">
        <v>1</v>
      </c>
      <c r="I14" s="58">
        <f>IF(H14&gt;1,"yes","")</f>
        <v/>
      </c>
    </row>
    <row r="15" ht="15" customHeight="1" s="48">
      <c r="A15" s="56" t="inlineStr">
        <is>
          <t>CB-7700011</t>
        </is>
      </c>
      <c r="B15" s="56" t="inlineStr">
        <is>
          <t>Emeka Abernathy</t>
        </is>
      </c>
      <c r="C15" s="56" t="n">
        <v>39</v>
      </c>
      <c r="D15" s="56" t="inlineStr">
        <is>
          <t>EMP-1001</t>
        </is>
      </c>
      <c r="E15" s="56" t="inlineStr">
        <is>
          <t>Cedar Point Workforce Partners</t>
        </is>
      </c>
      <c r="F15" s="56">
        <f>IFERROR(INDEX('Employer Master'!$L$5:$L$99,MATCH(D15,'Employer Master'!$A$5:$A$99,0)),"")</f>
        <v/>
      </c>
      <c r="G15" s="56" t="inlineStr">
        <is>
          <t>Vision</t>
        </is>
      </c>
      <c r="H15" s="56" t="n">
        <v>1</v>
      </c>
      <c r="I15" s="56">
        <f>IF(H15&gt;1,"yes","")</f>
        <v/>
      </c>
    </row>
    <row r="16" ht="15" customHeight="1" s="48">
      <c r="A16" s="58" t="inlineStr">
        <is>
          <t>CB-7700012</t>
        </is>
      </c>
      <c r="B16" s="58" t="inlineStr">
        <is>
          <t>Grace Baptiste</t>
        </is>
      </c>
      <c r="C16" s="58" t="n">
        <v>26</v>
      </c>
      <c r="D16" s="58" t="inlineStr">
        <is>
          <t>EMP-1001</t>
        </is>
      </c>
      <c r="E16" s="58" t="inlineStr">
        <is>
          <t>Cedar Point Workforce Partners</t>
        </is>
      </c>
      <c r="F16" s="58">
        <f>IFERROR(INDEX('Employer Master'!$L$5:$L$99,MATCH(D16,'Employer Master'!$A$5:$A$99,0)),"")</f>
        <v/>
      </c>
      <c r="G16" s="58" t="inlineStr">
        <is>
          <t>Chiro</t>
        </is>
      </c>
      <c r="H16" s="58" t="n">
        <v>1</v>
      </c>
      <c r="I16" s="58">
        <f>IF(H16&gt;1,"yes","")</f>
        <v/>
      </c>
    </row>
    <row r="17" ht="15" customHeight="1" s="48">
      <c r="A17" s="56" t="inlineStr">
        <is>
          <t>CB-7700013</t>
        </is>
      </c>
      <c r="B17" s="56" t="inlineStr">
        <is>
          <t>Dagny Fontaine</t>
        </is>
      </c>
      <c r="C17" s="56" t="n">
        <v>43</v>
      </c>
      <c r="D17" s="56" t="inlineStr">
        <is>
          <t>EMP-1001</t>
        </is>
      </c>
      <c r="E17" s="56" t="inlineStr">
        <is>
          <t>Cedar Point Workforce Partners</t>
        </is>
      </c>
      <c r="F17" s="56">
        <f>IFERROR(INDEX('Employer Master'!$L$5:$L$99,MATCH(D17,'Employer Master'!$A$5:$A$99,0)),"")</f>
        <v/>
      </c>
      <c r="G17" s="56" t="inlineStr">
        <is>
          <t>Dental</t>
        </is>
      </c>
      <c r="H17" s="56" t="n">
        <v>1</v>
      </c>
      <c r="I17" s="56">
        <f>IF(H17&gt;1,"yes","")</f>
        <v/>
      </c>
    </row>
    <row r="18" ht="15" customHeight="1" s="48">
      <c r="A18" s="58" t="inlineStr">
        <is>
          <t>CB-7700014</t>
        </is>
      </c>
      <c r="B18" s="58" t="inlineStr">
        <is>
          <t>Omar Abernathy</t>
        </is>
      </c>
      <c r="C18" s="58" t="n">
        <v>61</v>
      </c>
      <c r="D18" s="58" t="inlineStr">
        <is>
          <t>EMP-1001</t>
        </is>
      </c>
      <c r="E18" s="58" t="inlineStr">
        <is>
          <t>Cedar Point Workforce Partners</t>
        </is>
      </c>
      <c r="F18" s="58">
        <f>IFERROR(INDEX('Employer Master'!$L$5:$L$99,MATCH(D18,'Employer Master'!$A$5:$A$99,0)),"")</f>
        <v/>
      </c>
      <c r="G18" s="58" t="inlineStr">
        <is>
          <t>Dental</t>
        </is>
      </c>
      <c r="H18" s="58" t="n">
        <v>1</v>
      </c>
      <c r="I18" s="58">
        <f>IF(H18&gt;1,"yes","")</f>
        <v/>
      </c>
    </row>
    <row r="19" ht="15" customHeight="1" s="48">
      <c r="A19" s="56" t="inlineStr">
        <is>
          <t>CB-7700015</t>
        </is>
      </c>
      <c r="B19" s="56" t="inlineStr">
        <is>
          <t>Oscar Dragomir</t>
        </is>
      </c>
      <c r="C19" s="56" t="n">
        <v>51</v>
      </c>
      <c r="D19" s="56" t="inlineStr">
        <is>
          <t>EMP-1001</t>
        </is>
      </c>
      <c r="E19" s="56" t="inlineStr">
        <is>
          <t>Cedar Point Workforce Partners</t>
        </is>
      </c>
      <c r="F19" s="56">
        <f>IFERROR(INDEX('Employer Master'!$L$5:$L$99,MATCH(D19,'Employer Master'!$A$5:$A$99,0)),"")</f>
        <v/>
      </c>
      <c r="G19" s="56" t="inlineStr">
        <is>
          <t>Chiro</t>
        </is>
      </c>
      <c r="H19" s="56" t="n">
        <v>1</v>
      </c>
      <c r="I19" s="56">
        <f>IF(H19&gt;1,"yes","")</f>
        <v/>
      </c>
    </row>
    <row r="20" ht="15" customHeight="1" s="48">
      <c r="A20" s="58" t="inlineStr">
        <is>
          <t>CB-7700016</t>
        </is>
      </c>
      <c r="B20" s="58" t="inlineStr">
        <is>
          <t>Wilhelmina Lindgren</t>
        </is>
      </c>
      <c r="C20" s="58" t="n">
        <v>27</v>
      </c>
      <c r="D20" s="58" t="inlineStr">
        <is>
          <t>EMP-1001</t>
        </is>
      </c>
      <c r="E20" s="58" t="inlineStr">
        <is>
          <t>Cedar Point Workforce Partners</t>
        </is>
      </c>
      <c r="F20" s="58">
        <f>IFERROR(INDEX('Employer Master'!$L$5:$L$99,MATCH(D20,'Employer Master'!$A$5:$A$99,0)),"")</f>
        <v/>
      </c>
      <c r="G20" s="58" t="inlineStr">
        <is>
          <t>Dental</t>
        </is>
      </c>
      <c r="H20" s="58" t="n">
        <v>1</v>
      </c>
      <c r="I20" s="58">
        <f>IF(H20&gt;1,"yes","")</f>
        <v/>
      </c>
    </row>
    <row r="21" ht="15" customHeight="1" s="48">
      <c r="A21" s="56" t="inlineStr">
        <is>
          <t>CB-7700017</t>
        </is>
      </c>
      <c r="B21" s="56" t="inlineStr">
        <is>
          <t>Denise Halvorsen</t>
        </is>
      </c>
      <c r="C21" s="56" t="n">
        <v>63</v>
      </c>
      <c r="D21" s="56" t="inlineStr">
        <is>
          <t>EMP-1001</t>
        </is>
      </c>
      <c r="E21" s="56" t="inlineStr">
        <is>
          <t>Cedar Point Workforce Partners</t>
        </is>
      </c>
      <c r="F21" s="56">
        <f>IFERROR(INDEX('Employer Master'!$L$5:$L$99,MATCH(D21,'Employer Master'!$A$5:$A$99,0)),"")</f>
        <v/>
      </c>
      <c r="G21" s="56" t="inlineStr">
        <is>
          <t>Chiro</t>
        </is>
      </c>
      <c r="H21" s="56" t="n">
        <v>1</v>
      </c>
      <c r="I21" s="56">
        <f>IF(H21&gt;1,"yes","")</f>
        <v/>
      </c>
    </row>
    <row r="22" ht="15" customHeight="1" s="48">
      <c r="A22" s="58" t="inlineStr">
        <is>
          <t>CB-7700018</t>
        </is>
      </c>
      <c r="B22" s="58" t="inlineStr">
        <is>
          <t>Uma Wexler</t>
        </is>
      </c>
      <c r="C22" s="58" t="n">
        <v>38</v>
      </c>
      <c r="D22" s="58" t="inlineStr">
        <is>
          <t>EMP-1002</t>
        </is>
      </c>
      <c r="E22" s="58" t="inlineStr">
        <is>
          <t>Bellwether Restaurant Group</t>
        </is>
      </c>
      <c r="F22" s="58">
        <f>IFERROR(INDEX('Employer Master'!$L$5:$L$99,MATCH(D22,'Employer Master'!$A$5:$A$99,0)),"")</f>
        <v/>
      </c>
      <c r="G22" s="58" t="inlineStr">
        <is>
          <t>Chiro</t>
        </is>
      </c>
      <c r="H22" s="58" t="n">
        <v>2</v>
      </c>
      <c r="I22" s="58">
        <f>IF(H22&gt;1,"yes","")</f>
        <v/>
      </c>
    </row>
    <row r="23" ht="15" customHeight="1" s="48">
      <c r="A23" s="56" t="inlineStr">
        <is>
          <t>CB-7700019</t>
        </is>
      </c>
      <c r="B23" s="56" t="inlineStr">
        <is>
          <t>Jolene Sorensen</t>
        </is>
      </c>
      <c r="C23" s="56" t="n">
        <v>42</v>
      </c>
      <c r="D23" s="56" t="inlineStr">
        <is>
          <t>EMP-1002</t>
        </is>
      </c>
      <c r="E23" s="56" t="inlineStr">
        <is>
          <t>Bellwether Restaurant Group</t>
        </is>
      </c>
      <c r="F23" s="56">
        <f>IFERROR(INDEX('Employer Master'!$L$5:$L$99,MATCH(D23,'Employer Master'!$A$5:$A$99,0)),"")</f>
        <v/>
      </c>
      <c r="G23" s="56" t="inlineStr">
        <is>
          <t>Dental</t>
        </is>
      </c>
      <c r="H23" s="56" t="n">
        <v>2</v>
      </c>
      <c r="I23" s="56">
        <f>IF(H23&gt;1,"yes","")</f>
        <v/>
      </c>
    </row>
    <row r="24" ht="15" customHeight="1" s="48">
      <c r="A24" s="58" t="inlineStr">
        <is>
          <t>CB-7700020</t>
        </is>
      </c>
      <c r="B24" s="58" t="inlineStr">
        <is>
          <t>Fiona Bakri</t>
        </is>
      </c>
      <c r="C24" s="58" t="n">
        <v>43</v>
      </c>
      <c r="D24" s="58" t="inlineStr">
        <is>
          <t>EMP-1002</t>
        </is>
      </c>
      <c r="E24" s="58" t="inlineStr">
        <is>
          <t>Bellwether Restaurant Group</t>
        </is>
      </c>
      <c r="F24" s="58">
        <f>IFERROR(INDEX('Employer Master'!$L$5:$L$99,MATCH(D24,'Employer Master'!$A$5:$A$99,0)),"")</f>
        <v/>
      </c>
      <c r="G24" s="58" t="inlineStr">
        <is>
          <t>Chiro</t>
        </is>
      </c>
      <c r="H24" s="58" t="n">
        <v>2</v>
      </c>
      <c r="I24" s="58">
        <f>IF(H24&gt;1,"yes","")</f>
        <v/>
      </c>
    </row>
    <row r="25" ht="15" customHeight="1" s="48">
      <c r="A25" s="56" t="inlineStr">
        <is>
          <t>CB-7700021</t>
        </is>
      </c>
      <c r="B25" s="56" t="inlineStr">
        <is>
          <t>Jolene Pennington</t>
        </is>
      </c>
      <c r="C25" s="56" t="n">
        <v>60</v>
      </c>
      <c r="D25" s="56" t="inlineStr">
        <is>
          <t>EMP-1002</t>
        </is>
      </c>
      <c r="E25" s="56" t="inlineStr">
        <is>
          <t>Bellwether Restaurant Group</t>
        </is>
      </c>
      <c r="F25" s="56">
        <f>IFERROR(INDEX('Employer Master'!$L$5:$L$99,MATCH(D25,'Employer Master'!$A$5:$A$99,0)),"")</f>
        <v/>
      </c>
      <c r="G25" s="56" t="inlineStr">
        <is>
          <t>Vision</t>
        </is>
      </c>
      <c r="H25" s="56" t="n">
        <v>2</v>
      </c>
      <c r="I25" s="56">
        <f>IF(H25&gt;1,"yes","")</f>
        <v/>
      </c>
    </row>
    <row r="26" ht="15" customHeight="1" s="48">
      <c r="A26" s="58" t="inlineStr">
        <is>
          <t>CB-7700022</t>
        </is>
      </c>
      <c r="B26" s="58" t="inlineStr">
        <is>
          <t>Oscar Foster</t>
        </is>
      </c>
      <c r="C26" s="58" t="n">
        <v>55</v>
      </c>
      <c r="D26" s="58" t="inlineStr">
        <is>
          <t>EMP-1002</t>
        </is>
      </c>
      <c r="E26" s="58" t="inlineStr">
        <is>
          <t>Bellwether Restaurant Group</t>
        </is>
      </c>
      <c r="F26" s="58">
        <f>IFERROR(INDEX('Employer Master'!$L$5:$L$99,MATCH(D26,'Employer Master'!$A$5:$A$99,0)),"")</f>
        <v/>
      </c>
      <c r="G26" s="58" t="inlineStr">
        <is>
          <t>Chiro</t>
        </is>
      </c>
      <c r="H26" s="58" t="n">
        <v>2</v>
      </c>
      <c r="I26" s="58">
        <f>IF(H26&gt;1,"yes","")</f>
        <v/>
      </c>
    </row>
    <row r="27" ht="15" customHeight="1" s="48">
      <c r="A27" s="56" t="inlineStr">
        <is>
          <t>CB-7700023</t>
        </is>
      </c>
      <c r="B27" s="56" t="inlineStr">
        <is>
          <t>Dwayne Hollis</t>
        </is>
      </c>
      <c r="C27" s="56" t="n">
        <v>38</v>
      </c>
      <c r="D27" s="56" t="inlineStr">
        <is>
          <t>EMP-1002</t>
        </is>
      </c>
      <c r="E27" s="56" t="inlineStr">
        <is>
          <t>Bellwether Restaurant Group</t>
        </is>
      </c>
      <c r="F27" s="56">
        <f>IFERROR(INDEX('Employer Master'!$L$5:$L$99,MATCH(D27,'Employer Master'!$A$5:$A$99,0)),"")</f>
        <v/>
      </c>
      <c r="G27" s="56" t="inlineStr">
        <is>
          <t>Vision</t>
        </is>
      </c>
      <c r="H27" s="56" t="n">
        <v>2</v>
      </c>
      <c r="I27" s="56">
        <f>IF(H27&gt;1,"yes","")</f>
        <v/>
      </c>
    </row>
    <row r="28" ht="15" customHeight="1" s="48">
      <c r="A28" s="58" t="inlineStr">
        <is>
          <t>CB-7700024</t>
        </is>
      </c>
      <c r="B28" s="58" t="inlineStr">
        <is>
          <t>Carmen Lindqvist</t>
        </is>
      </c>
      <c r="C28" s="58" t="n">
        <v>61</v>
      </c>
      <c r="D28" s="58" t="inlineStr">
        <is>
          <t>EMP-1002</t>
        </is>
      </c>
      <c r="E28" s="58" t="inlineStr">
        <is>
          <t>Bellwether Restaurant Group</t>
        </is>
      </c>
      <c r="F28" s="58">
        <f>IFERROR(INDEX('Employer Master'!$L$5:$L$99,MATCH(D28,'Employer Master'!$A$5:$A$99,0)),"")</f>
        <v/>
      </c>
      <c r="G28" s="58" t="inlineStr">
        <is>
          <t>Chiro</t>
        </is>
      </c>
      <c r="H28" s="58" t="n">
        <v>1</v>
      </c>
      <c r="I28" s="58">
        <f>IF(H28&gt;1,"yes","")</f>
        <v/>
      </c>
    </row>
    <row r="29" ht="15" customHeight="1" s="48">
      <c r="A29" s="56" t="inlineStr">
        <is>
          <t>CB-7700025</t>
        </is>
      </c>
      <c r="B29" s="56" t="inlineStr">
        <is>
          <t>Juno Nakamura</t>
        </is>
      </c>
      <c r="C29" s="56" t="n">
        <v>49</v>
      </c>
      <c r="D29" s="56" t="inlineStr">
        <is>
          <t>EMP-1002</t>
        </is>
      </c>
      <c r="E29" s="56" t="inlineStr">
        <is>
          <t>Bellwether Restaurant Group</t>
        </is>
      </c>
      <c r="F29" s="56">
        <f>IFERROR(INDEX('Employer Master'!$L$5:$L$99,MATCH(D29,'Employer Master'!$A$5:$A$99,0)),"")</f>
        <v/>
      </c>
      <c r="G29" s="56" t="inlineStr">
        <is>
          <t>Vision</t>
        </is>
      </c>
      <c r="H29" s="56" t="n">
        <v>1</v>
      </c>
      <c r="I29" s="56">
        <f>IF(H29&gt;1,"yes","")</f>
        <v/>
      </c>
    </row>
    <row r="30" ht="15" customHeight="1" s="48">
      <c r="A30" s="58" t="inlineStr">
        <is>
          <t>CB-7700026</t>
        </is>
      </c>
      <c r="B30" s="58" t="inlineStr">
        <is>
          <t>Kamal Arellano</t>
        </is>
      </c>
      <c r="C30" s="58" t="n">
        <v>36</v>
      </c>
      <c r="D30" s="58" t="inlineStr">
        <is>
          <t>EMP-1002</t>
        </is>
      </c>
      <c r="E30" s="58" t="inlineStr">
        <is>
          <t>Bellwether Restaurant Group</t>
        </is>
      </c>
      <c r="F30" s="58">
        <f>IFERROR(INDEX('Employer Master'!$L$5:$L$99,MATCH(D30,'Employer Master'!$A$5:$A$99,0)),"")</f>
        <v/>
      </c>
      <c r="G30" s="58" t="inlineStr">
        <is>
          <t>Chiro</t>
        </is>
      </c>
      <c r="H30" s="58" t="n">
        <v>1</v>
      </c>
      <c r="I30" s="58">
        <f>IF(H30&gt;1,"yes","")</f>
        <v/>
      </c>
    </row>
    <row r="31" ht="15" customHeight="1" s="48">
      <c r="A31" s="56" t="inlineStr">
        <is>
          <t>CB-7700027</t>
        </is>
      </c>
      <c r="B31" s="56" t="inlineStr">
        <is>
          <t>Ursa Bakri</t>
        </is>
      </c>
      <c r="C31" s="56" t="n">
        <v>54</v>
      </c>
      <c r="D31" s="56" t="inlineStr">
        <is>
          <t>EMP-1002</t>
        </is>
      </c>
      <c r="E31" s="56" t="inlineStr">
        <is>
          <t>Bellwether Restaurant Group</t>
        </is>
      </c>
      <c r="F31" s="56">
        <f>IFERROR(INDEX('Employer Master'!$L$5:$L$99,MATCH(D31,'Employer Master'!$A$5:$A$99,0)),"")</f>
        <v/>
      </c>
      <c r="G31" s="56" t="inlineStr">
        <is>
          <t>Dental</t>
        </is>
      </c>
      <c r="H31" s="56" t="n">
        <v>1</v>
      </c>
      <c r="I31" s="56">
        <f>IF(H31&gt;1,"yes","")</f>
        <v/>
      </c>
    </row>
    <row r="32" ht="15" customHeight="1" s="48">
      <c r="A32" s="58" t="inlineStr">
        <is>
          <t>CB-7700028</t>
        </is>
      </c>
      <c r="B32" s="58" t="inlineStr">
        <is>
          <t>Anouk Zielinski</t>
        </is>
      </c>
      <c r="C32" s="58" t="n">
        <v>32</v>
      </c>
      <c r="D32" s="58" t="inlineStr">
        <is>
          <t>EMP-1002</t>
        </is>
      </c>
      <c r="E32" s="58" t="inlineStr">
        <is>
          <t>Bellwether Restaurant Group</t>
        </is>
      </c>
      <c r="F32" s="58">
        <f>IFERROR(INDEX('Employer Master'!$L$5:$L$99,MATCH(D32,'Employer Master'!$A$5:$A$99,0)),"")</f>
        <v/>
      </c>
      <c r="G32" s="58" t="inlineStr">
        <is>
          <t>Dental</t>
        </is>
      </c>
      <c r="H32" s="58" t="n">
        <v>1</v>
      </c>
      <c r="I32" s="58">
        <f>IF(H32&gt;1,"yes","")</f>
        <v/>
      </c>
    </row>
    <row r="33" ht="15" customHeight="1" s="48">
      <c r="A33" s="56" t="inlineStr">
        <is>
          <t>CB-7700029</t>
        </is>
      </c>
      <c r="B33" s="56" t="inlineStr">
        <is>
          <t>Zora Guzman</t>
        </is>
      </c>
      <c r="C33" s="56" t="n">
        <v>25</v>
      </c>
      <c r="D33" s="56" t="inlineStr">
        <is>
          <t>EMP-1002</t>
        </is>
      </c>
      <c r="E33" s="56" t="inlineStr">
        <is>
          <t>Bellwether Restaurant Group</t>
        </is>
      </c>
      <c r="F33" s="56">
        <f>IFERROR(INDEX('Employer Master'!$L$5:$L$99,MATCH(D33,'Employer Master'!$A$5:$A$99,0)),"")</f>
        <v/>
      </c>
      <c r="G33" s="56" t="inlineStr">
        <is>
          <t>Chiro</t>
        </is>
      </c>
      <c r="H33" s="56" t="n">
        <v>1</v>
      </c>
      <c r="I33" s="56">
        <f>IF(H33&gt;1,"yes","")</f>
        <v/>
      </c>
    </row>
    <row r="34" ht="15" customHeight="1" s="48">
      <c r="A34" s="58" t="inlineStr">
        <is>
          <t>CB-7700030</t>
        </is>
      </c>
      <c r="B34" s="58" t="inlineStr">
        <is>
          <t>Alicia Quintero</t>
        </is>
      </c>
      <c r="C34" s="58" t="n">
        <v>56</v>
      </c>
      <c r="D34" s="58" t="inlineStr">
        <is>
          <t>EMP-1002</t>
        </is>
      </c>
      <c r="E34" s="58" t="inlineStr">
        <is>
          <t>Bellwether Restaurant Group</t>
        </is>
      </c>
      <c r="F34" s="58">
        <f>IFERROR(INDEX('Employer Master'!$L$5:$L$99,MATCH(D34,'Employer Master'!$A$5:$A$99,0)),"")</f>
        <v/>
      </c>
      <c r="G34" s="58" t="inlineStr">
        <is>
          <t>Vision</t>
        </is>
      </c>
      <c r="H34" s="58" t="n">
        <v>1</v>
      </c>
      <c r="I34" s="58">
        <f>IF(H34&gt;1,"yes","")</f>
        <v/>
      </c>
    </row>
    <row r="35" ht="15" customHeight="1" s="48">
      <c r="A35" s="56" t="inlineStr">
        <is>
          <t>CB-7700031</t>
        </is>
      </c>
      <c r="B35" s="56" t="inlineStr">
        <is>
          <t>Lena Foster</t>
        </is>
      </c>
      <c r="C35" s="56" t="n">
        <v>58</v>
      </c>
      <c r="D35" s="56" t="inlineStr">
        <is>
          <t>EMP-1002</t>
        </is>
      </c>
      <c r="E35" s="56" t="inlineStr">
        <is>
          <t>Bellwether Restaurant Group</t>
        </is>
      </c>
      <c r="F35" s="56">
        <f>IFERROR(INDEX('Employer Master'!$L$5:$L$99,MATCH(D35,'Employer Master'!$A$5:$A$99,0)),"")</f>
        <v/>
      </c>
      <c r="G35" s="56" t="inlineStr">
        <is>
          <t>Vision</t>
        </is>
      </c>
      <c r="H35" s="56" t="n">
        <v>1</v>
      </c>
      <c r="I35" s="56">
        <f>IF(H35&gt;1,"yes","")</f>
        <v/>
      </c>
    </row>
    <row r="36" ht="15" customHeight="1" s="48">
      <c r="A36" s="58" t="inlineStr">
        <is>
          <t>CB-7700032</t>
        </is>
      </c>
      <c r="B36" s="58" t="inlineStr">
        <is>
          <t>Pascal Ishikawa</t>
        </is>
      </c>
      <c r="C36" s="58" t="n">
        <v>27</v>
      </c>
      <c r="D36" s="58" t="inlineStr">
        <is>
          <t>EMP-1002</t>
        </is>
      </c>
      <c r="E36" s="58" t="inlineStr">
        <is>
          <t>Bellwether Restaurant Group</t>
        </is>
      </c>
      <c r="F36" s="58">
        <f>IFERROR(INDEX('Employer Master'!$L$5:$L$99,MATCH(D36,'Employer Master'!$A$5:$A$99,0)),"")</f>
        <v/>
      </c>
      <c r="G36" s="58" t="inlineStr">
        <is>
          <t>Vision</t>
        </is>
      </c>
      <c r="H36" s="58" t="n">
        <v>1</v>
      </c>
      <c r="I36" s="58">
        <f>IF(H36&gt;1,"yes","")</f>
        <v/>
      </c>
    </row>
    <row r="37" ht="15" customHeight="1" s="48">
      <c r="A37" s="56" t="inlineStr">
        <is>
          <t>CB-7700033</t>
        </is>
      </c>
      <c r="B37" s="56" t="inlineStr">
        <is>
          <t>Grace Bonaventura</t>
        </is>
      </c>
      <c r="C37" s="56" t="n">
        <v>41</v>
      </c>
      <c r="D37" s="56" t="inlineStr">
        <is>
          <t>EMP-1002</t>
        </is>
      </c>
      <c r="E37" s="56" t="inlineStr">
        <is>
          <t>Bellwether Restaurant Group</t>
        </is>
      </c>
      <c r="F37" s="56">
        <f>IFERROR(INDEX('Employer Master'!$L$5:$L$99,MATCH(D37,'Employer Master'!$A$5:$A$99,0)),"")</f>
        <v/>
      </c>
      <c r="G37" s="56" t="inlineStr">
        <is>
          <t>Dental</t>
        </is>
      </c>
      <c r="H37" s="56" t="n">
        <v>1</v>
      </c>
      <c r="I37" s="56">
        <f>IF(H37&gt;1,"yes","")</f>
        <v/>
      </c>
    </row>
    <row r="38" ht="15" customHeight="1" s="48">
      <c r="A38" s="58" t="inlineStr">
        <is>
          <t>CB-7700034</t>
        </is>
      </c>
      <c r="B38" s="58" t="inlineStr">
        <is>
          <t>Jonah Okonkwo</t>
        </is>
      </c>
      <c r="C38" s="58" t="n">
        <v>38</v>
      </c>
      <c r="D38" s="58" t="inlineStr">
        <is>
          <t>EMP-1002</t>
        </is>
      </c>
      <c r="E38" s="58" t="inlineStr">
        <is>
          <t>Bellwether Restaurant Group</t>
        </is>
      </c>
      <c r="F38" s="58">
        <f>IFERROR(INDEX('Employer Master'!$L$5:$L$99,MATCH(D38,'Employer Master'!$A$5:$A$99,0)),"")</f>
        <v/>
      </c>
      <c r="G38" s="58" t="inlineStr">
        <is>
          <t>Chiro</t>
        </is>
      </c>
      <c r="H38" s="58" t="n">
        <v>1</v>
      </c>
      <c r="I38" s="58">
        <f>IF(H38&gt;1,"yes","")</f>
        <v/>
      </c>
    </row>
    <row r="39" ht="15" customHeight="1" s="48">
      <c r="A39" s="56" t="inlineStr">
        <is>
          <t>CB-7700035</t>
        </is>
      </c>
      <c r="B39" s="56" t="inlineStr">
        <is>
          <t>Ewan Haverford</t>
        </is>
      </c>
      <c r="C39" s="56" t="n">
        <v>37</v>
      </c>
      <c r="D39" s="56" t="inlineStr">
        <is>
          <t>EMP-1003</t>
        </is>
      </c>
      <c r="E39" s="56" t="inlineStr">
        <is>
          <t>Meridian Industries</t>
        </is>
      </c>
      <c r="F39" s="56">
        <f>IFERROR(INDEX('Employer Master'!$L$5:$L$99,MATCH(D39,'Employer Master'!$A$5:$A$99,0)),"")</f>
        <v/>
      </c>
      <c r="G39" s="56" t="inlineStr">
        <is>
          <t>Dental</t>
        </is>
      </c>
      <c r="H39" s="56" t="n">
        <v>2</v>
      </c>
      <c r="I39" s="56">
        <f>IF(H39&gt;1,"yes","")</f>
        <v/>
      </c>
    </row>
    <row r="40" ht="15" customHeight="1" s="48">
      <c r="A40" s="58" t="inlineStr">
        <is>
          <t>CB-7700036</t>
        </is>
      </c>
      <c r="B40" s="58" t="inlineStr">
        <is>
          <t>Xiomara Ashby</t>
        </is>
      </c>
      <c r="C40" s="58" t="n">
        <v>62</v>
      </c>
      <c r="D40" s="58" t="inlineStr">
        <is>
          <t>EMP-1003</t>
        </is>
      </c>
      <c r="E40" s="58" t="inlineStr">
        <is>
          <t>Meridian Industries</t>
        </is>
      </c>
      <c r="F40" s="58">
        <f>IFERROR(INDEX('Employer Master'!$L$5:$L$99,MATCH(D40,'Employer Master'!$A$5:$A$99,0)),"")</f>
        <v/>
      </c>
      <c r="G40" s="58" t="inlineStr">
        <is>
          <t>Vision</t>
        </is>
      </c>
      <c r="H40" s="58" t="n">
        <v>2</v>
      </c>
      <c r="I40" s="58">
        <f>IF(H40&gt;1,"yes","")</f>
        <v/>
      </c>
    </row>
    <row r="41" ht="15" customHeight="1" s="48">
      <c r="A41" s="56" t="inlineStr">
        <is>
          <t>CB-7700037</t>
        </is>
      </c>
      <c r="B41" s="56" t="inlineStr">
        <is>
          <t>Duncan Bakri</t>
        </is>
      </c>
      <c r="C41" s="56" t="n">
        <v>48</v>
      </c>
      <c r="D41" s="56" t="inlineStr">
        <is>
          <t>EMP-1003</t>
        </is>
      </c>
      <c r="E41" s="56" t="inlineStr">
        <is>
          <t>Meridian Industries</t>
        </is>
      </c>
      <c r="F41" s="56">
        <f>IFERROR(INDEX('Employer Master'!$L$5:$L$99,MATCH(D41,'Employer Master'!$A$5:$A$99,0)),"")</f>
        <v/>
      </c>
      <c r="G41" s="56" t="inlineStr">
        <is>
          <t>Dental</t>
        </is>
      </c>
      <c r="H41" s="56" t="n">
        <v>2</v>
      </c>
      <c r="I41" s="56">
        <f>IF(H41&gt;1,"yes","")</f>
        <v/>
      </c>
    </row>
    <row r="42" ht="15" customHeight="1" s="48">
      <c r="A42" s="58" t="inlineStr">
        <is>
          <t>CB-7700038</t>
        </is>
      </c>
      <c r="B42" s="58" t="inlineStr">
        <is>
          <t>Emeka Nakamura</t>
        </is>
      </c>
      <c r="C42" s="58" t="n">
        <v>59</v>
      </c>
      <c r="D42" s="58" t="inlineStr">
        <is>
          <t>EMP-1003</t>
        </is>
      </c>
      <c r="E42" s="58" t="inlineStr">
        <is>
          <t>Meridian Industries</t>
        </is>
      </c>
      <c r="F42" s="58">
        <f>IFERROR(INDEX('Employer Master'!$L$5:$L$99,MATCH(D42,'Employer Master'!$A$5:$A$99,0)),"")</f>
        <v/>
      </c>
      <c r="G42" s="58" t="inlineStr">
        <is>
          <t>Vision</t>
        </is>
      </c>
      <c r="H42" s="58" t="n">
        <v>2</v>
      </c>
      <c r="I42" s="58">
        <f>IF(H42&gt;1,"yes","")</f>
        <v/>
      </c>
    </row>
    <row r="43" ht="15" customHeight="1" s="48">
      <c r="A43" s="56" t="inlineStr">
        <is>
          <t>CB-7700039</t>
        </is>
      </c>
      <c r="B43" s="56" t="inlineStr">
        <is>
          <t>Saoirse Yamamoto</t>
        </is>
      </c>
      <c r="C43" s="56" t="n">
        <v>52</v>
      </c>
      <c r="D43" s="56" t="inlineStr">
        <is>
          <t>EMP-1003</t>
        </is>
      </c>
      <c r="E43" s="56" t="inlineStr">
        <is>
          <t>Meridian Industries</t>
        </is>
      </c>
      <c r="F43" s="56">
        <f>IFERROR(INDEX('Employer Master'!$L$5:$L$99,MATCH(D43,'Employer Master'!$A$5:$A$99,0)),"")</f>
        <v/>
      </c>
      <c r="G43" s="56" t="inlineStr">
        <is>
          <t>Dental</t>
        </is>
      </c>
      <c r="H43" s="56" t="n">
        <v>2</v>
      </c>
      <c r="I43" s="56">
        <f>IF(H43&gt;1,"yes","")</f>
        <v/>
      </c>
    </row>
    <row r="44" ht="15" customHeight="1" s="48">
      <c r="A44" s="58" t="inlineStr">
        <is>
          <t>CB-7700040</t>
        </is>
      </c>
      <c r="B44" s="58" t="inlineStr">
        <is>
          <t>Bianca Fraser</t>
        </is>
      </c>
      <c r="C44" s="58" t="n">
        <v>47</v>
      </c>
      <c r="D44" s="58" t="inlineStr">
        <is>
          <t>EMP-1003</t>
        </is>
      </c>
      <c r="E44" s="58" t="inlineStr">
        <is>
          <t>Meridian Industries</t>
        </is>
      </c>
      <c r="F44" s="58">
        <f>IFERROR(INDEX('Employer Master'!$L$5:$L$99,MATCH(D44,'Employer Master'!$A$5:$A$99,0)),"")</f>
        <v/>
      </c>
      <c r="G44" s="58" t="inlineStr">
        <is>
          <t>Vision</t>
        </is>
      </c>
      <c r="H44" s="58" t="n">
        <v>2</v>
      </c>
      <c r="I44" s="58">
        <f>IF(H44&gt;1,"yes","")</f>
        <v/>
      </c>
    </row>
    <row r="45" ht="15" customHeight="1" s="48">
      <c r="A45" s="56" t="inlineStr">
        <is>
          <t>CB-7700041</t>
        </is>
      </c>
      <c r="B45" s="56" t="inlineStr">
        <is>
          <t>Yolanda Fraser</t>
        </is>
      </c>
      <c r="C45" s="56" t="n">
        <v>45</v>
      </c>
      <c r="D45" s="56" t="inlineStr">
        <is>
          <t>EMP-1003</t>
        </is>
      </c>
      <c r="E45" s="56" t="inlineStr">
        <is>
          <t>Meridian Industries</t>
        </is>
      </c>
      <c r="F45" s="56">
        <f>IFERROR(INDEX('Employer Master'!$L$5:$L$99,MATCH(D45,'Employer Master'!$A$5:$A$99,0)),"")</f>
        <v/>
      </c>
      <c r="G45" s="56" t="inlineStr">
        <is>
          <t>Vision</t>
        </is>
      </c>
      <c r="H45" s="56" t="n">
        <v>1</v>
      </c>
      <c r="I45" s="56">
        <f>IF(H45&gt;1,"yes","")</f>
        <v/>
      </c>
    </row>
    <row r="46" ht="15" customHeight="1" s="48">
      <c r="A46" s="58" t="inlineStr">
        <is>
          <t>CB-7700042</t>
        </is>
      </c>
      <c r="B46" s="58" t="inlineStr">
        <is>
          <t>Imani Cruz</t>
        </is>
      </c>
      <c r="C46" s="58" t="n">
        <v>53</v>
      </c>
      <c r="D46" s="58" t="inlineStr">
        <is>
          <t>EMP-1003</t>
        </is>
      </c>
      <c r="E46" s="58" t="inlineStr">
        <is>
          <t>Meridian Industries</t>
        </is>
      </c>
      <c r="F46" s="58">
        <f>IFERROR(INDEX('Employer Master'!$L$5:$L$99,MATCH(D46,'Employer Master'!$A$5:$A$99,0)),"")</f>
        <v/>
      </c>
      <c r="G46" s="58" t="inlineStr">
        <is>
          <t>Dental</t>
        </is>
      </c>
      <c r="H46" s="58" t="n">
        <v>1</v>
      </c>
      <c r="I46" s="58">
        <f>IF(H46&gt;1,"yes","")</f>
        <v/>
      </c>
    </row>
    <row r="47" ht="15" customHeight="1" s="48">
      <c r="A47" s="56" t="inlineStr">
        <is>
          <t>CB-7700043</t>
        </is>
      </c>
      <c r="B47" s="56" t="inlineStr">
        <is>
          <t>Maya Vandermeer</t>
        </is>
      </c>
      <c r="C47" s="56" t="n">
        <v>61</v>
      </c>
      <c r="D47" s="56" t="inlineStr">
        <is>
          <t>EMP-1003</t>
        </is>
      </c>
      <c r="E47" s="56" t="inlineStr">
        <is>
          <t>Meridian Industries</t>
        </is>
      </c>
      <c r="F47" s="56">
        <f>IFERROR(INDEX('Employer Master'!$L$5:$L$99,MATCH(D47,'Employer Master'!$A$5:$A$99,0)),"")</f>
        <v/>
      </c>
      <c r="G47" s="56" t="inlineStr">
        <is>
          <t>Dental</t>
        </is>
      </c>
      <c r="H47" s="56" t="n">
        <v>1</v>
      </c>
      <c r="I47" s="56">
        <f>IF(H47&gt;1,"yes","")</f>
        <v/>
      </c>
    </row>
    <row r="48" ht="15" customHeight="1" s="48">
      <c r="A48" s="58" t="inlineStr">
        <is>
          <t>CB-7700044</t>
        </is>
      </c>
      <c r="B48" s="58" t="inlineStr">
        <is>
          <t>Kamal Ashby</t>
        </is>
      </c>
      <c r="C48" s="58" t="n">
        <v>51</v>
      </c>
      <c r="D48" s="58" t="inlineStr">
        <is>
          <t>EMP-1003</t>
        </is>
      </c>
      <c r="E48" s="58" t="inlineStr">
        <is>
          <t>Meridian Industries</t>
        </is>
      </c>
      <c r="F48" s="58">
        <f>IFERROR(INDEX('Employer Master'!$L$5:$L$99,MATCH(D48,'Employer Master'!$A$5:$A$99,0)),"")</f>
        <v/>
      </c>
      <c r="G48" s="58" t="inlineStr">
        <is>
          <t>Vision</t>
        </is>
      </c>
      <c r="H48" s="58" t="n">
        <v>1</v>
      </c>
      <c r="I48" s="58">
        <f>IF(H48&gt;1,"yes","")</f>
        <v/>
      </c>
    </row>
    <row r="49" ht="15" customHeight="1" s="48">
      <c r="A49" s="56" t="inlineStr">
        <is>
          <t>CB-7700045</t>
        </is>
      </c>
      <c r="B49" s="56" t="inlineStr">
        <is>
          <t>Noor Cruz</t>
        </is>
      </c>
      <c r="C49" s="56" t="n">
        <v>36</v>
      </c>
      <c r="D49" s="56" t="inlineStr">
        <is>
          <t>EMP-1003</t>
        </is>
      </c>
      <c r="E49" s="56" t="inlineStr">
        <is>
          <t>Meridian Industries</t>
        </is>
      </c>
      <c r="F49" s="56">
        <f>IFERROR(INDEX('Employer Master'!$L$5:$L$99,MATCH(D49,'Employer Master'!$A$5:$A$99,0)),"")</f>
        <v/>
      </c>
      <c r="G49" s="56" t="inlineStr">
        <is>
          <t>Vision</t>
        </is>
      </c>
      <c r="H49" s="56" t="n">
        <v>1</v>
      </c>
      <c r="I49" s="56">
        <f>IF(H49&gt;1,"yes","")</f>
        <v/>
      </c>
    </row>
    <row r="50" ht="15" customHeight="1" s="48">
      <c r="A50" s="58" t="inlineStr">
        <is>
          <t>CB-7700046</t>
        </is>
      </c>
      <c r="B50" s="58" t="inlineStr">
        <is>
          <t>Uma Nkemdi</t>
        </is>
      </c>
      <c r="C50" s="58" t="n">
        <v>27</v>
      </c>
      <c r="D50" s="58" t="inlineStr">
        <is>
          <t>EMP-1003</t>
        </is>
      </c>
      <c r="E50" s="58" t="inlineStr">
        <is>
          <t>Meridian Industries</t>
        </is>
      </c>
      <c r="F50" s="58">
        <f>IFERROR(INDEX('Employer Master'!$L$5:$L$99,MATCH(D50,'Employer Master'!$A$5:$A$99,0)),"")</f>
        <v/>
      </c>
      <c r="G50" s="58" t="inlineStr">
        <is>
          <t>Vision</t>
        </is>
      </c>
      <c r="H50" s="58" t="n">
        <v>1</v>
      </c>
      <c r="I50" s="58">
        <f>IF(H50&gt;1,"yes","")</f>
        <v/>
      </c>
    </row>
    <row r="51" ht="15" customHeight="1" s="48">
      <c r="A51" s="56" t="inlineStr">
        <is>
          <t>CB-7700047</t>
        </is>
      </c>
      <c r="B51" s="56" t="inlineStr">
        <is>
          <t>Yolanda Dubois</t>
        </is>
      </c>
      <c r="C51" s="56" t="n">
        <v>40</v>
      </c>
      <c r="D51" s="56" t="inlineStr">
        <is>
          <t>EMP-1003</t>
        </is>
      </c>
      <c r="E51" s="56" t="inlineStr">
        <is>
          <t>Meridian Industries</t>
        </is>
      </c>
      <c r="F51" s="56">
        <f>IFERROR(INDEX('Employer Master'!$L$5:$L$99,MATCH(D51,'Employer Master'!$A$5:$A$99,0)),"")</f>
        <v/>
      </c>
      <c r="G51" s="56" t="inlineStr">
        <is>
          <t>Vision</t>
        </is>
      </c>
      <c r="H51" s="56" t="n">
        <v>1</v>
      </c>
      <c r="I51" s="56">
        <f>IF(H51&gt;1,"yes","")</f>
        <v/>
      </c>
    </row>
    <row r="52" ht="15" customHeight="1" s="48">
      <c r="A52" s="58" t="inlineStr">
        <is>
          <t>CB-7700048</t>
        </is>
      </c>
      <c r="B52" s="58" t="inlineStr">
        <is>
          <t>Jolene Haddad</t>
        </is>
      </c>
      <c r="C52" s="58" t="n">
        <v>39</v>
      </c>
      <c r="D52" s="58" t="inlineStr">
        <is>
          <t>EMP-1003</t>
        </is>
      </c>
      <c r="E52" s="58" t="inlineStr">
        <is>
          <t>Meridian Industries</t>
        </is>
      </c>
      <c r="F52" s="58">
        <f>IFERROR(INDEX('Employer Master'!$L$5:$L$99,MATCH(D52,'Employer Master'!$A$5:$A$99,0)),"")</f>
        <v/>
      </c>
      <c r="G52" s="58" t="inlineStr">
        <is>
          <t>Dental</t>
        </is>
      </c>
      <c r="H52" s="58" t="n">
        <v>1</v>
      </c>
      <c r="I52" s="58">
        <f>IF(H52&gt;1,"yes","")</f>
        <v/>
      </c>
    </row>
    <row r="53" ht="15" customHeight="1" s="48">
      <c r="A53" s="56" t="inlineStr">
        <is>
          <t>CB-7700049</t>
        </is>
      </c>
      <c r="B53" s="56" t="inlineStr">
        <is>
          <t>Quincy Okonjo</t>
        </is>
      </c>
      <c r="C53" s="56" t="n">
        <v>40</v>
      </c>
      <c r="D53" s="56" t="inlineStr">
        <is>
          <t>EMP-1003</t>
        </is>
      </c>
      <c r="E53" s="56" t="inlineStr">
        <is>
          <t>Meridian Industries</t>
        </is>
      </c>
      <c r="F53" s="56">
        <f>IFERROR(INDEX('Employer Master'!$L$5:$L$99,MATCH(D53,'Employer Master'!$A$5:$A$99,0)),"")</f>
        <v/>
      </c>
      <c r="G53" s="56" t="inlineStr">
        <is>
          <t>Dental</t>
        </is>
      </c>
      <c r="H53" s="56" t="n">
        <v>1</v>
      </c>
      <c r="I53" s="56">
        <f>IF(H53&gt;1,"yes","")</f>
        <v/>
      </c>
    </row>
    <row r="54" ht="15" customHeight="1" s="48">
      <c r="A54" s="58" t="inlineStr">
        <is>
          <t>CB-7700050</t>
        </is>
      </c>
      <c r="B54" s="58" t="inlineStr">
        <is>
          <t>Jerome Arellano</t>
        </is>
      </c>
      <c r="C54" s="58" t="n">
        <v>32</v>
      </c>
      <c r="D54" s="58" t="inlineStr">
        <is>
          <t>EMP-1004</t>
        </is>
      </c>
      <c r="E54" s="58" t="inlineStr">
        <is>
          <t>Drummond Associates</t>
        </is>
      </c>
      <c r="F54" s="58">
        <f>IFERROR(INDEX('Employer Master'!$L$5:$L$99,MATCH(D54,'Employer Master'!$A$5:$A$99,0)),"")</f>
        <v/>
      </c>
      <c r="G54" s="58" t="inlineStr">
        <is>
          <t>Dental</t>
        </is>
      </c>
      <c r="H54" s="58" t="n">
        <v>2</v>
      </c>
      <c r="I54" s="58">
        <f>IF(H54&gt;1,"yes","")</f>
        <v/>
      </c>
    </row>
    <row r="55" ht="15" customHeight="1" s="48">
      <c r="A55" s="56" t="inlineStr">
        <is>
          <t>CB-7700051</t>
        </is>
      </c>
      <c r="B55" s="56" t="inlineStr">
        <is>
          <t>Xavier Arellano</t>
        </is>
      </c>
      <c r="C55" s="56" t="n">
        <v>38</v>
      </c>
      <c r="D55" s="56" t="inlineStr">
        <is>
          <t>EMP-1004</t>
        </is>
      </c>
      <c r="E55" s="56" t="inlineStr">
        <is>
          <t>Drummond Associates</t>
        </is>
      </c>
      <c r="F55" s="56">
        <f>IFERROR(INDEX('Employer Master'!$L$5:$L$99,MATCH(D55,'Employer Master'!$A$5:$A$99,0)),"")</f>
        <v/>
      </c>
      <c r="G55" s="56" t="inlineStr">
        <is>
          <t>Dental</t>
        </is>
      </c>
      <c r="H55" s="56" t="n">
        <v>2</v>
      </c>
      <c r="I55" s="56">
        <f>IF(H55&gt;1,"yes","")</f>
        <v/>
      </c>
    </row>
    <row r="56" ht="15" customHeight="1" s="48">
      <c r="A56" s="58" t="inlineStr">
        <is>
          <t>CB-7700052</t>
        </is>
      </c>
      <c r="B56" s="58" t="inlineStr">
        <is>
          <t>Wilhelmina Okonkwo</t>
        </is>
      </c>
      <c r="C56" s="58" t="n">
        <v>43</v>
      </c>
      <c r="D56" s="58" t="inlineStr">
        <is>
          <t>EMP-1004</t>
        </is>
      </c>
      <c r="E56" s="58" t="inlineStr">
        <is>
          <t>Drummond Associates</t>
        </is>
      </c>
      <c r="F56" s="58">
        <f>IFERROR(INDEX('Employer Master'!$L$5:$L$99,MATCH(D56,'Employer Master'!$A$5:$A$99,0)),"")</f>
        <v/>
      </c>
      <c r="G56" s="58" t="inlineStr">
        <is>
          <t>Dental</t>
        </is>
      </c>
      <c r="H56" s="58" t="n">
        <v>2</v>
      </c>
      <c r="I56" s="58">
        <f>IF(H56&gt;1,"yes","")</f>
        <v/>
      </c>
    </row>
    <row r="57" ht="15" customHeight="1" s="48">
      <c r="A57" s="56" t="inlineStr">
        <is>
          <t>CB-7700053</t>
        </is>
      </c>
      <c r="B57" s="56" t="inlineStr">
        <is>
          <t>Abel Fontaine</t>
        </is>
      </c>
      <c r="C57" s="56" t="n">
        <v>47</v>
      </c>
      <c r="D57" s="56" t="inlineStr">
        <is>
          <t>EMP-1004</t>
        </is>
      </c>
      <c r="E57" s="56" t="inlineStr">
        <is>
          <t>Drummond Associates</t>
        </is>
      </c>
      <c r="F57" s="56">
        <f>IFERROR(INDEX('Employer Master'!$L$5:$L$99,MATCH(D57,'Employer Master'!$A$5:$A$99,0)),"")</f>
        <v/>
      </c>
      <c r="G57" s="56" t="inlineStr">
        <is>
          <t>Dental</t>
        </is>
      </c>
      <c r="H57" s="56" t="n">
        <v>2</v>
      </c>
      <c r="I57" s="56">
        <f>IF(H57&gt;1,"yes","")</f>
        <v/>
      </c>
    </row>
    <row r="58" ht="15" customHeight="1" s="48">
      <c r="A58" s="58" t="inlineStr">
        <is>
          <t>CB-7700054</t>
        </is>
      </c>
      <c r="B58" s="58" t="inlineStr">
        <is>
          <t>Sunil Steinberg</t>
        </is>
      </c>
      <c r="C58" s="58" t="n">
        <v>42</v>
      </c>
      <c r="D58" s="58" t="inlineStr">
        <is>
          <t>EMP-1004</t>
        </is>
      </c>
      <c r="E58" s="58" t="inlineStr">
        <is>
          <t>Drummond Associates</t>
        </is>
      </c>
      <c r="F58" s="58">
        <f>IFERROR(INDEX('Employer Master'!$L$5:$L$99,MATCH(D58,'Employer Master'!$A$5:$A$99,0)),"")</f>
        <v/>
      </c>
      <c r="G58" s="58" t="inlineStr">
        <is>
          <t>Dental</t>
        </is>
      </c>
      <c r="H58" s="58" t="n">
        <v>2</v>
      </c>
      <c r="I58" s="58">
        <f>IF(H58&gt;1,"yes","")</f>
        <v/>
      </c>
    </row>
    <row r="59" ht="15" customHeight="1" s="48">
      <c r="A59" s="56" t="inlineStr">
        <is>
          <t>CB-7700055</t>
        </is>
      </c>
      <c r="B59" s="56" t="inlineStr">
        <is>
          <t>Bianca Abernathy</t>
        </is>
      </c>
      <c r="C59" s="56" t="n">
        <v>54</v>
      </c>
      <c r="D59" s="56" t="inlineStr">
        <is>
          <t>EMP-1004</t>
        </is>
      </c>
      <c r="E59" s="56" t="inlineStr">
        <is>
          <t>Drummond Associates</t>
        </is>
      </c>
      <c r="F59" s="56">
        <f>IFERROR(INDEX('Employer Master'!$L$5:$L$99,MATCH(D59,'Employer Master'!$A$5:$A$99,0)),"")</f>
        <v/>
      </c>
      <c r="G59" s="56" t="inlineStr">
        <is>
          <t>Dental</t>
        </is>
      </c>
      <c r="H59" s="56" t="n">
        <v>2</v>
      </c>
      <c r="I59" s="56">
        <f>IF(H59&gt;1,"yes","")</f>
        <v/>
      </c>
    </row>
    <row r="60" ht="15" customHeight="1" s="48">
      <c r="A60" s="58" t="inlineStr">
        <is>
          <t>CB-7700056</t>
        </is>
      </c>
      <c r="B60" s="58" t="inlineStr">
        <is>
          <t>Ahmed Ingram</t>
        </is>
      </c>
      <c r="C60" s="58" t="n">
        <v>55</v>
      </c>
      <c r="D60" s="58" t="inlineStr">
        <is>
          <t>EMP-1004</t>
        </is>
      </c>
      <c r="E60" s="58" t="inlineStr">
        <is>
          <t>Drummond Associates</t>
        </is>
      </c>
      <c r="F60" s="58">
        <f>IFERROR(INDEX('Employer Master'!$L$5:$L$99,MATCH(D60,'Employer Master'!$A$5:$A$99,0)),"")</f>
        <v/>
      </c>
      <c r="G60" s="58" t="inlineStr">
        <is>
          <t>Dental</t>
        </is>
      </c>
      <c r="H60" s="58" t="n">
        <v>1</v>
      </c>
      <c r="I60" s="58">
        <f>IF(H60&gt;1,"yes","")</f>
        <v/>
      </c>
    </row>
    <row r="61" ht="15" customHeight="1" s="48">
      <c r="A61" s="56" t="inlineStr">
        <is>
          <t>CB-7700057</t>
        </is>
      </c>
      <c r="B61" s="56" t="inlineStr">
        <is>
          <t>Gilles Okafor</t>
        </is>
      </c>
      <c r="C61" s="56" t="n">
        <v>36</v>
      </c>
      <c r="D61" s="56" t="inlineStr">
        <is>
          <t>EMP-1004</t>
        </is>
      </c>
      <c r="E61" s="56" t="inlineStr">
        <is>
          <t>Drummond Associates</t>
        </is>
      </c>
      <c r="F61" s="56">
        <f>IFERROR(INDEX('Employer Master'!$L$5:$L$99,MATCH(D61,'Employer Master'!$A$5:$A$99,0)),"")</f>
        <v/>
      </c>
      <c r="G61" s="56" t="inlineStr">
        <is>
          <t>Dental</t>
        </is>
      </c>
      <c r="H61" s="56" t="n">
        <v>1</v>
      </c>
      <c r="I61" s="56">
        <f>IF(H61&gt;1,"yes","")</f>
        <v/>
      </c>
    </row>
    <row r="62" ht="15" customHeight="1" s="48">
      <c r="A62" s="58" t="inlineStr">
        <is>
          <t>CB-7700058</t>
        </is>
      </c>
      <c r="B62" s="58" t="inlineStr">
        <is>
          <t>Quentin Sarkisian</t>
        </is>
      </c>
      <c r="C62" s="58" t="n">
        <v>53</v>
      </c>
      <c r="D62" s="58" t="inlineStr">
        <is>
          <t>EMP-1004</t>
        </is>
      </c>
      <c r="E62" s="58" t="inlineStr">
        <is>
          <t>Drummond Associates</t>
        </is>
      </c>
      <c r="F62" s="58">
        <f>IFERROR(INDEX('Employer Master'!$L$5:$L$99,MATCH(D62,'Employer Master'!$A$5:$A$99,0)),"")</f>
        <v/>
      </c>
      <c r="G62" s="58" t="inlineStr">
        <is>
          <t>Vision</t>
        </is>
      </c>
      <c r="H62" s="58" t="n">
        <v>1</v>
      </c>
      <c r="I62" s="58">
        <f>IF(H62&gt;1,"yes","")</f>
        <v/>
      </c>
    </row>
    <row r="63" ht="15" customHeight="1" s="48">
      <c r="A63" s="56" t="inlineStr">
        <is>
          <t>CB-7700059</t>
        </is>
      </c>
      <c r="B63" s="56" t="inlineStr">
        <is>
          <t>Uma Castellanos</t>
        </is>
      </c>
      <c r="C63" s="56" t="n">
        <v>43</v>
      </c>
      <c r="D63" s="56" t="inlineStr">
        <is>
          <t>EMP-1004</t>
        </is>
      </c>
      <c r="E63" s="56" t="inlineStr">
        <is>
          <t>Drummond Associates</t>
        </is>
      </c>
      <c r="F63" s="56">
        <f>IFERROR(INDEX('Employer Master'!$L$5:$L$99,MATCH(D63,'Employer Master'!$A$5:$A$99,0)),"")</f>
        <v/>
      </c>
      <c r="G63" s="56" t="inlineStr">
        <is>
          <t>Vision</t>
        </is>
      </c>
      <c r="H63" s="56" t="n">
        <v>1</v>
      </c>
      <c r="I63" s="56">
        <f>IF(H63&gt;1,"yes","")</f>
        <v/>
      </c>
    </row>
    <row r="64" ht="15" customHeight="1" s="48">
      <c r="A64" s="58" t="inlineStr">
        <is>
          <t>CB-7700060</t>
        </is>
      </c>
      <c r="B64" s="58" t="inlineStr">
        <is>
          <t>Wilhelmina Fontaine</t>
        </is>
      </c>
      <c r="C64" s="58" t="n">
        <v>32</v>
      </c>
      <c r="D64" s="58" t="inlineStr">
        <is>
          <t>EMP-1004</t>
        </is>
      </c>
      <c r="E64" s="58" t="inlineStr">
        <is>
          <t>Drummond Associates</t>
        </is>
      </c>
      <c r="F64" s="58">
        <f>IFERROR(INDEX('Employer Master'!$L$5:$L$99,MATCH(D64,'Employer Master'!$A$5:$A$99,0)),"")</f>
        <v/>
      </c>
      <c r="G64" s="58" t="inlineStr">
        <is>
          <t>Vision</t>
        </is>
      </c>
      <c r="H64" s="58" t="n">
        <v>1</v>
      </c>
      <c r="I64" s="58">
        <f>IF(H64&gt;1,"yes","")</f>
        <v/>
      </c>
    </row>
    <row r="65" ht="15" customHeight="1" s="48">
      <c r="A65" s="56" t="inlineStr">
        <is>
          <t>CB-7700061</t>
        </is>
      </c>
      <c r="B65" s="56" t="inlineStr">
        <is>
          <t>Maya Dubois</t>
        </is>
      </c>
      <c r="C65" s="56" t="n">
        <v>48</v>
      </c>
      <c r="D65" s="56" t="inlineStr">
        <is>
          <t>EMP-1004</t>
        </is>
      </c>
      <c r="E65" s="56" t="inlineStr">
        <is>
          <t>Drummond Associates</t>
        </is>
      </c>
      <c r="F65" s="56">
        <f>IFERROR(INDEX('Employer Master'!$L$5:$L$99,MATCH(D65,'Employer Master'!$A$5:$A$99,0)),"")</f>
        <v/>
      </c>
      <c r="G65" s="56" t="inlineStr">
        <is>
          <t>Vision</t>
        </is>
      </c>
      <c r="H65" s="56" t="n">
        <v>1</v>
      </c>
      <c r="I65" s="56">
        <f>IF(H65&gt;1,"yes","")</f>
        <v/>
      </c>
    </row>
    <row r="66" ht="15" customHeight="1" s="48">
      <c r="A66" s="58" t="inlineStr">
        <is>
          <t>CB-7700062</t>
        </is>
      </c>
      <c r="B66" s="58" t="inlineStr">
        <is>
          <t>Victor Nkemdi</t>
        </is>
      </c>
      <c r="C66" s="58" t="n">
        <v>37</v>
      </c>
      <c r="D66" s="58" t="inlineStr">
        <is>
          <t>EMP-1004</t>
        </is>
      </c>
      <c r="E66" s="58" t="inlineStr">
        <is>
          <t>Drummond Associates</t>
        </is>
      </c>
      <c r="F66" s="58">
        <f>IFERROR(INDEX('Employer Master'!$L$5:$L$99,MATCH(D66,'Employer Master'!$A$5:$A$99,0)),"")</f>
        <v/>
      </c>
      <c r="G66" s="58" t="inlineStr">
        <is>
          <t>Vision</t>
        </is>
      </c>
      <c r="H66" s="58" t="n">
        <v>1</v>
      </c>
      <c r="I66" s="58">
        <f>IF(H66&gt;1,"yes","")</f>
        <v/>
      </c>
    </row>
    <row r="67" ht="15" customHeight="1" s="48">
      <c r="A67" s="56" t="inlineStr">
        <is>
          <t>CB-7700063</t>
        </is>
      </c>
      <c r="B67" s="56" t="inlineStr">
        <is>
          <t>Jerome Lemoine</t>
        </is>
      </c>
      <c r="C67" s="56" t="n">
        <v>45</v>
      </c>
      <c r="D67" s="56" t="inlineStr">
        <is>
          <t>EMP-1004</t>
        </is>
      </c>
      <c r="E67" s="56" t="inlineStr">
        <is>
          <t>Drummond Associates</t>
        </is>
      </c>
      <c r="F67" s="56">
        <f>IFERROR(INDEX('Employer Master'!$L$5:$L$99,MATCH(D67,'Employer Master'!$A$5:$A$99,0)),"")</f>
        <v/>
      </c>
      <c r="G67" s="56" t="inlineStr">
        <is>
          <t>Vision</t>
        </is>
      </c>
      <c r="H67" s="56" t="n">
        <v>1</v>
      </c>
      <c r="I67" s="56">
        <f>IF(H67&gt;1,"yes","")</f>
        <v/>
      </c>
    </row>
    <row r="68" ht="15" customHeight="1" s="48">
      <c r="A68" s="58" t="inlineStr">
        <is>
          <t>CB-7700064</t>
        </is>
      </c>
      <c r="B68" s="58" t="inlineStr">
        <is>
          <t>Idris Fraser</t>
        </is>
      </c>
      <c r="C68" s="58" t="n">
        <v>25</v>
      </c>
      <c r="D68" s="58" t="inlineStr">
        <is>
          <t>EMP-1005</t>
        </is>
      </c>
      <c r="E68" s="58" t="inlineStr">
        <is>
          <t>Fontaine Dental Partners</t>
        </is>
      </c>
      <c r="F68" s="58">
        <f>IFERROR(INDEX('Employer Master'!$L$5:$L$99,MATCH(D68,'Employer Master'!$A$5:$A$99,0)),"")</f>
        <v/>
      </c>
      <c r="G68" s="58" t="inlineStr">
        <is>
          <t>Dental</t>
        </is>
      </c>
      <c r="H68" s="58" t="n">
        <v>2</v>
      </c>
      <c r="I68" s="58">
        <f>IF(H68&gt;1,"yes","")</f>
        <v/>
      </c>
    </row>
    <row r="69" ht="15" customHeight="1" s="48">
      <c r="A69" s="56" t="inlineStr">
        <is>
          <t>CB-7700065</t>
        </is>
      </c>
      <c r="B69" s="56" t="inlineStr">
        <is>
          <t>Terrence Jaramillo</t>
        </is>
      </c>
      <c r="C69" s="56" t="n">
        <v>23</v>
      </c>
      <c r="D69" s="56" t="inlineStr">
        <is>
          <t>EMP-1005</t>
        </is>
      </c>
      <c r="E69" s="56" t="inlineStr">
        <is>
          <t>Fontaine Dental Partners</t>
        </is>
      </c>
      <c r="F69" s="56">
        <f>IFERROR(INDEX('Employer Master'!$L$5:$L$99,MATCH(D69,'Employer Master'!$A$5:$A$99,0)),"")</f>
        <v/>
      </c>
      <c r="G69" s="56" t="inlineStr">
        <is>
          <t>Chiro</t>
        </is>
      </c>
      <c r="H69" s="56" t="n">
        <v>2</v>
      </c>
      <c r="I69" s="56">
        <f>IF(H69&gt;1,"yes","")</f>
        <v/>
      </c>
    </row>
    <row r="70" ht="15" customHeight="1" s="48">
      <c r="A70" s="58" t="inlineStr">
        <is>
          <t>CB-7700066</t>
        </is>
      </c>
      <c r="B70" s="58" t="inlineStr">
        <is>
          <t>Bram Roux</t>
        </is>
      </c>
      <c r="C70" s="58" t="n">
        <v>27</v>
      </c>
      <c r="D70" s="58" t="inlineStr">
        <is>
          <t>EMP-1005</t>
        </is>
      </c>
      <c r="E70" s="58" t="inlineStr">
        <is>
          <t>Fontaine Dental Partners</t>
        </is>
      </c>
      <c r="F70" s="58">
        <f>IFERROR(INDEX('Employer Master'!$L$5:$L$99,MATCH(D70,'Employer Master'!$A$5:$A$99,0)),"")</f>
        <v/>
      </c>
      <c r="G70" s="58" t="inlineStr">
        <is>
          <t>Chiro</t>
        </is>
      </c>
      <c r="H70" s="58" t="n">
        <v>2</v>
      </c>
      <c r="I70" s="58">
        <f>IF(H70&gt;1,"yes","")</f>
        <v/>
      </c>
    </row>
    <row r="71" ht="15" customHeight="1" s="48">
      <c r="A71" s="56" t="inlineStr">
        <is>
          <t>CB-7700067</t>
        </is>
      </c>
      <c r="B71" s="56" t="inlineStr">
        <is>
          <t>Duncan Thibault</t>
        </is>
      </c>
      <c r="C71" s="56" t="n">
        <v>45</v>
      </c>
      <c r="D71" s="56" t="inlineStr">
        <is>
          <t>EMP-1005</t>
        </is>
      </c>
      <c r="E71" s="56" t="inlineStr">
        <is>
          <t>Fontaine Dental Partners</t>
        </is>
      </c>
      <c r="F71" s="56">
        <f>IFERROR(INDEX('Employer Master'!$L$5:$L$99,MATCH(D71,'Employer Master'!$A$5:$A$99,0)),"")</f>
        <v/>
      </c>
      <c r="G71" s="56" t="inlineStr">
        <is>
          <t>Chiro</t>
        </is>
      </c>
      <c r="H71" s="56" t="n">
        <v>2</v>
      </c>
      <c r="I71" s="56">
        <f>IF(H71&gt;1,"yes","")</f>
        <v/>
      </c>
    </row>
    <row r="72" ht="15" customHeight="1" s="48">
      <c r="A72" s="58" t="inlineStr">
        <is>
          <t>CB-7700068</t>
        </is>
      </c>
      <c r="B72" s="58" t="inlineStr">
        <is>
          <t>Perrine Okonkwo</t>
        </is>
      </c>
      <c r="C72" s="58" t="n">
        <v>38</v>
      </c>
      <c r="D72" s="58" t="inlineStr">
        <is>
          <t>EMP-1005</t>
        </is>
      </c>
      <c r="E72" s="58" t="inlineStr">
        <is>
          <t>Fontaine Dental Partners</t>
        </is>
      </c>
      <c r="F72" s="58">
        <f>IFERROR(INDEX('Employer Master'!$L$5:$L$99,MATCH(D72,'Employer Master'!$A$5:$A$99,0)),"")</f>
        <v/>
      </c>
      <c r="G72" s="58" t="inlineStr">
        <is>
          <t>Vision</t>
        </is>
      </c>
      <c r="H72" s="58" t="n">
        <v>2</v>
      </c>
      <c r="I72" s="58">
        <f>IF(H72&gt;1,"yes","")</f>
        <v/>
      </c>
    </row>
    <row r="73" ht="15" customHeight="1" s="48">
      <c r="A73" s="56" t="inlineStr">
        <is>
          <t>CB-7700069</t>
        </is>
      </c>
      <c r="B73" s="56" t="inlineStr">
        <is>
          <t>Kwesi Lindgren</t>
        </is>
      </c>
      <c r="C73" s="56" t="n">
        <v>50</v>
      </c>
      <c r="D73" s="56" t="inlineStr">
        <is>
          <t>EMP-1005</t>
        </is>
      </c>
      <c r="E73" s="56" t="inlineStr">
        <is>
          <t>Fontaine Dental Partners</t>
        </is>
      </c>
      <c r="F73" s="56">
        <f>IFERROR(INDEX('Employer Master'!$L$5:$L$99,MATCH(D73,'Employer Master'!$A$5:$A$99,0)),"")</f>
        <v/>
      </c>
      <c r="G73" s="56" t="inlineStr">
        <is>
          <t>Dental</t>
        </is>
      </c>
      <c r="H73" s="56" t="n">
        <v>1</v>
      </c>
      <c r="I73" s="56">
        <f>IF(H73&gt;1,"yes","")</f>
        <v/>
      </c>
    </row>
    <row r="74" ht="15" customHeight="1" s="48">
      <c r="A74" s="58" t="inlineStr">
        <is>
          <t>CB-7700070</t>
        </is>
      </c>
      <c r="B74" s="58" t="inlineStr">
        <is>
          <t>Sandra Okonjo</t>
        </is>
      </c>
      <c r="C74" s="58" t="n">
        <v>26</v>
      </c>
      <c r="D74" s="58" t="inlineStr">
        <is>
          <t>EMP-1005</t>
        </is>
      </c>
      <c r="E74" s="58" t="inlineStr">
        <is>
          <t>Fontaine Dental Partners</t>
        </is>
      </c>
      <c r="F74" s="58">
        <f>IFERROR(INDEX('Employer Master'!$L$5:$L$99,MATCH(D74,'Employer Master'!$A$5:$A$99,0)),"")</f>
        <v/>
      </c>
      <c r="G74" s="58" t="inlineStr">
        <is>
          <t>Vision</t>
        </is>
      </c>
      <c r="H74" s="58" t="n">
        <v>1</v>
      </c>
      <c r="I74" s="58">
        <f>IF(H74&gt;1,"yes","")</f>
        <v/>
      </c>
    </row>
    <row r="75" ht="15" customHeight="1" s="48">
      <c r="A75" s="56" t="inlineStr">
        <is>
          <t>CB-7700071</t>
        </is>
      </c>
      <c r="B75" s="56" t="inlineStr">
        <is>
          <t>Noor Nkemdi</t>
        </is>
      </c>
      <c r="C75" s="56" t="n">
        <v>41</v>
      </c>
      <c r="D75" s="56" t="inlineStr">
        <is>
          <t>EMP-1005</t>
        </is>
      </c>
      <c r="E75" s="56" t="inlineStr">
        <is>
          <t>Fontaine Dental Partners</t>
        </is>
      </c>
      <c r="F75" s="56">
        <f>IFERROR(INDEX('Employer Master'!$L$5:$L$99,MATCH(D75,'Employer Master'!$A$5:$A$99,0)),"")</f>
        <v/>
      </c>
      <c r="G75" s="56" t="inlineStr">
        <is>
          <t>Vision</t>
        </is>
      </c>
      <c r="H75" s="56" t="n">
        <v>1</v>
      </c>
      <c r="I75" s="56">
        <f>IF(H75&gt;1,"yes","")</f>
        <v/>
      </c>
    </row>
    <row r="76" ht="15" customHeight="1" s="48">
      <c r="A76" s="58" t="inlineStr">
        <is>
          <t>CB-7700072</t>
        </is>
      </c>
      <c r="B76" s="58" t="inlineStr">
        <is>
          <t>Oscar Dubois</t>
        </is>
      </c>
      <c r="C76" s="58" t="n">
        <v>33</v>
      </c>
      <c r="D76" s="58" t="inlineStr">
        <is>
          <t>EMP-1005</t>
        </is>
      </c>
      <c r="E76" s="58" t="inlineStr">
        <is>
          <t>Fontaine Dental Partners</t>
        </is>
      </c>
      <c r="F76" s="58">
        <f>IFERROR(INDEX('Employer Master'!$L$5:$L$99,MATCH(D76,'Employer Master'!$A$5:$A$99,0)),"")</f>
        <v/>
      </c>
      <c r="G76" s="58" t="inlineStr">
        <is>
          <t>Dental</t>
        </is>
      </c>
      <c r="H76" s="58" t="n">
        <v>1</v>
      </c>
      <c r="I76" s="58">
        <f>IF(H76&gt;1,"yes","")</f>
        <v/>
      </c>
    </row>
    <row r="77" ht="15" customHeight="1" s="48">
      <c r="A77" s="56" t="inlineStr">
        <is>
          <t>CB-7700073</t>
        </is>
      </c>
      <c r="B77" s="56" t="inlineStr">
        <is>
          <t>Cormac Baptiste</t>
        </is>
      </c>
      <c r="C77" s="56" t="n">
        <v>33</v>
      </c>
      <c r="D77" s="56" t="inlineStr">
        <is>
          <t>EMP-1005</t>
        </is>
      </c>
      <c r="E77" s="56" t="inlineStr">
        <is>
          <t>Fontaine Dental Partners</t>
        </is>
      </c>
      <c r="F77" s="56">
        <f>IFERROR(INDEX('Employer Master'!$L$5:$L$99,MATCH(D77,'Employer Master'!$A$5:$A$99,0)),"")</f>
        <v/>
      </c>
      <c r="G77" s="56" t="inlineStr">
        <is>
          <t>Vision</t>
        </is>
      </c>
      <c r="H77" s="56" t="n">
        <v>1</v>
      </c>
      <c r="I77" s="56">
        <f>IF(H77&gt;1,"yes","")</f>
        <v/>
      </c>
    </row>
    <row r="78" ht="15" customHeight="1" s="48">
      <c r="A78" s="58" t="inlineStr">
        <is>
          <t>CB-7700074</t>
        </is>
      </c>
      <c r="B78" s="58" t="inlineStr">
        <is>
          <t>Vera Quintero</t>
        </is>
      </c>
      <c r="C78" s="58" t="n">
        <v>28</v>
      </c>
      <c r="D78" s="58" t="inlineStr">
        <is>
          <t>EMP-1005</t>
        </is>
      </c>
      <c r="E78" s="58" t="inlineStr">
        <is>
          <t>Fontaine Dental Partners</t>
        </is>
      </c>
      <c r="F78" s="58">
        <f>IFERROR(INDEX('Employer Master'!$L$5:$L$99,MATCH(D78,'Employer Master'!$A$5:$A$99,0)),"")</f>
        <v/>
      </c>
      <c r="G78" s="58" t="inlineStr">
        <is>
          <t>Chiro</t>
        </is>
      </c>
      <c r="H78" s="58" t="n">
        <v>1</v>
      </c>
      <c r="I78" s="58">
        <f>IF(H78&gt;1,"yes","")</f>
        <v/>
      </c>
    </row>
    <row r="79" ht="15" customHeight="1" s="48">
      <c r="A79" s="56" t="inlineStr">
        <is>
          <t>CB-7700075</t>
        </is>
      </c>
      <c r="B79" s="56" t="inlineStr">
        <is>
          <t>Zora Ruiz</t>
        </is>
      </c>
      <c r="C79" s="56" t="n">
        <v>32</v>
      </c>
      <c r="D79" s="56" t="inlineStr">
        <is>
          <t>EMP-1005</t>
        </is>
      </c>
      <c r="E79" s="56" t="inlineStr">
        <is>
          <t>Fontaine Dental Partners</t>
        </is>
      </c>
      <c r="F79" s="56">
        <f>IFERROR(INDEX('Employer Master'!$L$5:$L$99,MATCH(D79,'Employer Master'!$A$5:$A$99,0)),"")</f>
        <v/>
      </c>
      <c r="G79" s="56" t="inlineStr">
        <is>
          <t>Vision</t>
        </is>
      </c>
      <c r="H79" s="56" t="n">
        <v>1</v>
      </c>
      <c r="I79" s="56">
        <f>IF(H79&gt;1,"yes","")</f>
        <v/>
      </c>
    </row>
    <row r="80" ht="15" customHeight="1" s="48">
      <c r="A80" s="58" t="inlineStr">
        <is>
          <t>CB-7700076</t>
        </is>
      </c>
      <c r="B80" s="58" t="inlineStr">
        <is>
          <t>Mateo Wexler</t>
        </is>
      </c>
      <c r="C80" s="58" t="n">
        <v>58</v>
      </c>
      <c r="D80" s="58" t="inlineStr">
        <is>
          <t>EMP-1005</t>
        </is>
      </c>
      <c r="E80" s="58" t="inlineStr">
        <is>
          <t>Fontaine Dental Partners</t>
        </is>
      </c>
      <c r="F80" s="58">
        <f>IFERROR(INDEX('Employer Master'!$L$5:$L$99,MATCH(D80,'Employer Master'!$A$5:$A$99,0)),"")</f>
        <v/>
      </c>
      <c r="G80" s="58" t="inlineStr">
        <is>
          <t>Vision</t>
        </is>
      </c>
      <c r="H80" s="58" t="n">
        <v>1</v>
      </c>
      <c r="I80" s="58">
        <f>IF(H80&gt;1,"yes","")</f>
        <v/>
      </c>
    </row>
    <row r="81" ht="15" customHeight="1" s="48">
      <c r="A81" s="56" t="inlineStr">
        <is>
          <t>CB-7700077</t>
        </is>
      </c>
      <c r="B81" s="56" t="inlineStr">
        <is>
          <t>Quentin Haddad</t>
        </is>
      </c>
      <c r="C81" s="56" t="n">
        <v>30</v>
      </c>
      <c r="D81" s="56" t="inlineStr">
        <is>
          <t>EMP-1005</t>
        </is>
      </c>
      <c r="E81" s="56" t="inlineStr">
        <is>
          <t>Fontaine Dental Partners</t>
        </is>
      </c>
      <c r="F81" s="56">
        <f>IFERROR(INDEX('Employer Master'!$L$5:$L$99,MATCH(D81,'Employer Master'!$A$5:$A$99,0)),"")</f>
        <v/>
      </c>
      <c r="G81" s="56" t="inlineStr">
        <is>
          <t>Vision</t>
        </is>
      </c>
      <c r="H81" s="56" t="n">
        <v>1</v>
      </c>
      <c r="I81" s="56">
        <f>IF(H81&gt;1,"yes","")</f>
        <v/>
      </c>
    </row>
    <row r="82" ht="15" customHeight="1" s="48">
      <c r="A82" s="58" t="inlineStr">
        <is>
          <t>CB-7700078</t>
        </is>
      </c>
      <c r="B82" s="58" t="inlineStr">
        <is>
          <t>Xiomara Winters</t>
        </is>
      </c>
      <c r="C82" s="58" t="n">
        <v>40</v>
      </c>
      <c r="D82" s="58" t="inlineStr">
        <is>
          <t>EMP-1006</t>
        </is>
      </c>
      <c r="E82" s="58" t="inlineStr">
        <is>
          <t>Park Mechanical</t>
        </is>
      </c>
      <c r="F82" s="58">
        <f>IFERROR(INDEX('Employer Master'!$L$5:$L$99,MATCH(D82,'Employer Master'!$A$5:$A$99,0)),"")</f>
        <v/>
      </c>
      <c r="G82" s="58" t="inlineStr">
        <is>
          <t>Dental</t>
        </is>
      </c>
      <c r="H82" s="58" t="n">
        <v>2</v>
      </c>
      <c r="I82" s="58">
        <f>IF(H82&gt;1,"yes","")</f>
        <v/>
      </c>
    </row>
    <row r="83" ht="15" customHeight="1" s="48">
      <c r="A83" s="56" t="inlineStr">
        <is>
          <t>CB-7700079</t>
        </is>
      </c>
      <c r="B83" s="56" t="inlineStr">
        <is>
          <t>Yolanda Hollis</t>
        </is>
      </c>
      <c r="C83" s="56" t="n">
        <v>60</v>
      </c>
      <c r="D83" s="56" t="inlineStr">
        <is>
          <t>EMP-1006</t>
        </is>
      </c>
      <c r="E83" s="56" t="inlineStr">
        <is>
          <t>Park Mechanical</t>
        </is>
      </c>
      <c r="F83" s="56">
        <f>IFERROR(INDEX('Employer Master'!$L$5:$L$99,MATCH(D83,'Employer Master'!$A$5:$A$99,0)),"")</f>
        <v/>
      </c>
      <c r="G83" s="56" t="inlineStr">
        <is>
          <t>Dental</t>
        </is>
      </c>
      <c r="H83" s="56" t="n">
        <v>2</v>
      </c>
      <c r="I83" s="56">
        <f>IF(H83&gt;1,"yes","")</f>
        <v/>
      </c>
    </row>
    <row r="84" ht="15" customHeight="1" s="48">
      <c r="A84" s="58" t="inlineStr">
        <is>
          <t>CB-7700080</t>
        </is>
      </c>
      <c r="B84" s="58" t="inlineStr">
        <is>
          <t>Wilhelmina Venkatesh</t>
        </is>
      </c>
      <c r="C84" s="58" t="n">
        <v>27</v>
      </c>
      <c r="D84" s="58" t="inlineStr">
        <is>
          <t>EMP-1006</t>
        </is>
      </c>
      <c r="E84" s="58" t="inlineStr">
        <is>
          <t>Park Mechanical</t>
        </is>
      </c>
      <c r="F84" s="58">
        <f>IFERROR(INDEX('Employer Master'!$L$5:$L$99,MATCH(D84,'Employer Master'!$A$5:$A$99,0)),"")</f>
        <v/>
      </c>
      <c r="G84" s="58" t="inlineStr">
        <is>
          <t>Dental</t>
        </is>
      </c>
      <c r="H84" s="58" t="n">
        <v>2</v>
      </c>
      <c r="I84" s="58">
        <f>IF(H84&gt;1,"yes","")</f>
        <v/>
      </c>
    </row>
    <row r="85" ht="15" customHeight="1" s="48">
      <c r="A85" s="56" t="inlineStr">
        <is>
          <t>CB-7700081</t>
        </is>
      </c>
      <c r="B85" s="56" t="inlineStr">
        <is>
          <t>Terrence Liu</t>
        </is>
      </c>
      <c r="C85" s="56" t="n">
        <v>43</v>
      </c>
      <c r="D85" s="56" t="inlineStr">
        <is>
          <t>EMP-1006</t>
        </is>
      </c>
      <c r="E85" s="56" t="inlineStr">
        <is>
          <t>Park Mechanical</t>
        </is>
      </c>
      <c r="F85" s="56">
        <f>IFERROR(INDEX('Employer Master'!$L$5:$L$99,MATCH(D85,'Employer Master'!$A$5:$A$99,0)),"")</f>
        <v/>
      </c>
      <c r="G85" s="56" t="inlineStr">
        <is>
          <t>Dental</t>
        </is>
      </c>
      <c r="H85" s="56" t="n">
        <v>2</v>
      </c>
      <c r="I85" s="56">
        <f>IF(H85&gt;1,"yes","")</f>
        <v/>
      </c>
    </row>
    <row r="86" ht="15" customHeight="1" s="48">
      <c r="A86" s="58" t="inlineStr">
        <is>
          <t>CB-7700082</t>
        </is>
      </c>
      <c r="B86" s="58" t="inlineStr">
        <is>
          <t>Yusuf Ueno</t>
        </is>
      </c>
      <c r="C86" s="58" t="n">
        <v>39</v>
      </c>
      <c r="D86" s="58" t="inlineStr">
        <is>
          <t>EMP-1006</t>
        </is>
      </c>
      <c r="E86" s="58" t="inlineStr">
        <is>
          <t>Park Mechanical</t>
        </is>
      </c>
      <c r="F86" s="58">
        <f>IFERROR(INDEX('Employer Master'!$L$5:$L$99,MATCH(D86,'Employer Master'!$A$5:$A$99,0)),"")</f>
        <v/>
      </c>
      <c r="G86" s="58" t="inlineStr">
        <is>
          <t>Dental</t>
        </is>
      </c>
      <c r="H86" s="58" t="n">
        <v>2</v>
      </c>
      <c r="I86" s="58">
        <f>IF(H86&gt;1,"yes","")</f>
        <v/>
      </c>
    </row>
    <row r="87" ht="15" customHeight="1" s="48">
      <c r="A87" s="56" t="inlineStr">
        <is>
          <t>CB-7700083</t>
        </is>
      </c>
      <c r="B87" s="56" t="inlineStr">
        <is>
          <t>Perrine Cruz</t>
        </is>
      </c>
      <c r="C87" s="56" t="n">
        <v>47</v>
      </c>
      <c r="D87" s="56" t="inlineStr">
        <is>
          <t>EMP-1006</t>
        </is>
      </c>
      <c r="E87" s="56" t="inlineStr">
        <is>
          <t>Park Mechanical</t>
        </is>
      </c>
      <c r="F87" s="56">
        <f>IFERROR(INDEX('Employer Master'!$L$5:$L$99,MATCH(D87,'Employer Master'!$A$5:$A$99,0)),"")</f>
        <v/>
      </c>
      <c r="G87" s="56" t="inlineStr">
        <is>
          <t>Dental</t>
        </is>
      </c>
      <c r="H87" s="56" t="n">
        <v>1</v>
      </c>
      <c r="I87" s="56">
        <f>IF(H87&gt;1,"yes","")</f>
        <v/>
      </c>
    </row>
    <row r="88" ht="15" customHeight="1" s="48">
      <c r="A88" s="58" t="inlineStr">
        <is>
          <t>CB-7700084</t>
        </is>
      </c>
      <c r="B88" s="58" t="inlineStr">
        <is>
          <t>Idris Ruiz</t>
        </is>
      </c>
      <c r="C88" s="58" t="n">
        <v>24</v>
      </c>
      <c r="D88" s="58" t="inlineStr">
        <is>
          <t>EMP-1006</t>
        </is>
      </c>
      <c r="E88" s="58" t="inlineStr">
        <is>
          <t>Park Mechanical</t>
        </is>
      </c>
      <c r="F88" s="58">
        <f>IFERROR(INDEX('Employer Master'!$L$5:$L$99,MATCH(D88,'Employer Master'!$A$5:$A$99,0)),"")</f>
        <v/>
      </c>
      <c r="G88" s="58" t="inlineStr">
        <is>
          <t>Dental</t>
        </is>
      </c>
      <c r="H88" s="58" t="n">
        <v>1</v>
      </c>
      <c r="I88" s="58">
        <f>IF(H88&gt;1,"yes","")</f>
        <v/>
      </c>
    </row>
    <row r="89" ht="15" customHeight="1" s="48">
      <c r="A89" s="56" t="inlineStr">
        <is>
          <t>CB-7700085</t>
        </is>
      </c>
      <c r="B89" s="56" t="inlineStr">
        <is>
          <t>Dagny Fraser</t>
        </is>
      </c>
      <c r="C89" s="56" t="n">
        <v>63</v>
      </c>
      <c r="D89" s="56" t="inlineStr">
        <is>
          <t>EMP-1006</t>
        </is>
      </c>
      <c r="E89" s="56" t="inlineStr">
        <is>
          <t>Park Mechanical</t>
        </is>
      </c>
      <c r="F89" s="56">
        <f>IFERROR(INDEX('Employer Master'!$L$5:$L$99,MATCH(D89,'Employer Master'!$A$5:$A$99,0)),"")</f>
        <v/>
      </c>
      <c r="G89" s="56" t="inlineStr">
        <is>
          <t>Dental</t>
        </is>
      </c>
      <c r="H89" s="56" t="n">
        <v>1</v>
      </c>
      <c r="I89" s="56">
        <f>IF(H89&gt;1,"yes","")</f>
        <v/>
      </c>
    </row>
    <row r="90" ht="15" customHeight="1" s="48">
      <c r="A90" s="58" t="inlineStr">
        <is>
          <t>CB-7700086</t>
        </is>
      </c>
      <c r="B90" s="58" t="inlineStr">
        <is>
          <t>Yolanda Chigozie</t>
        </is>
      </c>
      <c r="C90" s="58" t="n">
        <v>62</v>
      </c>
      <c r="D90" s="58" t="inlineStr">
        <is>
          <t>EMP-1006</t>
        </is>
      </c>
      <c r="E90" s="58" t="inlineStr">
        <is>
          <t>Park Mechanical</t>
        </is>
      </c>
      <c r="F90" s="58">
        <f>IFERROR(INDEX('Employer Master'!$L$5:$L$99,MATCH(D90,'Employer Master'!$A$5:$A$99,0)),"")</f>
        <v/>
      </c>
      <c r="G90" s="58" t="inlineStr">
        <is>
          <t>Dental</t>
        </is>
      </c>
      <c r="H90" s="58" t="n">
        <v>1</v>
      </c>
      <c r="I90" s="58">
        <f>IF(H90&gt;1,"yes","")</f>
        <v/>
      </c>
    </row>
    <row r="91" ht="15" customHeight="1" s="48">
      <c r="A91" s="56" t="inlineStr">
        <is>
          <t>CB-7700087</t>
        </is>
      </c>
      <c r="B91" s="56" t="inlineStr">
        <is>
          <t>Ewan Winters</t>
        </is>
      </c>
      <c r="C91" s="56" t="n">
        <v>27</v>
      </c>
      <c r="D91" s="56" t="inlineStr">
        <is>
          <t>EMP-1006</t>
        </is>
      </c>
      <c r="E91" s="56" t="inlineStr">
        <is>
          <t>Park Mechanical</t>
        </is>
      </c>
      <c r="F91" s="56">
        <f>IFERROR(INDEX('Employer Master'!$L$5:$L$99,MATCH(D91,'Employer Master'!$A$5:$A$99,0)),"")</f>
        <v/>
      </c>
      <c r="G91" s="56" t="inlineStr">
        <is>
          <t>Dental</t>
        </is>
      </c>
      <c r="H91" s="56" t="n">
        <v>1</v>
      </c>
      <c r="I91" s="56">
        <f>IF(H91&gt;1,"yes","")</f>
        <v/>
      </c>
    </row>
    <row r="92" ht="15" customHeight="1" s="48">
      <c r="A92" s="58" t="inlineStr">
        <is>
          <t>CB-7700088</t>
        </is>
      </c>
      <c r="B92" s="58" t="inlineStr">
        <is>
          <t>Kamal Fontaine</t>
        </is>
      </c>
      <c r="C92" s="58" t="n">
        <v>47</v>
      </c>
      <c r="D92" s="58" t="inlineStr">
        <is>
          <t>EMP-1006</t>
        </is>
      </c>
      <c r="E92" s="58" t="inlineStr">
        <is>
          <t>Park Mechanical</t>
        </is>
      </c>
      <c r="F92" s="58">
        <f>IFERROR(INDEX('Employer Master'!$L$5:$L$99,MATCH(D92,'Employer Master'!$A$5:$A$99,0)),"")</f>
        <v/>
      </c>
      <c r="G92" s="58" t="inlineStr">
        <is>
          <t>Dental</t>
        </is>
      </c>
      <c r="H92" s="58" t="n">
        <v>1</v>
      </c>
      <c r="I92" s="58">
        <f>IF(H92&gt;1,"yes","")</f>
        <v/>
      </c>
    </row>
    <row r="93" ht="15" customHeight="1" s="48">
      <c r="A93" s="56" t="inlineStr">
        <is>
          <t>CB-7700089</t>
        </is>
      </c>
      <c r="B93" s="56" t="inlineStr">
        <is>
          <t>Grace Castellanos</t>
        </is>
      </c>
      <c r="C93" s="56" t="n">
        <v>42</v>
      </c>
      <c r="D93" s="56" t="inlineStr">
        <is>
          <t>EMP-1006</t>
        </is>
      </c>
      <c r="E93" s="56" t="inlineStr">
        <is>
          <t>Park Mechanical</t>
        </is>
      </c>
      <c r="F93" s="56">
        <f>IFERROR(INDEX('Employer Master'!$L$5:$L$99,MATCH(D93,'Employer Master'!$A$5:$A$99,0)),"")</f>
        <v/>
      </c>
      <c r="G93" s="56" t="inlineStr">
        <is>
          <t>Dental</t>
        </is>
      </c>
      <c r="H93" s="56" t="n">
        <v>1</v>
      </c>
      <c r="I93" s="56">
        <f>IF(H93&gt;1,"yes","")</f>
        <v/>
      </c>
    </row>
    <row r="94" ht="15" customHeight="1" s="48">
      <c r="A94" s="58" t="inlineStr">
        <is>
          <t>CB-7700090</t>
        </is>
      </c>
      <c r="B94" s="58" t="inlineStr">
        <is>
          <t>Oscar Arellano</t>
        </is>
      </c>
      <c r="C94" s="58" t="n">
        <v>24</v>
      </c>
      <c r="D94" s="58" t="inlineStr">
        <is>
          <t>EMP-1006</t>
        </is>
      </c>
      <c r="E94" s="58" t="inlineStr">
        <is>
          <t>Park Mechanical</t>
        </is>
      </c>
      <c r="F94" s="58">
        <f>IFERROR(INDEX('Employer Master'!$L$5:$L$99,MATCH(D94,'Employer Master'!$A$5:$A$99,0)),"")</f>
        <v/>
      </c>
      <c r="G94" s="58" t="inlineStr">
        <is>
          <t>Dental</t>
        </is>
      </c>
      <c r="H94" s="58" t="n">
        <v>1</v>
      </c>
      <c r="I94" s="58">
        <f>IF(H94&gt;1,"yes","")</f>
        <v/>
      </c>
    </row>
    <row r="95" ht="15" customHeight="1" s="48">
      <c r="A95" s="56" t="inlineStr">
        <is>
          <t>CB-7700091</t>
        </is>
      </c>
      <c r="B95" s="56" t="inlineStr">
        <is>
          <t>Bethany Marchetti</t>
        </is>
      </c>
      <c r="C95" s="56" t="n">
        <v>39</v>
      </c>
      <c r="D95" s="56" t="inlineStr">
        <is>
          <t>EMP-1006</t>
        </is>
      </c>
      <c r="E95" s="56" t="inlineStr">
        <is>
          <t>Park Mechanical</t>
        </is>
      </c>
      <c r="F95" s="56">
        <f>IFERROR(INDEX('Employer Master'!$L$5:$L$99,MATCH(D95,'Employer Master'!$A$5:$A$99,0)),"")</f>
        <v/>
      </c>
      <c r="G95" s="56" t="inlineStr">
        <is>
          <t>Dental</t>
        </is>
      </c>
      <c r="H95" s="56" t="n">
        <v>1</v>
      </c>
      <c r="I95" s="56">
        <f>IF(H95&gt;1,"yes","")</f>
        <v/>
      </c>
    </row>
    <row r="96" ht="15" customHeight="1" s="48">
      <c r="A96" s="58" t="inlineStr">
        <is>
          <t>CB-7700092</t>
        </is>
      </c>
      <c r="B96" s="58" t="inlineStr">
        <is>
          <t>Rasmus Aziz</t>
        </is>
      </c>
      <c r="C96" s="58" t="n">
        <v>56</v>
      </c>
      <c r="D96" s="58" t="inlineStr">
        <is>
          <t>EMP-1007</t>
        </is>
      </c>
      <c r="E96" s="58" t="inlineStr">
        <is>
          <t>Vasquez Transport</t>
        </is>
      </c>
      <c r="F96" s="58">
        <f>IFERROR(INDEX('Employer Master'!$L$5:$L$99,MATCH(D96,'Employer Master'!$A$5:$A$99,0)),"")</f>
        <v/>
      </c>
      <c r="G96" s="58" t="inlineStr">
        <is>
          <t>Dental</t>
        </is>
      </c>
      <c r="H96" s="58" t="n">
        <v>2</v>
      </c>
      <c r="I96" s="58">
        <f>IF(H96&gt;1,"yes","")</f>
        <v/>
      </c>
    </row>
    <row r="97" ht="15" customHeight="1" s="48">
      <c r="A97" s="56" t="inlineStr">
        <is>
          <t>CB-7700093</t>
        </is>
      </c>
      <c r="B97" s="56" t="inlineStr">
        <is>
          <t>Alicia Rasmussen</t>
        </is>
      </c>
      <c r="C97" s="56" t="n">
        <v>23</v>
      </c>
      <c r="D97" s="56" t="inlineStr">
        <is>
          <t>EMP-1007</t>
        </is>
      </c>
      <c r="E97" s="56" t="inlineStr">
        <is>
          <t>Vasquez Transport</t>
        </is>
      </c>
      <c r="F97" s="56">
        <f>IFERROR(INDEX('Employer Master'!$L$5:$L$99,MATCH(D97,'Employer Master'!$A$5:$A$99,0)),"")</f>
        <v/>
      </c>
      <c r="G97" s="56" t="inlineStr">
        <is>
          <t>Life</t>
        </is>
      </c>
      <c r="H97" s="56" t="n">
        <v>2</v>
      </c>
      <c r="I97" s="56">
        <f>IF(H97&gt;1,"yes","")</f>
        <v/>
      </c>
    </row>
    <row r="98" ht="15" customHeight="1" s="48">
      <c r="A98" s="58" t="inlineStr">
        <is>
          <t>CB-7700094</t>
        </is>
      </c>
      <c r="B98" s="58" t="inlineStr">
        <is>
          <t>Hollis Stavros</t>
        </is>
      </c>
      <c r="C98" s="58" t="n">
        <v>64</v>
      </c>
      <c r="D98" s="58" t="inlineStr">
        <is>
          <t>EMP-1007</t>
        </is>
      </c>
      <c r="E98" s="58" t="inlineStr">
        <is>
          <t>Vasquez Transport</t>
        </is>
      </c>
      <c r="F98" s="58">
        <f>IFERROR(INDEX('Employer Master'!$L$5:$L$99,MATCH(D98,'Employer Master'!$A$5:$A$99,0)),"")</f>
        <v/>
      </c>
      <c r="G98" s="58" t="inlineStr">
        <is>
          <t>Life</t>
        </is>
      </c>
      <c r="H98" s="58" t="n">
        <v>2</v>
      </c>
      <c r="I98" s="58">
        <f>IF(H98&gt;1,"yes","")</f>
        <v/>
      </c>
    </row>
    <row r="99" ht="15" customHeight="1" s="48">
      <c r="A99" s="56" t="inlineStr">
        <is>
          <t>CB-7700095</t>
        </is>
      </c>
      <c r="B99" s="56" t="inlineStr">
        <is>
          <t>Bram Stavros</t>
        </is>
      </c>
      <c r="C99" s="56" t="n">
        <v>62</v>
      </c>
      <c r="D99" s="56" t="inlineStr">
        <is>
          <t>EMP-1007</t>
        </is>
      </c>
      <c r="E99" s="56" t="inlineStr">
        <is>
          <t>Vasquez Transport</t>
        </is>
      </c>
      <c r="F99" s="56">
        <f>IFERROR(INDEX('Employer Master'!$L$5:$L$99,MATCH(D99,'Employer Master'!$A$5:$A$99,0)),"")</f>
        <v/>
      </c>
      <c r="G99" s="56" t="inlineStr">
        <is>
          <t>Dental</t>
        </is>
      </c>
      <c r="H99" s="56" t="n">
        <v>1</v>
      </c>
      <c r="I99" s="56">
        <f>IF(H99&gt;1,"yes","")</f>
        <v/>
      </c>
    </row>
    <row r="100" ht="15" customHeight="1" s="48">
      <c r="A100" s="58" t="inlineStr">
        <is>
          <t>CB-7700096</t>
        </is>
      </c>
      <c r="B100" s="58" t="inlineStr">
        <is>
          <t>Blythe Fairweather</t>
        </is>
      </c>
      <c r="C100" s="58" t="n">
        <v>45</v>
      </c>
      <c r="D100" s="58" t="inlineStr">
        <is>
          <t>EMP-1007</t>
        </is>
      </c>
      <c r="E100" s="58" t="inlineStr">
        <is>
          <t>Vasquez Transport</t>
        </is>
      </c>
      <c r="F100" s="58">
        <f>IFERROR(INDEX('Employer Master'!$L$5:$L$99,MATCH(D100,'Employer Master'!$A$5:$A$99,0)),"")</f>
        <v/>
      </c>
      <c r="G100" s="58" t="inlineStr">
        <is>
          <t>Life</t>
        </is>
      </c>
      <c r="H100" s="58" t="n">
        <v>1</v>
      </c>
      <c r="I100" s="58">
        <f>IF(H100&gt;1,"yes","")</f>
        <v/>
      </c>
    </row>
    <row r="101" ht="15" customHeight="1" s="48">
      <c r="A101" s="56" t="inlineStr">
        <is>
          <t>CB-7700097</t>
        </is>
      </c>
      <c r="B101" s="56" t="inlineStr">
        <is>
          <t>Jerome Haddad</t>
        </is>
      </c>
      <c r="C101" s="56" t="n">
        <v>36</v>
      </c>
      <c r="D101" s="56" t="inlineStr">
        <is>
          <t>EMP-1007</t>
        </is>
      </c>
      <c r="E101" s="56" t="inlineStr">
        <is>
          <t>Vasquez Transport</t>
        </is>
      </c>
      <c r="F101" s="56">
        <f>IFERROR(INDEX('Employer Master'!$L$5:$L$99,MATCH(D101,'Employer Master'!$A$5:$A$99,0)),"")</f>
        <v/>
      </c>
      <c r="G101" s="56" t="inlineStr">
        <is>
          <t>Life</t>
        </is>
      </c>
      <c r="H101" s="56" t="n">
        <v>1</v>
      </c>
      <c r="I101" s="56">
        <f>IF(H101&gt;1,"yes","")</f>
        <v/>
      </c>
    </row>
    <row r="102" ht="15" customHeight="1" s="48">
      <c r="A102" s="58" t="inlineStr">
        <is>
          <t>CB-7700098</t>
        </is>
      </c>
      <c r="B102" s="58" t="inlineStr">
        <is>
          <t>Tarquin Okonjo</t>
        </is>
      </c>
      <c r="C102" s="58" t="n">
        <v>35</v>
      </c>
      <c r="D102" s="58" t="inlineStr">
        <is>
          <t>EMP-1007</t>
        </is>
      </c>
      <c r="E102" s="58" t="inlineStr">
        <is>
          <t>Vasquez Transport</t>
        </is>
      </c>
      <c r="F102" s="58">
        <f>IFERROR(INDEX('Employer Master'!$L$5:$L$99,MATCH(D102,'Employer Master'!$A$5:$A$99,0)),"")</f>
        <v/>
      </c>
      <c r="G102" s="58" t="inlineStr">
        <is>
          <t>Dental</t>
        </is>
      </c>
      <c r="H102" s="58" t="n">
        <v>1</v>
      </c>
      <c r="I102" s="58">
        <f>IF(H102&gt;1,"yes","")</f>
        <v/>
      </c>
    </row>
    <row r="103" ht="15" customHeight="1" s="48">
      <c r="A103" s="56" t="inlineStr">
        <is>
          <t>CB-7700099</t>
        </is>
      </c>
      <c r="B103" s="56" t="inlineStr">
        <is>
          <t>Carmen Villalobos</t>
        </is>
      </c>
      <c r="C103" s="56" t="n">
        <v>62</v>
      </c>
      <c r="D103" s="56" t="inlineStr">
        <is>
          <t>EMP-1008</t>
        </is>
      </c>
      <c r="E103" s="56" t="inlineStr">
        <is>
          <t>Cornerstone Associates</t>
        </is>
      </c>
      <c r="F103" s="56">
        <f>IFERROR(INDEX('Employer Master'!$L$5:$L$99,MATCH(D103,'Employer Master'!$A$5:$A$99,0)),"")</f>
        <v/>
      </c>
      <c r="G103" s="56" t="inlineStr">
        <is>
          <t>Vision</t>
        </is>
      </c>
      <c r="H103" s="56" t="n">
        <v>2</v>
      </c>
      <c r="I103" s="56">
        <f>IF(H103&gt;1,"yes","")</f>
        <v/>
      </c>
    </row>
    <row r="104" ht="15" customHeight="1" s="48">
      <c r="A104" s="58" t="inlineStr">
        <is>
          <t>CB-7700100</t>
        </is>
      </c>
      <c r="B104" s="58" t="inlineStr">
        <is>
          <t>Saoirse Kowalczyk</t>
        </is>
      </c>
      <c r="C104" s="58" t="n">
        <v>46</v>
      </c>
      <c r="D104" s="58" t="inlineStr">
        <is>
          <t>EMP-1008</t>
        </is>
      </c>
      <c r="E104" s="58" t="inlineStr">
        <is>
          <t>Cornerstone Associates</t>
        </is>
      </c>
      <c r="F104" s="58">
        <f>IFERROR(INDEX('Employer Master'!$L$5:$L$99,MATCH(D104,'Employer Master'!$A$5:$A$99,0)),"")</f>
        <v/>
      </c>
      <c r="G104" s="58" t="inlineStr">
        <is>
          <t>Vision</t>
        </is>
      </c>
      <c r="H104" s="58" t="n">
        <v>2</v>
      </c>
      <c r="I104" s="58">
        <f>IF(H104&gt;1,"yes","")</f>
        <v/>
      </c>
    </row>
    <row r="105" ht="15" customHeight="1" s="48">
      <c r="A105" s="56" t="inlineStr">
        <is>
          <t>CB-7700101</t>
        </is>
      </c>
      <c r="B105" s="56" t="inlineStr">
        <is>
          <t>Ewan Chatterjee</t>
        </is>
      </c>
      <c r="C105" s="56" t="n">
        <v>57</v>
      </c>
      <c r="D105" s="56" t="inlineStr">
        <is>
          <t>EMP-1008</t>
        </is>
      </c>
      <c r="E105" s="56" t="inlineStr">
        <is>
          <t>Cornerstone Associates</t>
        </is>
      </c>
      <c r="F105" s="56">
        <f>IFERROR(INDEX('Employer Master'!$L$5:$L$99,MATCH(D105,'Employer Master'!$A$5:$A$99,0)),"")</f>
        <v/>
      </c>
      <c r="G105" s="56" t="inlineStr">
        <is>
          <t>Vision</t>
        </is>
      </c>
      <c r="H105" s="56" t="n">
        <v>2</v>
      </c>
      <c r="I105" s="56">
        <f>IF(H105&gt;1,"yes","")</f>
        <v/>
      </c>
    </row>
    <row r="106" ht="15" customHeight="1" s="48">
      <c r="A106" s="58" t="inlineStr">
        <is>
          <t>CB-7700102</t>
        </is>
      </c>
      <c r="B106" s="58" t="inlineStr">
        <is>
          <t>Oscar Quintero</t>
        </is>
      </c>
      <c r="C106" s="58" t="n">
        <v>46</v>
      </c>
      <c r="D106" s="58" t="inlineStr">
        <is>
          <t>EMP-1008</t>
        </is>
      </c>
      <c r="E106" s="58" t="inlineStr">
        <is>
          <t>Cornerstone Associates</t>
        </is>
      </c>
      <c r="F106" s="58">
        <f>IFERROR(INDEX('Employer Master'!$L$5:$L$99,MATCH(D106,'Employer Master'!$A$5:$A$99,0)),"")</f>
        <v/>
      </c>
      <c r="G106" s="58" t="inlineStr">
        <is>
          <t>Dental</t>
        </is>
      </c>
      <c r="H106" s="58" t="n">
        <v>1</v>
      </c>
      <c r="I106" s="58">
        <f>IF(H106&gt;1,"yes","")</f>
        <v/>
      </c>
    </row>
    <row r="107" ht="15" customHeight="1" s="48">
      <c r="A107" s="56" t="inlineStr">
        <is>
          <t>CB-7700103</t>
        </is>
      </c>
      <c r="B107" s="56" t="inlineStr">
        <is>
          <t>Sunil Halvorsen</t>
        </is>
      </c>
      <c r="C107" s="56" t="n">
        <v>27</v>
      </c>
      <c r="D107" s="56" t="inlineStr">
        <is>
          <t>EMP-1008</t>
        </is>
      </c>
      <c r="E107" s="56" t="inlineStr">
        <is>
          <t>Cornerstone Associates</t>
        </is>
      </c>
      <c r="F107" s="56">
        <f>IFERROR(INDEX('Employer Master'!$L$5:$L$99,MATCH(D107,'Employer Master'!$A$5:$A$99,0)),"")</f>
        <v/>
      </c>
      <c r="G107" s="56" t="inlineStr">
        <is>
          <t>Dental</t>
        </is>
      </c>
      <c r="H107" s="56" t="n">
        <v>1</v>
      </c>
      <c r="I107" s="56">
        <f>IF(H107&gt;1,"yes","")</f>
        <v/>
      </c>
    </row>
    <row r="108" ht="15" customHeight="1" s="48">
      <c r="A108" s="58" t="inlineStr">
        <is>
          <t>CB-7700104</t>
        </is>
      </c>
      <c r="B108" s="58" t="inlineStr">
        <is>
          <t>Harold Thompson</t>
        </is>
      </c>
      <c r="C108" s="58" t="n">
        <v>30</v>
      </c>
      <c r="D108" s="58" t="inlineStr">
        <is>
          <t>EMP-1008</t>
        </is>
      </c>
      <c r="E108" s="58" t="inlineStr">
        <is>
          <t>Cornerstone Associates</t>
        </is>
      </c>
      <c r="F108" s="58">
        <f>IFERROR(INDEX('Employer Master'!$L$5:$L$99,MATCH(D108,'Employer Master'!$A$5:$A$99,0)),"")</f>
        <v/>
      </c>
      <c r="G108" s="58" t="inlineStr">
        <is>
          <t>Vision</t>
        </is>
      </c>
      <c r="H108" s="58" t="n">
        <v>1</v>
      </c>
      <c r="I108" s="58">
        <f>IF(H108&gt;1,"yes","")</f>
        <v/>
      </c>
    </row>
    <row r="109" ht="15" customHeight="1" s="48">
      <c r="A109" s="56" t="inlineStr">
        <is>
          <t>CB-7700105</t>
        </is>
      </c>
      <c r="B109" s="56" t="inlineStr">
        <is>
          <t>Isaac Nyberg</t>
        </is>
      </c>
      <c r="C109" s="56" t="n">
        <v>25</v>
      </c>
      <c r="D109" s="56" t="inlineStr">
        <is>
          <t>EMP-1009</t>
        </is>
      </c>
      <c r="E109" s="56" t="inlineStr">
        <is>
          <t>Harborview Technologies</t>
        </is>
      </c>
      <c r="F109" s="56">
        <f>IFERROR(INDEX('Employer Master'!$L$5:$L$99,MATCH(D109,'Employer Master'!$A$5:$A$99,0)),"")</f>
        <v/>
      </c>
      <c r="G109" s="56" t="inlineStr">
        <is>
          <t>Dental</t>
        </is>
      </c>
      <c r="H109" s="56" t="n">
        <v>2</v>
      </c>
      <c r="I109" s="56">
        <f>IF(H109&gt;1,"yes","")</f>
        <v/>
      </c>
    </row>
    <row r="110" ht="15" customHeight="1" s="48">
      <c r="A110" s="58" t="inlineStr">
        <is>
          <t>CB-7700106</t>
        </is>
      </c>
      <c r="B110" s="58" t="inlineStr">
        <is>
          <t>Carmen Chigozie</t>
        </is>
      </c>
      <c r="C110" s="58" t="n">
        <v>53</v>
      </c>
      <c r="D110" s="58" t="inlineStr">
        <is>
          <t>EMP-1009</t>
        </is>
      </c>
      <c r="E110" s="58" t="inlineStr">
        <is>
          <t>Harborview Technologies</t>
        </is>
      </c>
      <c r="F110" s="58">
        <f>IFERROR(INDEX('Employer Master'!$L$5:$L$99,MATCH(D110,'Employer Master'!$A$5:$A$99,0)),"")</f>
        <v/>
      </c>
      <c r="G110" s="58" t="inlineStr">
        <is>
          <t>Dental</t>
        </is>
      </c>
      <c r="H110" s="58" t="n">
        <v>2</v>
      </c>
      <c r="I110" s="58">
        <f>IF(H110&gt;1,"yes","")</f>
        <v/>
      </c>
    </row>
    <row r="111" ht="15" customHeight="1" s="48">
      <c r="A111" s="56" t="inlineStr">
        <is>
          <t>CB-7700107</t>
        </is>
      </c>
      <c r="B111" s="56" t="inlineStr">
        <is>
          <t>Yolanda Novak</t>
        </is>
      </c>
      <c r="C111" s="56" t="n">
        <v>48</v>
      </c>
      <c r="D111" s="56" t="inlineStr">
        <is>
          <t>EMP-1009</t>
        </is>
      </c>
      <c r="E111" s="56" t="inlineStr">
        <is>
          <t>Harborview Technologies</t>
        </is>
      </c>
      <c r="F111" s="56">
        <f>IFERROR(INDEX('Employer Master'!$L$5:$L$99,MATCH(D111,'Employer Master'!$A$5:$A$99,0)),"")</f>
        <v/>
      </c>
      <c r="G111" s="56" t="inlineStr">
        <is>
          <t>Dental</t>
        </is>
      </c>
      <c r="H111" s="56" t="n">
        <v>2</v>
      </c>
      <c r="I111" s="56">
        <f>IF(H111&gt;1,"yes","")</f>
        <v/>
      </c>
    </row>
    <row r="112" ht="15" customHeight="1" s="48">
      <c r="A112" s="58" t="inlineStr">
        <is>
          <t>CB-7700108</t>
        </is>
      </c>
      <c r="B112" s="58" t="inlineStr">
        <is>
          <t>Petra Okonjo</t>
        </is>
      </c>
      <c r="C112" s="58" t="n">
        <v>63</v>
      </c>
      <c r="D112" s="58" t="inlineStr">
        <is>
          <t>EMP-1009</t>
        </is>
      </c>
      <c r="E112" s="58" t="inlineStr">
        <is>
          <t>Harborview Technologies</t>
        </is>
      </c>
      <c r="F112" s="58">
        <f>IFERROR(INDEX('Employer Master'!$L$5:$L$99,MATCH(D112,'Employer Master'!$A$5:$A$99,0)),"")</f>
        <v/>
      </c>
      <c r="G112" s="58" t="inlineStr">
        <is>
          <t>Dental</t>
        </is>
      </c>
      <c r="H112" s="58" t="n">
        <v>1</v>
      </c>
      <c r="I112" s="58">
        <f>IF(H112&gt;1,"yes","")</f>
        <v/>
      </c>
    </row>
    <row r="113" ht="15" customHeight="1" s="48">
      <c r="A113" s="56" t="inlineStr">
        <is>
          <t>CB-7700109</t>
        </is>
      </c>
      <c r="B113" s="56" t="inlineStr">
        <is>
          <t>Jonah Demir</t>
        </is>
      </c>
      <c r="C113" s="56" t="n">
        <v>34</v>
      </c>
      <c r="D113" s="56" t="inlineStr">
        <is>
          <t>EMP-1009</t>
        </is>
      </c>
      <c r="E113" s="56" t="inlineStr">
        <is>
          <t>Harborview Technologies</t>
        </is>
      </c>
      <c r="F113" s="56">
        <f>IFERROR(INDEX('Employer Master'!$L$5:$L$99,MATCH(D113,'Employer Master'!$A$5:$A$99,0)),"")</f>
        <v/>
      </c>
      <c r="G113" s="56" t="inlineStr">
        <is>
          <t>Dental</t>
        </is>
      </c>
      <c r="H113" s="56" t="n">
        <v>1</v>
      </c>
      <c r="I113" s="56">
        <f>IF(H113&gt;1,"yes","")</f>
        <v/>
      </c>
    </row>
    <row r="114" ht="15" customHeight="1" s="48">
      <c r="A114" s="58" t="inlineStr">
        <is>
          <t>CB-7700110</t>
        </is>
      </c>
      <c r="B114" s="58" t="inlineStr">
        <is>
          <t>Tamsin Whitmore</t>
        </is>
      </c>
      <c r="C114" s="58" t="n">
        <v>59</v>
      </c>
      <c r="D114" s="58" t="inlineStr">
        <is>
          <t>EMP-1009</t>
        </is>
      </c>
      <c r="E114" s="58" t="inlineStr">
        <is>
          <t>Harborview Technologies</t>
        </is>
      </c>
      <c r="F114" s="58">
        <f>IFERROR(INDEX('Employer Master'!$L$5:$L$99,MATCH(D114,'Employer Master'!$A$5:$A$99,0)),"")</f>
        <v/>
      </c>
      <c r="G114" s="58" t="inlineStr">
        <is>
          <t>Dental</t>
        </is>
      </c>
      <c r="H114" s="58" t="n">
        <v>1</v>
      </c>
      <c r="I114" s="58">
        <f>IF(H114&gt;1,"yes","")</f>
        <v/>
      </c>
    </row>
    <row r="115" ht="15" customHeight="1" s="48">
      <c r="A115" s="56" t="inlineStr">
        <is>
          <t>CB-7700111</t>
        </is>
      </c>
      <c r="B115" s="56" t="inlineStr">
        <is>
          <t>Ewan Okafor</t>
        </is>
      </c>
      <c r="C115" s="56" t="n">
        <v>33</v>
      </c>
      <c r="D115" s="56" t="inlineStr">
        <is>
          <t>EMP-1010</t>
        </is>
      </c>
      <c r="E115" s="56" t="inlineStr">
        <is>
          <t>Alderbrook Workforce Partners</t>
        </is>
      </c>
      <c r="F115" s="56">
        <f>IFERROR(INDEX('Employer Master'!$L$5:$L$99,MATCH(D115,'Employer Master'!$A$5:$A$99,0)),"")</f>
        <v/>
      </c>
      <c r="G115" s="56" t="inlineStr">
        <is>
          <t>Vision</t>
        </is>
      </c>
      <c r="H115" s="56" t="n">
        <v>2</v>
      </c>
      <c r="I115" s="56">
        <f>IF(H115&gt;1,"yes","")</f>
        <v/>
      </c>
    </row>
    <row r="116" ht="15" customHeight="1" s="48">
      <c r="A116" s="58" t="inlineStr">
        <is>
          <t>CB-7700112</t>
        </is>
      </c>
      <c r="B116" s="58" t="inlineStr">
        <is>
          <t>Nina Baptiste</t>
        </is>
      </c>
      <c r="C116" s="58" t="n">
        <v>62</v>
      </c>
      <c r="D116" s="58" t="inlineStr">
        <is>
          <t>EMP-1010</t>
        </is>
      </c>
      <c r="E116" s="58" t="inlineStr">
        <is>
          <t>Alderbrook Workforce Partners</t>
        </is>
      </c>
      <c r="F116" s="58">
        <f>IFERROR(INDEX('Employer Master'!$L$5:$L$99,MATCH(D116,'Employer Master'!$A$5:$A$99,0)),"")</f>
        <v/>
      </c>
      <c r="G116" s="58" t="inlineStr">
        <is>
          <t>Vision</t>
        </is>
      </c>
      <c r="H116" s="58" t="n">
        <v>2</v>
      </c>
      <c r="I116" s="58">
        <f>IF(H116&gt;1,"yes","")</f>
        <v/>
      </c>
    </row>
    <row r="117" ht="15" customHeight="1" s="48">
      <c r="A117" s="56" t="inlineStr">
        <is>
          <t>CB-7700113</t>
        </is>
      </c>
      <c r="B117" s="56" t="inlineStr">
        <is>
          <t>Perrine Lemoine</t>
        </is>
      </c>
      <c r="C117" s="56" t="n">
        <v>64</v>
      </c>
      <c r="D117" s="56" t="inlineStr">
        <is>
          <t>EMP-1010</t>
        </is>
      </c>
      <c r="E117" s="56" t="inlineStr">
        <is>
          <t>Alderbrook Workforce Partners</t>
        </is>
      </c>
      <c r="F117" s="56">
        <f>IFERROR(INDEX('Employer Master'!$L$5:$L$99,MATCH(D117,'Employer Master'!$A$5:$A$99,0)),"")</f>
        <v/>
      </c>
      <c r="G117" s="56" t="inlineStr">
        <is>
          <t>Dental</t>
        </is>
      </c>
      <c r="H117" s="56" t="n">
        <v>2</v>
      </c>
      <c r="I117" s="56">
        <f>IF(H117&gt;1,"yes","")</f>
        <v/>
      </c>
    </row>
    <row r="118" ht="15" customHeight="1" s="48">
      <c r="A118" s="58" t="inlineStr">
        <is>
          <t>CB-7700114</t>
        </is>
      </c>
      <c r="B118" s="58" t="inlineStr">
        <is>
          <t>Rafael Bell</t>
        </is>
      </c>
      <c r="C118" s="58" t="n">
        <v>60</v>
      </c>
      <c r="D118" s="58" t="inlineStr">
        <is>
          <t>EMP-1010</t>
        </is>
      </c>
      <c r="E118" s="58" t="inlineStr">
        <is>
          <t>Alderbrook Workforce Partners</t>
        </is>
      </c>
      <c r="F118" s="58">
        <f>IFERROR(INDEX('Employer Master'!$L$5:$L$99,MATCH(D118,'Employer Master'!$A$5:$A$99,0)),"")</f>
        <v/>
      </c>
      <c r="G118" s="58" t="inlineStr">
        <is>
          <t>Vision</t>
        </is>
      </c>
      <c r="H118" s="58" t="n">
        <v>1</v>
      </c>
      <c r="I118" s="58">
        <f>IF(H118&gt;1,"yes","")</f>
        <v/>
      </c>
    </row>
    <row r="119" ht="15" customHeight="1" s="48">
      <c r="A119" s="56" t="inlineStr">
        <is>
          <t>CB-7700115</t>
        </is>
      </c>
      <c r="B119" s="56" t="inlineStr">
        <is>
          <t>Saoirse Castellanos</t>
        </is>
      </c>
      <c r="C119" s="56" t="n">
        <v>40</v>
      </c>
      <c r="D119" s="56" t="inlineStr">
        <is>
          <t>EMP-1010</t>
        </is>
      </c>
      <c r="E119" s="56" t="inlineStr">
        <is>
          <t>Alderbrook Workforce Partners</t>
        </is>
      </c>
      <c r="F119" s="56">
        <f>IFERROR(INDEX('Employer Master'!$L$5:$L$99,MATCH(D119,'Employer Master'!$A$5:$A$99,0)),"")</f>
        <v/>
      </c>
      <c r="G119" s="56" t="inlineStr">
        <is>
          <t>Vision</t>
        </is>
      </c>
      <c r="H119" s="56" t="n">
        <v>1</v>
      </c>
      <c r="I119" s="56">
        <f>IF(H119&gt;1,"yes","")</f>
        <v/>
      </c>
    </row>
    <row r="120" ht="15" customHeight="1" s="48">
      <c r="A120" s="58" t="inlineStr">
        <is>
          <t>CB-7700116</t>
        </is>
      </c>
      <c r="B120" s="58" t="inlineStr">
        <is>
          <t>Ewan Steinberg</t>
        </is>
      </c>
      <c r="C120" s="58" t="n">
        <v>47</v>
      </c>
      <c r="D120" s="58" t="inlineStr">
        <is>
          <t>EMP-1010</t>
        </is>
      </c>
      <c r="E120" s="58" t="inlineStr">
        <is>
          <t>Alderbrook Workforce Partners</t>
        </is>
      </c>
      <c r="F120" s="58">
        <f>IFERROR(INDEX('Employer Master'!$L$5:$L$99,MATCH(D120,'Employer Master'!$A$5:$A$99,0)),"")</f>
        <v/>
      </c>
      <c r="G120" s="58" t="inlineStr">
        <is>
          <t>Vision</t>
        </is>
      </c>
      <c r="H120" s="58" t="n">
        <v>1</v>
      </c>
      <c r="I120" s="58">
        <f>IF(H120&gt;1,"yes","")</f>
        <v/>
      </c>
    </row>
    <row r="121" ht="15" customHeight="1" s="48">
      <c r="A121" s="56" t="inlineStr">
        <is>
          <t>CB-7700117</t>
        </is>
      </c>
      <c r="B121" s="56" t="inlineStr">
        <is>
          <t>Quill Castellanos</t>
        </is>
      </c>
      <c r="C121" s="56" t="n">
        <v>33</v>
      </c>
      <c r="D121" s="56" t="inlineStr">
        <is>
          <t>EMP-1010</t>
        </is>
      </c>
      <c r="E121" s="56" t="inlineStr">
        <is>
          <t>Alderbrook Workforce Partners</t>
        </is>
      </c>
      <c r="F121" s="56">
        <f>IFERROR(INDEX('Employer Master'!$L$5:$L$99,MATCH(D121,'Employer Master'!$A$5:$A$99,0)),"")</f>
        <v/>
      </c>
      <c r="G121" s="56" t="inlineStr">
        <is>
          <t>Dental</t>
        </is>
      </c>
      <c r="H121" s="56" t="n">
        <v>1</v>
      </c>
      <c r="I121" s="56">
        <f>IF(H121&gt;1,"yes","")</f>
        <v/>
      </c>
    </row>
    <row r="122" ht="15" customHeight="1" s="48">
      <c r="A122" s="58" t="inlineStr">
        <is>
          <t>CB-7700118</t>
        </is>
      </c>
      <c r="B122" s="58" t="inlineStr">
        <is>
          <t>Vidal Okonkwo</t>
        </is>
      </c>
      <c r="C122" s="58" t="n">
        <v>35</v>
      </c>
      <c r="D122" s="58" t="inlineStr">
        <is>
          <t>EMP-1011</t>
        </is>
      </c>
      <c r="E122" s="58" t="inlineStr">
        <is>
          <t>Foxglove Restaurant Group</t>
        </is>
      </c>
      <c r="F122" s="58">
        <f>IFERROR(INDEX('Employer Master'!$L$5:$L$99,MATCH(D122,'Employer Master'!$A$5:$A$99,0)),"")</f>
        <v/>
      </c>
      <c r="G122" s="58" t="inlineStr">
        <is>
          <t>Dental</t>
        </is>
      </c>
      <c r="H122" s="58" t="n">
        <v>2</v>
      </c>
      <c r="I122" s="58">
        <f>IF(H122&gt;1,"yes","")</f>
        <v/>
      </c>
    </row>
    <row r="123" ht="15" customHeight="1" s="48">
      <c r="A123" s="56" t="inlineStr">
        <is>
          <t>CB-7700119</t>
        </is>
      </c>
      <c r="B123" s="56" t="inlineStr">
        <is>
          <t>Nikhil Hobbs</t>
        </is>
      </c>
      <c r="C123" s="56" t="n">
        <v>48</v>
      </c>
      <c r="D123" s="56" t="inlineStr">
        <is>
          <t>EMP-1011</t>
        </is>
      </c>
      <c r="E123" s="56" t="inlineStr">
        <is>
          <t>Foxglove Restaurant Group</t>
        </is>
      </c>
      <c r="F123" s="56">
        <f>IFERROR(INDEX('Employer Master'!$L$5:$L$99,MATCH(D123,'Employer Master'!$A$5:$A$99,0)),"")</f>
        <v/>
      </c>
      <c r="G123" s="56" t="inlineStr">
        <is>
          <t>Dental</t>
        </is>
      </c>
      <c r="H123" s="56" t="n">
        <v>2</v>
      </c>
      <c r="I123" s="56">
        <f>IF(H123&gt;1,"yes","")</f>
        <v/>
      </c>
    </row>
    <row r="124" ht="15" customHeight="1" s="48">
      <c r="A124" s="58" t="inlineStr">
        <is>
          <t>CB-7700120</t>
        </is>
      </c>
      <c r="B124" s="58" t="inlineStr">
        <is>
          <t>Tamsin Boyd</t>
        </is>
      </c>
      <c r="C124" s="58" t="n">
        <v>33</v>
      </c>
      <c r="D124" s="58" t="inlineStr">
        <is>
          <t>EMP-1011</t>
        </is>
      </c>
      <c r="E124" s="58" t="inlineStr">
        <is>
          <t>Foxglove Restaurant Group</t>
        </is>
      </c>
      <c r="F124" s="58">
        <f>IFERROR(INDEX('Employer Master'!$L$5:$L$99,MATCH(D124,'Employer Master'!$A$5:$A$99,0)),"")</f>
        <v/>
      </c>
      <c r="G124" s="58" t="inlineStr">
        <is>
          <t>Chiro</t>
        </is>
      </c>
      <c r="H124" s="58" t="n">
        <v>2</v>
      </c>
      <c r="I124" s="58">
        <f>IF(H124&gt;1,"yes","")</f>
        <v/>
      </c>
    </row>
    <row r="125" ht="15" customHeight="1" s="48">
      <c r="A125" s="56" t="inlineStr">
        <is>
          <t>CB-7700121</t>
        </is>
      </c>
      <c r="B125" s="56" t="inlineStr">
        <is>
          <t>Yusuf Winters</t>
        </is>
      </c>
      <c r="C125" s="56" t="n">
        <v>51</v>
      </c>
      <c r="D125" s="56" t="inlineStr">
        <is>
          <t>EMP-1011</t>
        </is>
      </c>
      <c r="E125" s="56" t="inlineStr">
        <is>
          <t>Foxglove Restaurant Group</t>
        </is>
      </c>
      <c r="F125" s="56">
        <f>IFERROR(INDEX('Employer Master'!$L$5:$L$99,MATCH(D125,'Employer Master'!$A$5:$A$99,0)),"")</f>
        <v/>
      </c>
      <c r="G125" s="56" t="inlineStr">
        <is>
          <t>Life</t>
        </is>
      </c>
      <c r="H125" s="56" t="n">
        <v>1</v>
      </c>
      <c r="I125" s="56">
        <f>IF(H125&gt;1,"yes","")</f>
        <v/>
      </c>
    </row>
    <row r="126" ht="15" customHeight="1" s="48">
      <c r="A126" s="58" t="inlineStr">
        <is>
          <t>CB-7700122</t>
        </is>
      </c>
      <c r="B126" s="58" t="inlineStr">
        <is>
          <t>Nadira Chatterjee</t>
        </is>
      </c>
      <c r="C126" s="58" t="n">
        <v>48</v>
      </c>
      <c r="D126" s="58" t="inlineStr">
        <is>
          <t>EMP-1011</t>
        </is>
      </c>
      <c r="E126" s="58" t="inlineStr">
        <is>
          <t>Foxglove Restaurant Group</t>
        </is>
      </c>
      <c r="F126" s="58">
        <f>IFERROR(INDEX('Employer Master'!$L$5:$L$99,MATCH(D126,'Employer Master'!$A$5:$A$99,0)),"")</f>
        <v/>
      </c>
      <c r="G126" s="58" t="inlineStr">
        <is>
          <t>Vision</t>
        </is>
      </c>
      <c r="H126" s="58" t="n">
        <v>1</v>
      </c>
      <c r="I126" s="58">
        <f>IF(H126&gt;1,"yes","")</f>
        <v/>
      </c>
    </row>
    <row r="127" ht="15" customHeight="1" s="48">
      <c r="A127" s="56" t="inlineStr">
        <is>
          <t>CB-7700123</t>
        </is>
      </c>
      <c r="B127" s="56" t="inlineStr">
        <is>
          <t>Wilhelmina Chigozie</t>
        </is>
      </c>
      <c r="C127" s="56" t="n">
        <v>32</v>
      </c>
      <c r="D127" s="56" t="inlineStr">
        <is>
          <t>EMP-1011</t>
        </is>
      </c>
      <c r="E127" s="56" t="inlineStr">
        <is>
          <t>Foxglove Restaurant Group</t>
        </is>
      </c>
      <c r="F127" s="56">
        <f>IFERROR(INDEX('Employer Master'!$L$5:$L$99,MATCH(D127,'Employer Master'!$A$5:$A$99,0)),"")</f>
        <v/>
      </c>
      <c r="G127" s="56" t="inlineStr">
        <is>
          <t>Chiro</t>
        </is>
      </c>
      <c r="H127" s="56" t="n">
        <v>1</v>
      </c>
      <c r="I127" s="56">
        <f>IF(H127&gt;1,"yes","")</f>
        <v/>
      </c>
    </row>
    <row r="128" ht="15" customHeight="1" s="48">
      <c r="A128" s="58" t="inlineStr">
        <is>
          <t>CB-7700124</t>
        </is>
      </c>
      <c r="B128" s="58" t="inlineStr">
        <is>
          <t>Dagny Nkemdi</t>
        </is>
      </c>
      <c r="C128" s="58" t="n">
        <v>57</v>
      </c>
      <c r="D128" s="58" t="inlineStr">
        <is>
          <t>EMP-1011</t>
        </is>
      </c>
      <c r="E128" s="58" t="inlineStr">
        <is>
          <t>Foxglove Restaurant Group</t>
        </is>
      </c>
      <c r="F128" s="58">
        <f>IFERROR(INDEX('Employer Master'!$L$5:$L$99,MATCH(D128,'Employer Master'!$A$5:$A$99,0)),"")</f>
        <v/>
      </c>
      <c r="G128" s="58" t="inlineStr">
        <is>
          <t>Vision</t>
        </is>
      </c>
      <c r="H128" s="58" t="n">
        <v>1</v>
      </c>
      <c r="I128" s="58">
        <f>IF(H128&gt;1,"yes","")</f>
        <v/>
      </c>
    </row>
    <row r="129" ht="15" customHeight="1" s="48">
      <c r="A129" s="56" t="inlineStr">
        <is>
          <t>CB-7700125</t>
        </is>
      </c>
      <c r="B129" s="56" t="inlineStr">
        <is>
          <t>Nikhil Sorensen</t>
        </is>
      </c>
      <c r="C129" s="56" t="n">
        <v>34</v>
      </c>
      <c r="D129" s="56" t="inlineStr">
        <is>
          <t>EMP-1012</t>
        </is>
      </c>
      <c r="E129" s="56" t="inlineStr">
        <is>
          <t>Rosewood Construction</t>
        </is>
      </c>
      <c r="F129" s="56">
        <f>IFERROR(INDEX('Employer Master'!$L$5:$L$99,MATCH(D129,'Employer Master'!$A$5:$A$99,0)),"")</f>
        <v/>
      </c>
      <c r="G129" s="56" t="inlineStr">
        <is>
          <t>Chiro</t>
        </is>
      </c>
      <c r="H129" s="56" t="n">
        <v>2</v>
      </c>
      <c r="I129" s="56">
        <f>IF(H129&gt;1,"yes","")</f>
        <v/>
      </c>
    </row>
    <row r="130" ht="15" customHeight="1" s="48">
      <c r="A130" s="58" t="inlineStr">
        <is>
          <t>CB-7700126</t>
        </is>
      </c>
      <c r="B130" s="58" t="inlineStr">
        <is>
          <t>Jerome Thibault</t>
        </is>
      </c>
      <c r="C130" s="58" t="n">
        <v>54</v>
      </c>
      <c r="D130" s="58" t="inlineStr">
        <is>
          <t>EMP-1012</t>
        </is>
      </c>
      <c r="E130" s="58" t="inlineStr">
        <is>
          <t>Rosewood Construction</t>
        </is>
      </c>
      <c r="F130" s="58">
        <f>IFERROR(INDEX('Employer Master'!$L$5:$L$99,MATCH(D130,'Employer Master'!$A$5:$A$99,0)),"")</f>
        <v/>
      </c>
      <c r="G130" s="58" t="inlineStr">
        <is>
          <t>Chiro</t>
        </is>
      </c>
      <c r="H130" s="58" t="n">
        <v>2</v>
      </c>
      <c r="I130" s="58">
        <f>IF(H130&gt;1,"yes","")</f>
        <v/>
      </c>
    </row>
    <row r="131" ht="15" customHeight="1" s="48">
      <c r="A131" s="56" t="inlineStr">
        <is>
          <t>CB-7700127</t>
        </is>
      </c>
      <c r="B131" s="56" t="inlineStr">
        <is>
          <t>Gideon Okonkwo</t>
        </is>
      </c>
      <c r="C131" s="56" t="n">
        <v>43</v>
      </c>
      <c r="D131" s="56" t="inlineStr">
        <is>
          <t>EMP-1012</t>
        </is>
      </c>
      <c r="E131" s="56" t="inlineStr">
        <is>
          <t>Rosewood Construction</t>
        </is>
      </c>
      <c r="F131" s="56">
        <f>IFERROR(INDEX('Employer Master'!$L$5:$L$99,MATCH(D131,'Employer Master'!$A$5:$A$99,0)),"")</f>
        <v/>
      </c>
      <c r="G131" s="56" t="inlineStr">
        <is>
          <t>Dental</t>
        </is>
      </c>
      <c r="H131" s="56" t="n">
        <v>2</v>
      </c>
      <c r="I131" s="56">
        <f>IF(H131&gt;1,"yes","")</f>
        <v/>
      </c>
    </row>
    <row r="132" ht="15" customHeight="1" s="48">
      <c r="A132" s="58" t="inlineStr">
        <is>
          <t>CB-7700128</t>
        </is>
      </c>
      <c r="B132" s="58" t="inlineStr">
        <is>
          <t>Nadia Marchetti</t>
        </is>
      </c>
      <c r="C132" s="58" t="n">
        <v>40</v>
      </c>
      <c r="D132" s="58" t="inlineStr">
        <is>
          <t>EMP-1012</t>
        </is>
      </c>
      <c r="E132" s="58" t="inlineStr">
        <is>
          <t>Rosewood Construction</t>
        </is>
      </c>
      <c r="F132" s="58">
        <f>IFERROR(INDEX('Employer Master'!$L$5:$L$99,MATCH(D132,'Employer Master'!$A$5:$A$99,0)),"")</f>
        <v/>
      </c>
      <c r="G132" s="58" t="inlineStr">
        <is>
          <t>Dental</t>
        </is>
      </c>
      <c r="H132" s="58" t="n">
        <v>1</v>
      </c>
      <c r="I132" s="58">
        <f>IF(H132&gt;1,"yes","")</f>
        <v/>
      </c>
    </row>
    <row r="133" ht="15" customHeight="1" s="48">
      <c r="A133" s="56" t="inlineStr">
        <is>
          <t>CB-7700129</t>
        </is>
      </c>
      <c r="B133" s="56" t="inlineStr">
        <is>
          <t>Kwesi Vandermeer</t>
        </is>
      </c>
      <c r="C133" s="56" t="n">
        <v>43</v>
      </c>
      <c r="D133" s="56" t="inlineStr">
        <is>
          <t>EMP-1012</t>
        </is>
      </c>
      <c r="E133" s="56" t="inlineStr">
        <is>
          <t>Rosewood Construction</t>
        </is>
      </c>
      <c r="F133" s="56">
        <f>IFERROR(INDEX('Employer Master'!$L$5:$L$99,MATCH(D133,'Employer Master'!$A$5:$A$99,0)),"")</f>
        <v/>
      </c>
      <c r="G133" s="56" t="inlineStr">
        <is>
          <t>Chiro</t>
        </is>
      </c>
      <c r="H133" s="56" t="n">
        <v>1</v>
      </c>
      <c r="I133" s="56">
        <f>IF(H133&gt;1,"yes","")</f>
        <v/>
      </c>
    </row>
    <row r="134" ht="15" customHeight="1" s="48">
      <c r="A134" s="58" t="inlineStr">
        <is>
          <t>CB-7700130</t>
        </is>
      </c>
      <c r="B134" s="58" t="inlineStr">
        <is>
          <t>Gustavo Delgado</t>
        </is>
      </c>
      <c r="C134" s="58" t="n">
        <v>35</v>
      </c>
      <c r="D134" s="58" t="inlineStr">
        <is>
          <t>EMP-1012</t>
        </is>
      </c>
      <c r="E134" s="58" t="inlineStr">
        <is>
          <t>Rosewood Construction</t>
        </is>
      </c>
      <c r="F134" s="58">
        <f>IFERROR(INDEX('Employer Master'!$L$5:$L$99,MATCH(D134,'Employer Master'!$A$5:$A$99,0)),"")</f>
        <v/>
      </c>
      <c r="G134" s="58" t="inlineStr">
        <is>
          <t>Chiro</t>
        </is>
      </c>
      <c r="H134" s="58" t="n">
        <v>1</v>
      </c>
      <c r="I134" s="58">
        <f>IF(H134&gt;1,"yes","")</f>
        <v/>
      </c>
    </row>
    <row r="135" ht="15" customHeight="1" s="48">
      <c r="A135" s="56" t="inlineStr">
        <is>
          <t>CB-7700131</t>
        </is>
      </c>
      <c r="B135" s="56" t="inlineStr">
        <is>
          <t>Xiomara Stavros</t>
        </is>
      </c>
      <c r="C135" s="56" t="n">
        <v>58</v>
      </c>
      <c r="D135" s="56" t="inlineStr">
        <is>
          <t>EMP-1013</t>
        </is>
      </c>
      <c r="E135" s="56" t="inlineStr">
        <is>
          <t>Kestrel Precision Tooling</t>
        </is>
      </c>
      <c r="F135" s="56">
        <f>IFERROR(INDEX('Employer Master'!$L$5:$L$99,MATCH(D135,'Employer Master'!$A$5:$A$99,0)),"")</f>
        <v/>
      </c>
      <c r="G135" s="56" t="inlineStr">
        <is>
          <t>Vision</t>
        </is>
      </c>
      <c r="H135" s="56" t="n">
        <v>2</v>
      </c>
      <c r="I135" s="56">
        <f>IF(H135&gt;1,"yes","")</f>
        <v/>
      </c>
    </row>
    <row r="136" ht="15" customHeight="1" s="48">
      <c r="A136" s="58" t="inlineStr">
        <is>
          <t>CB-7700132</t>
        </is>
      </c>
      <c r="B136" s="58" t="inlineStr">
        <is>
          <t>Yolanda Nasser</t>
        </is>
      </c>
      <c r="C136" s="58" t="n">
        <v>23</v>
      </c>
      <c r="D136" s="58" t="inlineStr">
        <is>
          <t>EMP-1013</t>
        </is>
      </c>
      <c r="E136" s="58" t="inlineStr">
        <is>
          <t>Kestrel Precision Tooling</t>
        </is>
      </c>
      <c r="F136" s="58">
        <f>IFERROR(INDEX('Employer Master'!$L$5:$L$99,MATCH(D136,'Employer Master'!$A$5:$A$99,0)),"")</f>
        <v/>
      </c>
      <c r="G136" s="58" t="inlineStr">
        <is>
          <t>Dental</t>
        </is>
      </c>
      <c r="H136" s="58" t="n">
        <v>2</v>
      </c>
      <c r="I136" s="58">
        <f>IF(H136&gt;1,"yes","")</f>
        <v/>
      </c>
    </row>
    <row r="137" ht="15" customHeight="1" s="48">
      <c r="A137" s="56" t="inlineStr">
        <is>
          <t>CB-7700133</t>
        </is>
      </c>
      <c r="B137" s="56" t="inlineStr">
        <is>
          <t>Bram Ashby</t>
        </is>
      </c>
      <c r="C137" s="56" t="n">
        <v>28</v>
      </c>
      <c r="D137" s="56" t="inlineStr">
        <is>
          <t>EMP-1013</t>
        </is>
      </c>
      <c r="E137" s="56" t="inlineStr">
        <is>
          <t>Kestrel Precision Tooling</t>
        </is>
      </c>
      <c r="F137" s="56">
        <f>IFERROR(INDEX('Employer Master'!$L$5:$L$99,MATCH(D137,'Employer Master'!$A$5:$A$99,0)),"")</f>
        <v/>
      </c>
      <c r="G137" s="56" t="inlineStr">
        <is>
          <t>Life</t>
        </is>
      </c>
      <c r="H137" s="56" t="n">
        <v>2</v>
      </c>
      <c r="I137" s="56">
        <f>IF(H137&gt;1,"yes","")</f>
        <v/>
      </c>
    </row>
    <row r="138" ht="15" customHeight="1" s="48">
      <c r="A138" s="58" t="inlineStr">
        <is>
          <t>CB-7700134</t>
        </is>
      </c>
      <c r="B138" s="58" t="inlineStr">
        <is>
          <t>Alicia Cruz</t>
        </is>
      </c>
      <c r="C138" s="58" t="n">
        <v>53</v>
      </c>
      <c r="D138" s="58" t="inlineStr">
        <is>
          <t>EMP-1013</t>
        </is>
      </c>
      <c r="E138" s="58" t="inlineStr">
        <is>
          <t>Kestrel Precision Tooling</t>
        </is>
      </c>
      <c r="F138" s="58">
        <f>IFERROR(INDEX('Employer Master'!$L$5:$L$99,MATCH(D138,'Employer Master'!$A$5:$A$99,0)),"")</f>
        <v/>
      </c>
      <c r="G138" s="58" t="inlineStr">
        <is>
          <t>Vision</t>
        </is>
      </c>
      <c r="H138" s="58" t="n">
        <v>1</v>
      </c>
      <c r="I138" s="58">
        <f>IF(H138&gt;1,"yes","")</f>
        <v/>
      </c>
    </row>
    <row r="139" ht="15" customHeight="1" s="48">
      <c r="A139" s="56" t="inlineStr">
        <is>
          <t>CB-7700135</t>
        </is>
      </c>
      <c r="B139" s="56" t="inlineStr">
        <is>
          <t>Victor Baptiste</t>
        </is>
      </c>
      <c r="C139" s="56" t="n">
        <v>53</v>
      </c>
      <c r="D139" s="56" t="inlineStr">
        <is>
          <t>EMP-1013</t>
        </is>
      </c>
      <c r="E139" s="56" t="inlineStr">
        <is>
          <t>Kestrel Precision Tooling</t>
        </is>
      </c>
      <c r="F139" s="56">
        <f>IFERROR(INDEX('Employer Master'!$L$5:$L$99,MATCH(D139,'Employer Master'!$A$5:$A$99,0)),"")</f>
        <v/>
      </c>
      <c r="G139" s="56" t="inlineStr">
        <is>
          <t>Vision</t>
        </is>
      </c>
      <c r="H139" s="56" t="n">
        <v>1</v>
      </c>
      <c r="I139" s="56">
        <f>IF(H139&gt;1,"yes","")</f>
        <v/>
      </c>
    </row>
    <row r="140" ht="15" customHeight="1" s="48">
      <c r="A140" s="58" t="inlineStr">
        <is>
          <t>CB-7700136</t>
        </is>
      </c>
      <c r="B140" s="58" t="inlineStr">
        <is>
          <t>Grace Beaumont</t>
        </is>
      </c>
      <c r="C140" s="58" t="n">
        <v>58</v>
      </c>
      <c r="D140" s="58" t="inlineStr">
        <is>
          <t>EMP-1013</t>
        </is>
      </c>
      <c r="E140" s="58" t="inlineStr">
        <is>
          <t>Kestrel Precision Tooling</t>
        </is>
      </c>
      <c r="F140" s="58">
        <f>IFERROR(INDEX('Employer Master'!$L$5:$L$99,MATCH(D140,'Employer Master'!$A$5:$A$99,0)),"")</f>
        <v/>
      </c>
      <c r="G140" s="58" t="inlineStr">
        <is>
          <t>Vision</t>
        </is>
      </c>
      <c r="H140" s="58" t="n">
        <v>1</v>
      </c>
      <c r="I140" s="58">
        <f>IF(H140&gt;1,"yes","")</f>
        <v/>
      </c>
    </row>
    <row r="141" ht="15" customHeight="1" s="48">
      <c r="A141" s="56" t="inlineStr">
        <is>
          <t>CB-7700137</t>
        </is>
      </c>
      <c r="B141" s="56" t="inlineStr">
        <is>
          <t>Bianca Thibault</t>
        </is>
      </c>
      <c r="C141" s="56" t="n">
        <v>36</v>
      </c>
      <c r="D141" s="56" t="inlineStr">
        <is>
          <t>EMP-1014</t>
        </is>
      </c>
      <c r="E141" s="56" t="inlineStr">
        <is>
          <t>Tulare Dental Partners</t>
        </is>
      </c>
      <c r="F141" s="56">
        <f>IFERROR(INDEX('Employer Master'!$L$5:$L$99,MATCH(D141,'Employer Master'!$A$5:$A$99,0)),"")</f>
        <v/>
      </c>
      <c r="G141" s="56" t="inlineStr">
        <is>
          <t>Dental</t>
        </is>
      </c>
      <c r="H141" s="56" t="n">
        <v>2</v>
      </c>
      <c r="I141" s="56">
        <f>IF(H141&gt;1,"yes","")</f>
        <v/>
      </c>
    </row>
    <row r="142" ht="15" customHeight="1" s="48">
      <c r="A142" s="58" t="inlineStr">
        <is>
          <t>CB-7700138</t>
        </is>
      </c>
      <c r="B142" s="58" t="inlineStr">
        <is>
          <t>Aurelio Bonaventura</t>
        </is>
      </c>
      <c r="C142" s="58" t="n">
        <v>40</v>
      </c>
      <c r="D142" s="58" t="inlineStr">
        <is>
          <t>EMP-1014</t>
        </is>
      </c>
      <c r="E142" s="58" t="inlineStr">
        <is>
          <t>Tulare Dental Partners</t>
        </is>
      </c>
      <c r="F142" s="58">
        <f>IFERROR(INDEX('Employer Master'!$L$5:$L$99,MATCH(D142,'Employer Master'!$A$5:$A$99,0)),"")</f>
        <v/>
      </c>
      <c r="G142" s="58" t="inlineStr">
        <is>
          <t>Vision</t>
        </is>
      </c>
      <c r="H142" s="58" t="n">
        <v>2</v>
      </c>
      <c r="I142" s="58">
        <f>IF(H142&gt;1,"yes","")</f>
        <v/>
      </c>
    </row>
    <row r="143" ht="15" customHeight="1" s="48">
      <c r="A143" s="56" t="inlineStr">
        <is>
          <t>CB-7700139</t>
        </is>
      </c>
      <c r="B143" s="56" t="inlineStr">
        <is>
          <t>Bethany Lemoine</t>
        </is>
      </c>
      <c r="C143" s="56" t="n">
        <v>51</v>
      </c>
      <c r="D143" s="56" t="inlineStr">
        <is>
          <t>EMP-1014</t>
        </is>
      </c>
      <c r="E143" s="56" t="inlineStr">
        <is>
          <t>Tulare Dental Partners</t>
        </is>
      </c>
      <c r="F143" s="56">
        <f>IFERROR(INDEX('Employer Master'!$L$5:$L$99,MATCH(D143,'Employer Master'!$A$5:$A$99,0)),"")</f>
        <v/>
      </c>
      <c r="G143" s="56" t="inlineStr">
        <is>
          <t>Dental</t>
        </is>
      </c>
      <c r="H143" s="56" t="n">
        <v>1</v>
      </c>
      <c r="I143" s="56">
        <f>IF(H143&gt;1,"yes","")</f>
        <v/>
      </c>
    </row>
    <row r="144" ht="15" customHeight="1" s="48">
      <c r="A144" s="58" t="inlineStr">
        <is>
          <t>CB-7700140</t>
        </is>
      </c>
      <c r="B144" s="58" t="inlineStr">
        <is>
          <t>Dagny Reyes</t>
        </is>
      </c>
      <c r="C144" s="58" t="n">
        <v>24</v>
      </c>
      <c r="D144" s="58" t="inlineStr">
        <is>
          <t>EMP-1014</t>
        </is>
      </c>
      <c r="E144" s="58" t="inlineStr">
        <is>
          <t>Tulare Dental Partners</t>
        </is>
      </c>
      <c r="F144" s="58">
        <f>IFERROR(INDEX('Employer Master'!$L$5:$L$99,MATCH(D144,'Employer Master'!$A$5:$A$99,0)),"")</f>
        <v/>
      </c>
      <c r="G144" s="58" t="inlineStr">
        <is>
          <t>Dental</t>
        </is>
      </c>
      <c r="H144" s="58" t="n">
        <v>1</v>
      </c>
      <c r="I144" s="58">
        <f>IF(H144&gt;1,"yes","")</f>
        <v/>
      </c>
    </row>
    <row r="145" ht="15" customHeight="1" s="48">
      <c r="A145" s="56" t="inlineStr">
        <is>
          <t>CB-7700141</t>
        </is>
      </c>
      <c r="B145" s="56" t="inlineStr">
        <is>
          <t>Dwayne Quiroga</t>
        </is>
      </c>
      <c r="C145" s="56" t="n">
        <v>27</v>
      </c>
      <c r="D145" s="56" t="inlineStr">
        <is>
          <t>EMP-1014</t>
        </is>
      </c>
      <c r="E145" s="56" t="inlineStr">
        <is>
          <t>Tulare Dental Partners</t>
        </is>
      </c>
      <c r="F145" s="56">
        <f>IFERROR(INDEX('Employer Master'!$L$5:$L$99,MATCH(D145,'Employer Master'!$A$5:$A$99,0)),"")</f>
        <v/>
      </c>
      <c r="G145" s="56" t="inlineStr">
        <is>
          <t>Dental</t>
        </is>
      </c>
      <c r="H145" s="56" t="n">
        <v>1</v>
      </c>
      <c r="I145" s="56">
        <f>IF(H145&gt;1,"yes","")</f>
        <v/>
      </c>
    </row>
    <row r="146" ht="15" customHeight="1" s="48">
      <c r="A146" s="58" t="inlineStr">
        <is>
          <t>CB-7700142</t>
        </is>
      </c>
      <c r="B146" s="58" t="inlineStr">
        <is>
          <t>Leon Hobbs</t>
        </is>
      </c>
      <c r="C146" s="58" t="n">
        <v>58</v>
      </c>
      <c r="D146" s="58" t="inlineStr">
        <is>
          <t>EMP-1014</t>
        </is>
      </c>
      <c r="E146" s="58" t="inlineStr">
        <is>
          <t>Tulare Dental Partners</t>
        </is>
      </c>
      <c r="F146" s="58">
        <f>IFERROR(INDEX('Employer Master'!$L$5:$L$99,MATCH(D146,'Employer Master'!$A$5:$A$99,0)),"")</f>
        <v/>
      </c>
      <c r="G146" s="58" t="inlineStr">
        <is>
          <t>Dental</t>
        </is>
      </c>
      <c r="H146" s="58" t="n">
        <v>1</v>
      </c>
      <c r="I146" s="58">
        <f>IF(H146&gt;1,"yes","")</f>
        <v/>
      </c>
    </row>
    <row r="147" ht="15" customHeight="1" s="48">
      <c r="A147" s="56" t="inlineStr">
        <is>
          <t>CB-7700143</t>
        </is>
      </c>
      <c r="B147" s="56" t="inlineStr">
        <is>
          <t>Quentin Winters</t>
        </is>
      </c>
      <c r="C147" s="56" t="n">
        <v>52</v>
      </c>
      <c r="D147" s="56" t="inlineStr">
        <is>
          <t>EMP-1015</t>
        </is>
      </c>
      <c r="E147" s="56" t="inlineStr">
        <is>
          <t>Marisol Supply Co</t>
        </is>
      </c>
      <c r="F147" s="56">
        <f>IFERROR(INDEX('Employer Master'!$L$5:$L$99,MATCH(D147,'Employer Master'!$A$5:$A$99,0)),"")</f>
        <v/>
      </c>
      <c r="G147" s="56" t="inlineStr">
        <is>
          <t>Life</t>
        </is>
      </c>
      <c r="H147" s="56" t="n">
        <v>2</v>
      </c>
      <c r="I147" s="56">
        <f>IF(H147&gt;1,"yes","")</f>
        <v/>
      </c>
    </row>
    <row r="148" ht="15" customHeight="1" s="48">
      <c r="A148" s="58" t="inlineStr">
        <is>
          <t>CB-7700144</t>
        </is>
      </c>
      <c r="B148" s="58" t="inlineStr">
        <is>
          <t>Marcus Whitmore</t>
        </is>
      </c>
      <c r="C148" s="58" t="n">
        <v>46</v>
      </c>
      <c r="D148" s="58" t="inlineStr">
        <is>
          <t>EMP-1015</t>
        </is>
      </c>
      <c r="E148" s="58" t="inlineStr">
        <is>
          <t>Marisol Supply Co</t>
        </is>
      </c>
      <c r="F148" s="58">
        <f>IFERROR(INDEX('Employer Master'!$L$5:$L$99,MATCH(D148,'Employer Master'!$A$5:$A$99,0)),"")</f>
        <v/>
      </c>
      <c r="G148" s="58" t="inlineStr">
        <is>
          <t>Dental</t>
        </is>
      </c>
      <c r="H148" s="58" t="n">
        <v>2</v>
      </c>
      <c r="I148" s="58">
        <f>IF(H148&gt;1,"yes","")</f>
        <v/>
      </c>
    </row>
    <row r="149" ht="15" customHeight="1" s="48">
      <c r="A149" s="56" t="inlineStr">
        <is>
          <t>CB-7700145</t>
        </is>
      </c>
      <c r="B149" s="56" t="inlineStr">
        <is>
          <t>Marcus Pennington</t>
        </is>
      </c>
      <c r="C149" s="56" t="n">
        <v>38</v>
      </c>
      <c r="D149" s="56" t="inlineStr">
        <is>
          <t>EMP-1015</t>
        </is>
      </c>
      <c r="E149" s="56" t="inlineStr">
        <is>
          <t>Marisol Supply Co</t>
        </is>
      </c>
      <c r="F149" s="56">
        <f>IFERROR(INDEX('Employer Master'!$L$5:$L$99,MATCH(D149,'Employer Master'!$A$5:$A$99,0)),"")</f>
        <v/>
      </c>
      <c r="G149" s="56" t="inlineStr">
        <is>
          <t>Vision</t>
        </is>
      </c>
      <c r="H149" s="56" t="n">
        <v>1</v>
      </c>
      <c r="I149" s="56">
        <f>IF(H149&gt;1,"yes","")</f>
        <v/>
      </c>
    </row>
    <row r="150" ht="15" customHeight="1" s="48">
      <c r="A150" s="58" t="inlineStr">
        <is>
          <t>CB-7700146</t>
        </is>
      </c>
      <c r="B150" s="58" t="inlineStr">
        <is>
          <t>Yannick Lindqvist</t>
        </is>
      </c>
      <c r="C150" s="58" t="n">
        <v>42</v>
      </c>
      <c r="D150" s="58" t="inlineStr">
        <is>
          <t>EMP-1015</t>
        </is>
      </c>
      <c r="E150" s="58" t="inlineStr">
        <is>
          <t>Marisol Supply Co</t>
        </is>
      </c>
      <c r="F150" s="58">
        <f>IFERROR(INDEX('Employer Master'!$L$5:$L$99,MATCH(D150,'Employer Master'!$A$5:$A$99,0)),"")</f>
        <v/>
      </c>
      <c r="G150" s="58" t="inlineStr">
        <is>
          <t>Vision</t>
        </is>
      </c>
      <c r="H150" s="58" t="n">
        <v>1</v>
      </c>
      <c r="I150" s="58">
        <f>IF(H150&gt;1,"yes","")</f>
        <v/>
      </c>
    </row>
    <row r="151" ht="15" customHeight="1" s="48">
      <c r="A151" s="56" t="inlineStr">
        <is>
          <t>CB-7700147</t>
        </is>
      </c>
      <c r="B151" s="56" t="inlineStr">
        <is>
          <t>Tobias Raman</t>
        </is>
      </c>
      <c r="C151" s="56" t="n">
        <v>48</v>
      </c>
      <c r="D151" s="56" t="inlineStr">
        <is>
          <t>EMP-1015</t>
        </is>
      </c>
      <c r="E151" s="56" t="inlineStr">
        <is>
          <t>Marisol Supply Co</t>
        </is>
      </c>
      <c r="F151" s="56">
        <f>IFERROR(INDEX('Employer Master'!$L$5:$L$99,MATCH(D151,'Employer Master'!$A$5:$A$99,0)),"")</f>
        <v/>
      </c>
      <c r="G151" s="56" t="inlineStr">
        <is>
          <t>Vision</t>
        </is>
      </c>
      <c r="H151" s="56" t="n">
        <v>1</v>
      </c>
      <c r="I151" s="56">
        <f>IF(H151&gt;1,"yes","")</f>
        <v/>
      </c>
    </row>
    <row r="152" ht="15" customHeight="1" s="48">
      <c r="A152" s="58" t="inlineStr">
        <is>
          <t>CB-7700148</t>
        </is>
      </c>
      <c r="B152" s="58" t="inlineStr">
        <is>
          <t>Ursa Sarkisian</t>
        </is>
      </c>
      <c r="C152" s="58" t="n">
        <v>62</v>
      </c>
      <c r="D152" s="58" t="inlineStr">
        <is>
          <t>EMP-1015</t>
        </is>
      </c>
      <c r="E152" s="58" t="inlineStr">
        <is>
          <t>Marisol Supply Co</t>
        </is>
      </c>
      <c r="F152" s="58">
        <f>IFERROR(INDEX('Employer Master'!$L$5:$L$99,MATCH(D152,'Employer Master'!$A$5:$A$99,0)),"")</f>
        <v/>
      </c>
      <c r="G152" s="58" t="inlineStr">
        <is>
          <t>Vision</t>
        </is>
      </c>
      <c r="H152" s="58" t="n">
        <v>1</v>
      </c>
      <c r="I152" s="58">
        <f>IF(H152&gt;1,"yes","")</f>
        <v/>
      </c>
    </row>
    <row r="153" ht="15" customHeight="1" s="48">
      <c r="A153" s="56" t="inlineStr">
        <is>
          <t>CB-7700149</t>
        </is>
      </c>
      <c r="B153" s="56" t="inlineStr">
        <is>
          <t>Terrence Bell</t>
        </is>
      </c>
      <c r="C153" s="56" t="n">
        <v>32</v>
      </c>
      <c r="D153" s="56" t="inlineStr">
        <is>
          <t>EMP-1016</t>
        </is>
      </c>
      <c r="E153" s="56" t="inlineStr">
        <is>
          <t>Ironwood Transport</t>
        </is>
      </c>
      <c r="F153" s="56">
        <f>IFERROR(INDEX('Employer Master'!$L$5:$L$99,MATCH(D153,'Employer Master'!$A$5:$A$99,0)),"")</f>
        <v/>
      </c>
      <c r="G153" s="56" t="inlineStr">
        <is>
          <t>Chiro</t>
        </is>
      </c>
      <c r="H153" s="56" t="n">
        <v>2</v>
      </c>
      <c r="I153" s="56">
        <f>IF(H153&gt;1,"yes","")</f>
        <v/>
      </c>
    </row>
    <row r="154" ht="15" customHeight="1" s="48">
      <c r="A154" s="58" t="inlineStr">
        <is>
          <t>CB-7700150</t>
        </is>
      </c>
      <c r="B154" s="58" t="inlineStr">
        <is>
          <t>Gustavo Venkatesh</t>
        </is>
      </c>
      <c r="C154" s="58" t="n">
        <v>46</v>
      </c>
      <c r="D154" s="58" t="inlineStr">
        <is>
          <t>EMP-1016</t>
        </is>
      </c>
      <c r="E154" s="58" t="inlineStr">
        <is>
          <t>Ironwood Transport</t>
        </is>
      </c>
      <c r="F154" s="58">
        <f>IFERROR(INDEX('Employer Master'!$L$5:$L$99,MATCH(D154,'Employer Master'!$A$5:$A$99,0)),"")</f>
        <v/>
      </c>
      <c r="G154" s="58" t="inlineStr">
        <is>
          <t>Vision</t>
        </is>
      </c>
      <c r="H154" s="58" t="n">
        <v>2</v>
      </c>
      <c r="I154" s="58">
        <f>IF(H154&gt;1,"yes","")</f>
        <v/>
      </c>
    </row>
    <row r="155" ht="15" customHeight="1" s="48">
      <c r="A155" s="56" t="inlineStr">
        <is>
          <t>CB-7700151</t>
        </is>
      </c>
      <c r="B155" s="56" t="inlineStr">
        <is>
          <t>Petra Dubois</t>
        </is>
      </c>
      <c r="C155" s="56" t="n">
        <v>63</v>
      </c>
      <c r="D155" s="56" t="inlineStr">
        <is>
          <t>EMP-1016</t>
        </is>
      </c>
      <c r="E155" s="56" t="inlineStr">
        <is>
          <t>Ironwood Transport</t>
        </is>
      </c>
      <c r="F155" s="56">
        <f>IFERROR(INDEX('Employer Master'!$L$5:$L$99,MATCH(D155,'Employer Master'!$A$5:$A$99,0)),"")</f>
        <v/>
      </c>
      <c r="G155" s="56" t="inlineStr">
        <is>
          <t>Vision</t>
        </is>
      </c>
      <c r="H155" s="56" t="n">
        <v>1</v>
      </c>
      <c r="I155" s="56">
        <f>IF(H155&gt;1,"yes","")</f>
        <v/>
      </c>
    </row>
    <row r="156" ht="15" customHeight="1" s="48">
      <c r="A156" s="58" t="inlineStr">
        <is>
          <t>CB-7700152</t>
        </is>
      </c>
      <c r="B156" s="58" t="inlineStr">
        <is>
          <t>Liesel Fontaine</t>
        </is>
      </c>
      <c r="C156" s="58" t="n">
        <v>42</v>
      </c>
      <c r="D156" s="58" t="inlineStr">
        <is>
          <t>EMP-1016</t>
        </is>
      </c>
      <c r="E156" s="58" t="inlineStr">
        <is>
          <t>Ironwood Transport</t>
        </is>
      </c>
      <c r="F156" s="58">
        <f>IFERROR(INDEX('Employer Master'!$L$5:$L$99,MATCH(D156,'Employer Master'!$A$5:$A$99,0)),"")</f>
        <v/>
      </c>
      <c r="G156" s="58" t="inlineStr">
        <is>
          <t>Vision</t>
        </is>
      </c>
      <c r="H156" s="58" t="n">
        <v>1</v>
      </c>
      <c r="I156" s="58">
        <f>IF(H156&gt;1,"yes","")</f>
        <v/>
      </c>
    </row>
    <row r="157" ht="15" customHeight="1" s="48">
      <c r="A157" s="56" t="inlineStr">
        <is>
          <t>CB-7700153</t>
        </is>
      </c>
      <c r="B157" s="56" t="inlineStr">
        <is>
          <t>Mireille Winters</t>
        </is>
      </c>
      <c r="C157" s="56" t="n">
        <v>43</v>
      </c>
      <c r="D157" s="56" t="inlineStr">
        <is>
          <t>EMP-1016</t>
        </is>
      </c>
      <c r="E157" s="56" t="inlineStr">
        <is>
          <t>Ironwood Transport</t>
        </is>
      </c>
      <c r="F157" s="56">
        <f>IFERROR(INDEX('Employer Master'!$L$5:$L$99,MATCH(D157,'Employer Master'!$A$5:$A$99,0)),"")</f>
        <v/>
      </c>
      <c r="G157" s="56" t="inlineStr">
        <is>
          <t>Chiro</t>
        </is>
      </c>
      <c r="H157" s="56" t="n">
        <v>1</v>
      </c>
      <c r="I157" s="56">
        <f>IF(H157&gt;1,"yes","")</f>
        <v/>
      </c>
    </row>
    <row r="158" ht="15" customHeight="1" s="48">
      <c r="A158" s="58" t="inlineStr">
        <is>
          <t>CB-7700154</t>
        </is>
      </c>
      <c r="B158" s="58" t="inlineStr">
        <is>
          <t>Gilles Raman</t>
        </is>
      </c>
      <c r="C158" s="58" t="n">
        <v>44</v>
      </c>
      <c r="D158" s="58" t="inlineStr">
        <is>
          <t>EMP-1016</t>
        </is>
      </c>
      <c r="E158" s="58" t="inlineStr">
        <is>
          <t>Ironwood Transport</t>
        </is>
      </c>
      <c r="F158" s="58">
        <f>IFERROR(INDEX('Employer Master'!$L$5:$L$99,MATCH(D158,'Employer Master'!$A$5:$A$99,0)),"")</f>
        <v/>
      </c>
      <c r="G158" s="58" t="inlineStr">
        <is>
          <t>Vision</t>
        </is>
      </c>
      <c r="H158" s="58" t="n">
        <v>1</v>
      </c>
      <c r="I158" s="58">
        <f>IF(H158&gt;1,"yes","")</f>
        <v/>
      </c>
    </row>
    <row r="159" ht="15" customHeight="1" s="48">
      <c r="A159" s="56" t="inlineStr">
        <is>
          <t>CB-7700155</t>
        </is>
      </c>
      <c r="B159" s="56" t="inlineStr">
        <is>
          <t>Duncan Cruz</t>
        </is>
      </c>
      <c r="C159" s="56" t="n">
        <v>26</v>
      </c>
      <c r="D159" s="56" t="inlineStr">
        <is>
          <t>EMP-1017</t>
        </is>
      </c>
      <c r="E159" s="56" t="inlineStr">
        <is>
          <t>Blue Mesa Advisors</t>
        </is>
      </c>
      <c r="F159" s="56">
        <f>IFERROR(INDEX('Employer Master'!$L$5:$L$99,MATCH(D159,'Employer Master'!$A$5:$A$99,0)),"")</f>
        <v/>
      </c>
      <c r="G159" s="56" t="inlineStr">
        <is>
          <t>Dental</t>
        </is>
      </c>
      <c r="H159" s="56" t="n">
        <v>2</v>
      </c>
      <c r="I159" s="56">
        <f>IF(H159&gt;1,"yes","")</f>
        <v/>
      </c>
    </row>
    <row r="160" ht="15" customHeight="1" s="48">
      <c r="A160" s="58" t="inlineStr">
        <is>
          <t>CB-7700156</t>
        </is>
      </c>
      <c r="B160" s="58" t="inlineStr">
        <is>
          <t>Zora Okafor</t>
        </is>
      </c>
      <c r="C160" s="58" t="n">
        <v>36</v>
      </c>
      <c r="D160" s="58" t="inlineStr">
        <is>
          <t>EMP-1017</t>
        </is>
      </c>
      <c r="E160" s="58" t="inlineStr">
        <is>
          <t>Blue Mesa Advisors</t>
        </is>
      </c>
      <c r="F160" s="58">
        <f>IFERROR(INDEX('Employer Master'!$L$5:$L$99,MATCH(D160,'Employer Master'!$A$5:$A$99,0)),"")</f>
        <v/>
      </c>
      <c r="G160" s="58" t="inlineStr">
        <is>
          <t>Life</t>
        </is>
      </c>
      <c r="H160" s="58" t="n">
        <v>2</v>
      </c>
      <c r="I160" s="58">
        <f>IF(H160&gt;1,"yes","")</f>
        <v/>
      </c>
    </row>
    <row r="161" ht="15" customHeight="1" s="48">
      <c r="A161" s="56" t="inlineStr">
        <is>
          <t>CB-7700157</t>
        </is>
      </c>
      <c r="B161" s="56" t="inlineStr">
        <is>
          <t>Ingrid Novak</t>
        </is>
      </c>
      <c r="C161" s="56" t="n">
        <v>32</v>
      </c>
      <c r="D161" s="56" t="inlineStr">
        <is>
          <t>EMP-1017</t>
        </is>
      </c>
      <c r="E161" s="56" t="inlineStr">
        <is>
          <t>Blue Mesa Advisors</t>
        </is>
      </c>
      <c r="F161" s="56">
        <f>IFERROR(INDEX('Employer Master'!$L$5:$L$99,MATCH(D161,'Employer Master'!$A$5:$A$99,0)),"")</f>
        <v/>
      </c>
      <c r="G161" s="56" t="inlineStr">
        <is>
          <t>Dental</t>
        </is>
      </c>
      <c r="H161" s="56" t="n">
        <v>1</v>
      </c>
      <c r="I161" s="56">
        <f>IF(H161&gt;1,"yes","")</f>
        <v/>
      </c>
    </row>
    <row r="162" ht="15" customHeight="1" s="48">
      <c r="A162" s="58" t="inlineStr">
        <is>
          <t>CB-7700158</t>
        </is>
      </c>
      <c r="B162" s="58" t="inlineStr">
        <is>
          <t>Lena Demir</t>
        </is>
      </c>
      <c r="C162" s="58" t="n">
        <v>34</v>
      </c>
      <c r="D162" s="58" t="inlineStr">
        <is>
          <t>EMP-1017</t>
        </is>
      </c>
      <c r="E162" s="58" t="inlineStr">
        <is>
          <t>Blue Mesa Advisors</t>
        </is>
      </c>
      <c r="F162" s="58">
        <f>IFERROR(INDEX('Employer Master'!$L$5:$L$99,MATCH(D162,'Employer Master'!$A$5:$A$99,0)),"")</f>
        <v/>
      </c>
      <c r="G162" s="58" t="inlineStr">
        <is>
          <t>Life</t>
        </is>
      </c>
      <c r="H162" s="58" t="n">
        <v>1</v>
      </c>
      <c r="I162" s="58">
        <f>IF(H162&gt;1,"yes","")</f>
        <v/>
      </c>
    </row>
    <row r="163" ht="15" customHeight="1" s="48">
      <c r="A163" s="56" t="inlineStr">
        <is>
          <t>CB-7700159</t>
        </is>
      </c>
      <c r="B163" s="56" t="inlineStr">
        <is>
          <t>Gideon Haddad</t>
        </is>
      </c>
      <c r="C163" s="56" t="n">
        <v>48</v>
      </c>
      <c r="D163" s="56" t="inlineStr">
        <is>
          <t>EMP-1017</t>
        </is>
      </c>
      <c r="E163" s="56" t="inlineStr">
        <is>
          <t>Blue Mesa Advisors</t>
        </is>
      </c>
      <c r="F163" s="56">
        <f>IFERROR(INDEX('Employer Master'!$L$5:$L$99,MATCH(D163,'Employer Master'!$A$5:$A$99,0)),"")</f>
        <v/>
      </c>
      <c r="G163" s="56" t="inlineStr">
        <is>
          <t>Dental</t>
        </is>
      </c>
      <c r="H163" s="56" t="n">
        <v>1</v>
      </c>
      <c r="I163" s="56">
        <f>IF(H163&gt;1,"yes","")</f>
        <v/>
      </c>
    </row>
    <row r="164" ht="15" customHeight="1" s="48">
      <c r="A164" s="58" t="inlineStr">
        <is>
          <t>CB-7700160</t>
        </is>
      </c>
      <c r="B164" s="58" t="inlineStr">
        <is>
          <t>Petra Reyes</t>
        </is>
      </c>
      <c r="C164" s="58" t="n">
        <v>29</v>
      </c>
      <c r="D164" s="58" t="inlineStr">
        <is>
          <t>EMP-1017</t>
        </is>
      </c>
      <c r="E164" s="58" t="inlineStr">
        <is>
          <t>Blue Mesa Advisors</t>
        </is>
      </c>
      <c r="F164" s="58">
        <f>IFERROR(INDEX('Employer Master'!$L$5:$L$99,MATCH(D164,'Employer Master'!$A$5:$A$99,0)),"")</f>
        <v/>
      </c>
      <c r="G164" s="58" t="inlineStr">
        <is>
          <t>Life</t>
        </is>
      </c>
      <c r="H164" s="58" t="n">
        <v>1</v>
      </c>
      <c r="I164" s="58">
        <f>IF(H164&gt;1,"yes","")</f>
        <v/>
      </c>
    </row>
    <row r="165" ht="15" customHeight="1" s="48">
      <c r="A165" s="56" t="inlineStr">
        <is>
          <t>CB-7700161</t>
        </is>
      </c>
      <c r="B165" s="56" t="inlineStr">
        <is>
          <t>Sunil Quiroga</t>
        </is>
      </c>
      <c r="C165" s="56" t="n">
        <v>24</v>
      </c>
      <c r="D165" s="56" t="inlineStr">
        <is>
          <t>EMP-1018</t>
        </is>
      </c>
      <c r="E165" s="56" t="inlineStr">
        <is>
          <t>Halcyon Data Group</t>
        </is>
      </c>
      <c r="F165" s="56">
        <f>IFERROR(INDEX('Employer Master'!$L$5:$L$99,MATCH(D165,'Employer Master'!$A$5:$A$99,0)),"")</f>
        <v/>
      </c>
      <c r="G165" s="56" t="inlineStr">
        <is>
          <t>Dental</t>
        </is>
      </c>
      <c r="H165" s="56" t="n">
        <v>2</v>
      </c>
      <c r="I165" s="56">
        <f>IF(H165&gt;1,"yes","")</f>
        <v/>
      </c>
    </row>
    <row r="166" ht="15" customHeight="1" s="48">
      <c r="A166" s="58" t="inlineStr">
        <is>
          <t>CB-7700162</t>
        </is>
      </c>
      <c r="B166" s="58" t="inlineStr">
        <is>
          <t>Ingrid Venkatesh</t>
        </is>
      </c>
      <c r="C166" s="58" t="n">
        <v>60</v>
      </c>
      <c r="D166" s="58" t="inlineStr">
        <is>
          <t>EMP-1018</t>
        </is>
      </c>
      <c r="E166" s="58" t="inlineStr">
        <is>
          <t>Halcyon Data Group</t>
        </is>
      </c>
      <c r="F166" s="58">
        <f>IFERROR(INDEX('Employer Master'!$L$5:$L$99,MATCH(D166,'Employer Master'!$A$5:$A$99,0)),"")</f>
        <v/>
      </c>
      <c r="G166" s="58" t="inlineStr">
        <is>
          <t>Dental</t>
        </is>
      </c>
      <c r="H166" s="58" t="n">
        <v>2</v>
      </c>
      <c r="I166" s="58">
        <f>IF(H166&gt;1,"yes","")</f>
        <v/>
      </c>
    </row>
    <row r="167" ht="15" customHeight="1" s="48">
      <c r="A167" s="56" t="inlineStr">
        <is>
          <t>CB-7700163</t>
        </is>
      </c>
      <c r="B167" s="56" t="inlineStr">
        <is>
          <t>Jerome Wexler</t>
        </is>
      </c>
      <c r="C167" s="56" t="n">
        <v>50</v>
      </c>
      <c r="D167" s="56" t="inlineStr">
        <is>
          <t>EMP-1018</t>
        </is>
      </c>
      <c r="E167" s="56" t="inlineStr">
        <is>
          <t>Halcyon Data Group</t>
        </is>
      </c>
      <c r="F167" s="56">
        <f>IFERROR(INDEX('Employer Master'!$L$5:$L$99,MATCH(D167,'Employer Master'!$A$5:$A$99,0)),"")</f>
        <v/>
      </c>
      <c r="G167" s="56" t="inlineStr">
        <is>
          <t>Vision</t>
        </is>
      </c>
      <c r="H167" s="56" t="n">
        <v>1</v>
      </c>
      <c r="I167" s="56">
        <f>IF(H167&gt;1,"yes","")</f>
        <v/>
      </c>
    </row>
    <row r="168" ht="15" customHeight="1" s="48">
      <c r="A168" s="58" t="inlineStr">
        <is>
          <t>CB-7700164</t>
        </is>
      </c>
      <c r="B168" s="58" t="inlineStr">
        <is>
          <t>Lorna Aziz</t>
        </is>
      </c>
      <c r="C168" s="58" t="n">
        <v>49</v>
      </c>
      <c r="D168" s="58" t="inlineStr">
        <is>
          <t>EMP-1018</t>
        </is>
      </c>
      <c r="E168" s="58" t="inlineStr">
        <is>
          <t>Halcyon Data Group</t>
        </is>
      </c>
      <c r="F168" s="58">
        <f>IFERROR(INDEX('Employer Master'!$L$5:$L$99,MATCH(D168,'Employer Master'!$A$5:$A$99,0)),"")</f>
        <v/>
      </c>
      <c r="G168" s="58" t="inlineStr">
        <is>
          <t>Vision</t>
        </is>
      </c>
      <c r="H168" s="58" t="n">
        <v>1</v>
      </c>
      <c r="I168" s="58">
        <f>IF(H168&gt;1,"yes","")</f>
        <v/>
      </c>
    </row>
    <row r="169" ht="15" customHeight="1" s="48">
      <c r="A169" s="56" t="inlineStr">
        <is>
          <t>CB-7700165</t>
        </is>
      </c>
      <c r="B169" s="56" t="inlineStr">
        <is>
          <t>Dmitri Halvorsen</t>
        </is>
      </c>
      <c r="C169" s="56" t="n">
        <v>27</v>
      </c>
      <c r="D169" s="56" t="inlineStr">
        <is>
          <t>EMP-1018</t>
        </is>
      </c>
      <c r="E169" s="56" t="inlineStr">
        <is>
          <t>Halcyon Data Group</t>
        </is>
      </c>
      <c r="F169" s="56">
        <f>IFERROR(INDEX('Employer Master'!$L$5:$L$99,MATCH(D169,'Employer Master'!$A$5:$A$99,0)),"")</f>
        <v/>
      </c>
      <c r="G169" s="56" t="inlineStr">
        <is>
          <t>Vision</t>
        </is>
      </c>
      <c r="H169" s="56" t="n">
        <v>1</v>
      </c>
      <c r="I169" s="56">
        <f>IF(H169&gt;1,"yes","")</f>
        <v/>
      </c>
    </row>
    <row r="170" ht="15" customHeight="1" s="48">
      <c r="A170" s="58" t="inlineStr">
        <is>
          <t>CB-7700166</t>
        </is>
      </c>
      <c r="B170" s="58" t="inlineStr">
        <is>
          <t>Quill Nkemdi</t>
        </is>
      </c>
      <c r="C170" s="58" t="n">
        <v>34</v>
      </c>
      <c r="D170" s="58" t="inlineStr">
        <is>
          <t>EMP-1019</t>
        </is>
      </c>
      <c r="E170" s="58" t="inlineStr">
        <is>
          <t>Northgate Personnel Group</t>
        </is>
      </c>
      <c r="F170" s="58">
        <f>IFERROR(INDEX('Employer Master'!$L$5:$L$99,MATCH(D170,'Employer Master'!$A$5:$A$99,0)),"")</f>
        <v/>
      </c>
      <c r="G170" s="58" t="inlineStr">
        <is>
          <t>Life</t>
        </is>
      </c>
      <c r="H170" s="58" t="n">
        <v>2</v>
      </c>
      <c r="I170" s="58">
        <f>IF(H170&gt;1,"yes","")</f>
        <v/>
      </c>
    </row>
    <row r="171" ht="15" customHeight="1" s="48">
      <c r="A171" s="56" t="inlineStr">
        <is>
          <t>CB-7700167</t>
        </is>
      </c>
      <c r="B171" s="56" t="inlineStr">
        <is>
          <t>Dmitri Hobbs</t>
        </is>
      </c>
      <c r="C171" s="56" t="n">
        <v>32</v>
      </c>
      <c r="D171" s="56" t="inlineStr">
        <is>
          <t>EMP-1019</t>
        </is>
      </c>
      <c r="E171" s="56" t="inlineStr">
        <is>
          <t>Northgate Personnel Group</t>
        </is>
      </c>
      <c r="F171" s="56">
        <f>IFERROR(INDEX('Employer Master'!$L$5:$L$99,MATCH(D171,'Employer Master'!$A$5:$A$99,0)),"")</f>
        <v/>
      </c>
      <c r="G171" s="56" t="inlineStr">
        <is>
          <t>Dental</t>
        </is>
      </c>
      <c r="H171" s="56" t="n">
        <v>2</v>
      </c>
      <c r="I171" s="56">
        <f>IF(H171&gt;1,"yes","")</f>
        <v/>
      </c>
    </row>
    <row r="172" ht="15" customHeight="1" s="48">
      <c r="A172" s="58" t="inlineStr">
        <is>
          <t>CB-7700168</t>
        </is>
      </c>
      <c r="B172" s="58" t="inlineStr">
        <is>
          <t>Xavier Hollis</t>
        </is>
      </c>
      <c r="C172" s="58" t="n">
        <v>36</v>
      </c>
      <c r="D172" s="58" t="inlineStr">
        <is>
          <t>EMP-1019</t>
        </is>
      </c>
      <c r="E172" s="58" t="inlineStr">
        <is>
          <t>Northgate Personnel Group</t>
        </is>
      </c>
      <c r="F172" s="58">
        <f>IFERROR(INDEX('Employer Master'!$L$5:$L$99,MATCH(D172,'Employer Master'!$A$5:$A$99,0)),"")</f>
        <v/>
      </c>
      <c r="G172" s="58" t="inlineStr">
        <is>
          <t>Dental</t>
        </is>
      </c>
      <c r="H172" s="58" t="n">
        <v>1</v>
      </c>
      <c r="I172" s="58">
        <f>IF(H172&gt;1,"yes","")</f>
        <v/>
      </c>
    </row>
    <row r="173" ht="15" customHeight="1" s="48">
      <c r="A173" s="56" t="inlineStr">
        <is>
          <t>CB-7700169</t>
        </is>
      </c>
      <c r="B173" s="56" t="inlineStr">
        <is>
          <t>Idris Bonaventura</t>
        </is>
      </c>
      <c r="C173" s="56" t="n">
        <v>51</v>
      </c>
      <c r="D173" s="56" t="inlineStr">
        <is>
          <t>EMP-1019</t>
        </is>
      </c>
      <c r="E173" s="56" t="inlineStr">
        <is>
          <t>Northgate Personnel Group</t>
        </is>
      </c>
      <c r="F173" s="56">
        <f>IFERROR(INDEX('Employer Master'!$L$5:$L$99,MATCH(D173,'Employer Master'!$A$5:$A$99,0)),"")</f>
        <v/>
      </c>
      <c r="G173" s="56" t="inlineStr">
        <is>
          <t>Life</t>
        </is>
      </c>
      <c r="H173" s="56" t="n">
        <v>1</v>
      </c>
      <c r="I173" s="56">
        <f>IF(H173&gt;1,"yes","")</f>
        <v/>
      </c>
    </row>
    <row r="174" ht="15" customHeight="1" s="48">
      <c r="A174" s="58" t="inlineStr">
        <is>
          <t>CB-7700170</t>
        </is>
      </c>
      <c r="B174" s="58" t="inlineStr">
        <is>
          <t>Vidal Castellano</t>
        </is>
      </c>
      <c r="C174" s="58" t="n">
        <v>30</v>
      </c>
      <c r="D174" s="58" t="inlineStr">
        <is>
          <t>EMP-1020</t>
        </is>
      </c>
      <c r="E174" s="58" t="inlineStr">
        <is>
          <t>Sandpiper Hospitality Group</t>
        </is>
      </c>
      <c r="F174" s="58">
        <f>IFERROR(INDEX('Employer Master'!$L$5:$L$99,MATCH(D174,'Employer Master'!$A$5:$A$99,0)),"")</f>
        <v/>
      </c>
      <c r="G174" s="58" t="inlineStr">
        <is>
          <t>Dental</t>
        </is>
      </c>
      <c r="H174" s="58" t="n">
        <v>2</v>
      </c>
      <c r="I174" s="58">
        <f>IF(H174&gt;1,"yes","")</f>
        <v/>
      </c>
    </row>
    <row r="175" ht="15" customHeight="1" s="48">
      <c r="A175" s="56" t="inlineStr">
        <is>
          <t>CB-7700171</t>
        </is>
      </c>
      <c r="B175" s="56" t="inlineStr">
        <is>
          <t>Yannick Guzman</t>
        </is>
      </c>
      <c r="C175" s="56" t="n">
        <v>52</v>
      </c>
      <c r="D175" s="56" t="inlineStr">
        <is>
          <t>EMP-1020</t>
        </is>
      </c>
      <c r="E175" s="56" t="inlineStr">
        <is>
          <t>Sandpiper Hospitality Group</t>
        </is>
      </c>
      <c r="F175" s="56">
        <f>IFERROR(INDEX('Employer Master'!$L$5:$L$99,MATCH(D175,'Employer Master'!$A$5:$A$99,0)),"")</f>
        <v/>
      </c>
      <c r="G175" s="56" t="inlineStr">
        <is>
          <t>Dental</t>
        </is>
      </c>
      <c r="H175" s="56" t="n">
        <v>2</v>
      </c>
      <c r="I175" s="56">
        <f>IF(H175&gt;1,"yes","")</f>
        <v/>
      </c>
    </row>
    <row r="176" ht="15" customHeight="1" s="48">
      <c r="A176" s="58" t="inlineStr">
        <is>
          <t>CB-7700172</t>
        </is>
      </c>
      <c r="B176" s="58" t="inlineStr">
        <is>
          <t>Ewan Nkemdi</t>
        </is>
      </c>
      <c r="C176" s="58" t="n">
        <v>47</v>
      </c>
      <c r="D176" s="58" t="inlineStr">
        <is>
          <t>EMP-1020</t>
        </is>
      </c>
      <c r="E176" s="58" t="inlineStr">
        <is>
          <t>Sandpiper Hospitality Group</t>
        </is>
      </c>
      <c r="F176" s="58">
        <f>IFERROR(INDEX('Employer Master'!$L$5:$L$99,MATCH(D176,'Employer Master'!$A$5:$A$99,0)),"")</f>
        <v/>
      </c>
      <c r="G176" s="58" t="inlineStr">
        <is>
          <t>Dental</t>
        </is>
      </c>
      <c r="H176" s="58" t="n">
        <v>1</v>
      </c>
      <c r="I176" s="58">
        <f>IF(H176&gt;1,"yes","")</f>
        <v/>
      </c>
    </row>
    <row r="177" ht="15" customHeight="1" s="48">
      <c r="A177" s="56" t="inlineStr">
        <is>
          <t>CB-7700173</t>
        </is>
      </c>
      <c r="B177" s="56" t="inlineStr">
        <is>
          <t>Gilles Rasmussen</t>
        </is>
      </c>
      <c r="C177" s="56" t="n">
        <v>55</v>
      </c>
      <c r="D177" s="56" t="inlineStr">
        <is>
          <t>EMP-1020</t>
        </is>
      </c>
      <c r="E177" s="56" t="inlineStr">
        <is>
          <t>Sandpiper Hospitality Group</t>
        </is>
      </c>
      <c r="F177" s="56">
        <f>IFERROR(INDEX('Employer Master'!$L$5:$L$99,MATCH(D177,'Employer Master'!$A$5:$A$99,0)),"")</f>
        <v/>
      </c>
      <c r="G177" s="56" t="inlineStr">
        <is>
          <t>Dental</t>
        </is>
      </c>
      <c r="H177" s="56" t="n">
        <v>1</v>
      </c>
      <c r="I177" s="56">
        <f>IF(H177&gt;1,"yes","")</f>
        <v/>
      </c>
    </row>
    <row r="178" ht="15" customHeight="1" s="48">
      <c r="A178" s="58" t="inlineStr">
        <is>
          <t>CB-7700174</t>
        </is>
      </c>
      <c r="B178" s="58" t="inlineStr">
        <is>
          <t>Grace Pennington</t>
        </is>
      </c>
      <c r="C178" s="58" t="n">
        <v>51</v>
      </c>
      <c r="D178" s="58" t="inlineStr">
        <is>
          <t>EMP-1020</t>
        </is>
      </c>
      <c r="E178" s="58" t="inlineStr">
        <is>
          <t>Sandpiper Hospitality Group</t>
        </is>
      </c>
      <c r="F178" s="58">
        <f>IFERROR(INDEX('Employer Master'!$L$5:$L$99,MATCH(D178,'Employer Master'!$A$5:$A$99,0)),"")</f>
        <v/>
      </c>
      <c r="G178" s="58" t="inlineStr">
        <is>
          <t>Dental</t>
        </is>
      </c>
      <c r="H178" s="58" t="n">
        <v>1</v>
      </c>
      <c r="I178" s="58">
        <f>IF(H178&gt;1,"yes","")</f>
        <v/>
      </c>
    </row>
    <row r="179" ht="15" customHeight="1" s="48">
      <c r="A179" s="56" t="inlineStr">
        <is>
          <t>CB-7700175</t>
        </is>
      </c>
      <c r="B179" s="56" t="inlineStr">
        <is>
          <t>Nikhil Yamamoto</t>
        </is>
      </c>
      <c r="C179" s="56" t="n">
        <v>61</v>
      </c>
      <c r="D179" s="56" t="inlineStr">
        <is>
          <t>EMP-1021</t>
        </is>
      </c>
      <c r="E179" s="56" t="inlineStr">
        <is>
          <t>Verdant Mechanical</t>
        </is>
      </c>
      <c r="F179" s="56">
        <f>IFERROR(INDEX('Employer Master'!$L$5:$L$99,MATCH(D179,'Employer Master'!$A$5:$A$99,0)),"")</f>
        <v/>
      </c>
      <c r="G179" s="56" t="inlineStr">
        <is>
          <t>Dental</t>
        </is>
      </c>
      <c r="H179" s="56" t="n">
        <v>2</v>
      </c>
      <c r="I179" s="56">
        <f>IF(H179&gt;1,"yes","")</f>
        <v/>
      </c>
    </row>
    <row r="180" ht="15" customHeight="1" s="48">
      <c r="A180" s="58" t="inlineStr">
        <is>
          <t>CB-7700176</t>
        </is>
      </c>
      <c r="B180" s="58" t="inlineStr">
        <is>
          <t>Yolanda Venkatesh</t>
        </is>
      </c>
      <c r="C180" s="58" t="n">
        <v>57</v>
      </c>
      <c r="D180" s="58" t="inlineStr">
        <is>
          <t>EMP-1021</t>
        </is>
      </c>
      <c r="E180" s="58" t="inlineStr">
        <is>
          <t>Verdant Mechanical</t>
        </is>
      </c>
      <c r="F180" s="58">
        <f>IFERROR(INDEX('Employer Master'!$L$5:$L$99,MATCH(D180,'Employer Master'!$A$5:$A$99,0)),"")</f>
        <v/>
      </c>
      <c r="G180" s="58" t="inlineStr">
        <is>
          <t>Dental</t>
        </is>
      </c>
      <c r="H180" s="58" t="n">
        <v>1</v>
      </c>
      <c r="I180" s="58">
        <f>IF(H180&gt;1,"yes","")</f>
        <v/>
      </c>
    </row>
    <row r="181" ht="15" customHeight="1" s="48">
      <c r="A181" s="56" t="inlineStr">
        <is>
          <t>CB-7700177</t>
        </is>
      </c>
      <c r="B181" s="56" t="inlineStr">
        <is>
          <t>Kamal Fairweather</t>
        </is>
      </c>
      <c r="C181" s="56" t="n">
        <v>62</v>
      </c>
      <c r="D181" s="56" t="inlineStr">
        <is>
          <t>EMP-1021</t>
        </is>
      </c>
      <c r="E181" s="56" t="inlineStr">
        <is>
          <t>Verdant Mechanical</t>
        </is>
      </c>
      <c r="F181" s="56">
        <f>IFERROR(INDEX('Employer Master'!$L$5:$L$99,MATCH(D181,'Employer Master'!$A$5:$A$99,0)),"")</f>
        <v/>
      </c>
      <c r="G181" s="56" t="inlineStr">
        <is>
          <t>Chiro</t>
        </is>
      </c>
      <c r="H181" s="56" t="n">
        <v>1</v>
      </c>
      <c r="I181" s="56">
        <f>IF(H181&gt;1,"yes","")</f>
        <v/>
      </c>
    </row>
    <row r="182" ht="15" customHeight="1" s="48">
      <c r="A182" s="58" t="inlineStr">
        <is>
          <t>CB-7700178</t>
        </is>
      </c>
      <c r="B182" s="58" t="inlineStr">
        <is>
          <t>Rhona Ingram</t>
        </is>
      </c>
      <c r="C182" s="58" t="n">
        <v>58</v>
      </c>
      <c r="D182" s="58" t="inlineStr">
        <is>
          <t>EMP-1021</t>
        </is>
      </c>
      <c r="E182" s="58" t="inlineStr">
        <is>
          <t>Verdant Mechanical</t>
        </is>
      </c>
      <c r="F182" s="58">
        <f>IFERROR(INDEX('Employer Master'!$L$5:$L$99,MATCH(D182,'Employer Master'!$A$5:$A$99,0)),"")</f>
        <v/>
      </c>
      <c r="G182" s="58" t="inlineStr">
        <is>
          <t>Chiro</t>
        </is>
      </c>
      <c r="H182" s="58" t="n">
        <v>1</v>
      </c>
      <c r="I182" s="58">
        <f>IF(H182&gt;1,"yes","")</f>
        <v/>
      </c>
    </row>
    <row r="183" ht="15" customHeight="1" s="48">
      <c r="A183" s="56" t="inlineStr">
        <is>
          <t>CB-7700179</t>
        </is>
      </c>
      <c r="B183" s="56" t="inlineStr">
        <is>
          <t>Cormac Reyes</t>
        </is>
      </c>
      <c r="C183" s="56" t="n">
        <v>54</v>
      </c>
      <c r="D183" s="56" t="inlineStr">
        <is>
          <t>EMP-1022</t>
        </is>
      </c>
      <c r="E183" s="56" t="inlineStr">
        <is>
          <t>Ashford Precision Tooling</t>
        </is>
      </c>
      <c r="F183" s="56">
        <f>IFERROR(INDEX('Employer Master'!$L$5:$L$99,MATCH(D183,'Employer Master'!$A$5:$A$99,0)),"")</f>
        <v/>
      </c>
      <c r="G183" s="56" t="inlineStr">
        <is>
          <t>Vision</t>
        </is>
      </c>
      <c r="H183" s="56" t="n">
        <v>2</v>
      </c>
      <c r="I183" s="56">
        <f>IF(H183&gt;1,"yes","")</f>
        <v/>
      </c>
    </row>
    <row r="184" ht="15" customHeight="1" s="48">
      <c r="A184" s="58" t="inlineStr">
        <is>
          <t>CB-7700180</t>
        </is>
      </c>
      <c r="B184" s="58" t="inlineStr">
        <is>
          <t>Denise Peralta</t>
        </is>
      </c>
      <c r="C184" s="58" t="n">
        <v>64</v>
      </c>
      <c r="D184" s="58" t="inlineStr">
        <is>
          <t>EMP-1022</t>
        </is>
      </c>
      <c r="E184" s="58" t="inlineStr">
        <is>
          <t>Ashford Precision Tooling</t>
        </is>
      </c>
      <c r="F184" s="58">
        <f>IFERROR(INDEX('Employer Master'!$L$5:$L$99,MATCH(D184,'Employer Master'!$A$5:$A$99,0)),"")</f>
        <v/>
      </c>
      <c r="G184" s="58" t="inlineStr">
        <is>
          <t>Vision</t>
        </is>
      </c>
      <c r="H184" s="58" t="n">
        <v>1</v>
      </c>
      <c r="I184" s="58">
        <f>IF(H184&gt;1,"yes","")</f>
        <v/>
      </c>
    </row>
    <row r="185" ht="15" customHeight="1" s="48">
      <c r="A185" s="56" t="inlineStr">
        <is>
          <t>CB-7700181</t>
        </is>
      </c>
      <c r="B185" s="56" t="inlineStr">
        <is>
          <t>Lena Achebe</t>
        </is>
      </c>
      <c r="C185" s="56" t="n">
        <v>55</v>
      </c>
      <c r="D185" s="56" t="inlineStr">
        <is>
          <t>EMP-1022</t>
        </is>
      </c>
      <c r="E185" s="56" t="inlineStr">
        <is>
          <t>Ashford Precision Tooling</t>
        </is>
      </c>
      <c r="F185" s="56">
        <f>IFERROR(INDEX('Employer Master'!$L$5:$L$99,MATCH(D185,'Employer Master'!$A$5:$A$99,0)),"")</f>
        <v/>
      </c>
      <c r="G185" s="56" t="inlineStr">
        <is>
          <t>Dental</t>
        </is>
      </c>
      <c r="H185" s="56" t="n">
        <v>1</v>
      </c>
      <c r="I185" s="56">
        <f>IF(H185&gt;1,"yes","")</f>
        <v/>
      </c>
    </row>
    <row r="186" ht="15" customHeight="1" s="48">
      <c r="A186" s="58" t="inlineStr">
        <is>
          <t>CB-7700182</t>
        </is>
      </c>
      <c r="B186" s="58" t="inlineStr">
        <is>
          <t>Jonah Lindgren</t>
        </is>
      </c>
      <c r="C186" s="58" t="n">
        <v>34</v>
      </c>
      <c r="D186" s="58" t="inlineStr">
        <is>
          <t>EMP-1022</t>
        </is>
      </c>
      <c r="E186" s="58" t="inlineStr">
        <is>
          <t>Ashford Precision Tooling</t>
        </is>
      </c>
      <c r="F186" s="58">
        <f>IFERROR(INDEX('Employer Master'!$L$5:$L$99,MATCH(D186,'Employer Master'!$A$5:$A$99,0)),"")</f>
        <v/>
      </c>
      <c r="G186" s="58" t="inlineStr">
        <is>
          <t>Dental</t>
        </is>
      </c>
      <c r="H186" s="58" t="n">
        <v>1</v>
      </c>
      <c r="I186" s="58">
        <f>IF(H186&gt;1,"yes","")</f>
        <v/>
      </c>
    </row>
    <row r="187" ht="15" customHeight="1" s="48">
      <c r="A187" s="56" t="inlineStr">
        <is>
          <t>CB-7700183</t>
        </is>
      </c>
      <c r="B187" s="56" t="inlineStr">
        <is>
          <t>Grace Ruiz</t>
        </is>
      </c>
      <c r="C187" s="56" t="n">
        <v>56</v>
      </c>
      <c r="D187" s="56" t="inlineStr">
        <is>
          <t>EMP-1023</t>
        </is>
      </c>
      <c r="E187" s="56" t="inlineStr">
        <is>
          <t>Calloway Dental Partners</t>
        </is>
      </c>
      <c r="F187" s="56">
        <f>IFERROR(INDEX('Employer Master'!$L$5:$L$99,MATCH(D187,'Employer Master'!$A$5:$A$99,0)),"")</f>
        <v/>
      </c>
      <c r="G187" s="56" t="inlineStr">
        <is>
          <t>Dental</t>
        </is>
      </c>
      <c r="H187" s="56" t="n">
        <v>2</v>
      </c>
      <c r="I187" s="56">
        <f>IF(H187&gt;1,"yes","")</f>
        <v/>
      </c>
    </row>
    <row r="188" ht="15" customHeight="1" s="48">
      <c r="A188" s="58" t="inlineStr">
        <is>
          <t>CB-7700184</t>
        </is>
      </c>
      <c r="B188" s="58" t="inlineStr">
        <is>
          <t>Vera Guzman</t>
        </is>
      </c>
      <c r="C188" s="58" t="n">
        <v>57</v>
      </c>
      <c r="D188" s="58" t="inlineStr">
        <is>
          <t>EMP-1023</t>
        </is>
      </c>
      <c r="E188" s="58" t="inlineStr">
        <is>
          <t>Calloway Dental Partners</t>
        </is>
      </c>
      <c r="F188" s="58">
        <f>IFERROR(INDEX('Employer Master'!$L$5:$L$99,MATCH(D188,'Employer Master'!$A$5:$A$99,0)),"")</f>
        <v/>
      </c>
      <c r="G188" s="58" t="inlineStr">
        <is>
          <t>Dental</t>
        </is>
      </c>
      <c r="H188" s="58" t="n">
        <v>1</v>
      </c>
      <c r="I188" s="58">
        <f>IF(H188&gt;1,"yes","")</f>
        <v/>
      </c>
    </row>
    <row r="189" ht="15" customHeight="1" s="48">
      <c r="A189" s="56" t="inlineStr">
        <is>
          <t>CB-7700185</t>
        </is>
      </c>
      <c r="B189" s="56" t="inlineStr">
        <is>
          <t>Marcus Castellano</t>
        </is>
      </c>
      <c r="C189" s="56" t="n">
        <v>54</v>
      </c>
      <c r="D189" s="56" t="inlineStr">
        <is>
          <t>EMP-1023</t>
        </is>
      </c>
      <c r="E189" s="56" t="inlineStr">
        <is>
          <t>Calloway Dental Partners</t>
        </is>
      </c>
      <c r="F189" s="56">
        <f>IFERROR(INDEX('Employer Master'!$L$5:$L$99,MATCH(D189,'Employer Master'!$A$5:$A$99,0)),"")</f>
        <v/>
      </c>
      <c r="G189" s="56" t="inlineStr">
        <is>
          <t>Dental</t>
        </is>
      </c>
      <c r="H189" s="56" t="n">
        <v>1</v>
      </c>
      <c r="I189" s="56">
        <f>IF(H189&gt;1,"yes","")</f>
        <v/>
      </c>
    </row>
    <row r="190" ht="15" customHeight="1" s="48">
      <c r="A190" s="58" t="inlineStr">
        <is>
          <t>CB-7700186</t>
        </is>
      </c>
      <c r="B190" s="58" t="inlineStr">
        <is>
          <t>Mireille Quintero</t>
        </is>
      </c>
      <c r="C190" s="58" t="n">
        <v>29</v>
      </c>
      <c r="D190" s="58" t="inlineStr">
        <is>
          <t>EMP-1023</t>
        </is>
      </c>
      <c r="E190" s="58" t="inlineStr">
        <is>
          <t>Calloway Dental Partners</t>
        </is>
      </c>
      <c r="F190" s="58">
        <f>IFERROR(INDEX('Employer Master'!$L$5:$L$99,MATCH(D190,'Employer Master'!$A$5:$A$99,0)),"")</f>
        <v/>
      </c>
      <c r="G190" s="58" t="inlineStr">
        <is>
          <t>Dental</t>
        </is>
      </c>
      <c r="H190" s="58" t="n">
        <v>1</v>
      </c>
      <c r="I190" s="58">
        <f>IF(H190&gt;1,"yes","")</f>
        <v/>
      </c>
    </row>
    <row r="191" ht="15" customHeight="1" s="48">
      <c r="A191" s="56" t="inlineStr">
        <is>
          <t>CB-7700187</t>
        </is>
      </c>
      <c r="B191" s="56" t="inlineStr">
        <is>
          <t>Blythe Eberhardt</t>
        </is>
      </c>
      <c r="C191" s="56" t="n">
        <v>38</v>
      </c>
      <c r="D191" s="56" t="inlineStr">
        <is>
          <t>EMP-1024</t>
        </is>
      </c>
      <c r="E191" s="56" t="inlineStr">
        <is>
          <t>Delmar Retail Group</t>
        </is>
      </c>
      <c r="F191" s="56">
        <f>IFERROR(INDEX('Employer Master'!$L$5:$L$99,MATCH(D191,'Employer Master'!$A$5:$A$99,0)),"")</f>
        <v/>
      </c>
      <c r="G191" s="56" t="inlineStr">
        <is>
          <t>Vision</t>
        </is>
      </c>
      <c r="H191" s="56" t="n">
        <v>2</v>
      </c>
      <c r="I191" s="56">
        <f>IF(H191&gt;1,"yes","")</f>
        <v/>
      </c>
    </row>
    <row r="192" ht="15" customHeight="1" s="48">
      <c r="A192" s="58" t="inlineStr">
        <is>
          <t>CB-7700188</t>
        </is>
      </c>
      <c r="B192" s="58" t="inlineStr">
        <is>
          <t>Elena Lindqvist</t>
        </is>
      </c>
      <c r="C192" s="58" t="n">
        <v>58</v>
      </c>
      <c r="D192" s="58" t="inlineStr">
        <is>
          <t>EMP-1024</t>
        </is>
      </c>
      <c r="E192" s="58" t="inlineStr">
        <is>
          <t>Delmar Retail Group</t>
        </is>
      </c>
      <c r="F192" s="58">
        <f>IFERROR(INDEX('Employer Master'!$L$5:$L$99,MATCH(D192,'Employer Master'!$A$5:$A$99,0)),"")</f>
        <v/>
      </c>
      <c r="G192" s="58" t="inlineStr">
        <is>
          <t>Dental</t>
        </is>
      </c>
      <c r="H192" s="58" t="n">
        <v>1</v>
      </c>
      <c r="I192" s="58">
        <f>IF(H192&gt;1,"yes","")</f>
        <v/>
      </c>
    </row>
    <row r="193" ht="15" customHeight="1" s="48">
      <c r="A193" s="56" t="inlineStr">
        <is>
          <t>CB-7700189</t>
        </is>
      </c>
      <c r="B193" s="56" t="inlineStr">
        <is>
          <t>Harold Nasser</t>
        </is>
      </c>
      <c r="C193" s="56" t="n">
        <v>34</v>
      </c>
      <c r="D193" s="56" t="inlineStr">
        <is>
          <t>EMP-1024</t>
        </is>
      </c>
      <c r="E193" s="56" t="inlineStr">
        <is>
          <t>Delmar Retail Group</t>
        </is>
      </c>
      <c r="F193" s="56">
        <f>IFERROR(INDEX('Employer Master'!$L$5:$L$99,MATCH(D193,'Employer Master'!$A$5:$A$99,0)),"")</f>
        <v/>
      </c>
      <c r="G193" s="56" t="inlineStr">
        <is>
          <t>Vision</t>
        </is>
      </c>
      <c r="H193" s="56" t="n">
        <v>1</v>
      </c>
      <c r="I193" s="56">
        <f>IF(H193&gt;1,"yes","")</f>
        <v/>
      </c>
    </row>
    <row r="194" ht="15" customHeight="1" s="48">
      <c r="A194" s="58" t="inlineStr">
        <is>
          <t>CB-7700190</t>
        </is>
      </c>
      <c r="B194" s="58" t="inlineStr">
        <is>
          <t>Priya Fairweather</t>
        </is>
      </c>
      <c r="C194" s="58" t="n">
        <v>45</v>
      </c>
      <c r="D194" s="58" t="inlineStr">
        <is>
          <t>EMP-1025</t>
        </is>
      </c>
      <c r="E194" s="58" t="inlineStr">
        <is>
          <t>Emberline Logistics</t>
        </is>
      </c>
      <c r="F194" s="58">
        <f>IFERROR(INDEX('Employer Master'!$L$5:$L$99,MATCH(D194,'Employer Master'!$A$5:$A$99,0)),"")</f>
        <v/>
      </c>
      <c r="G194" s="58" t="inlineStr">
        <is>
          <t>Dental</t>
        </is>
      </c>
      <c r="H194" s="58" t="n">
        <v>2</v>
      </c>
      <c r="I194" s="58">
        <f>IF(H194&gt;1,"yes","")</f>
        <v/>
      </c>
    </row>
    <row r="195" ht="15" customHeight="1" s="48">
      <c r="A195" s="56" t="inlineStr">
        <is>
          <t>CB-7700191</t>
        </is>
      </c>
      <c r="B195" s="56" t="inlineStr">
        <is>
          <t>Farah Chatterjee</t>
        </is>
      </c>
      <c r="C195" s="56" t="n">
        <v>49</v>
      </c>
      <c r="D195" s="56" t="inlineStr">
        <is>
          <t>EMP-1025</t>
        </is>
      </c>
      <c r="E195" s="56" t="inlineStr">
        <is>
          <t>Emberline Logistics</t>
        </is>
      </c>
      <c r="F195" s="56">
        <f>IFERROR(INDEX('Employer Master'!$L$5:$L$99,MATCH(D195,'Employer Master'!$A$5:$A$99,0)),"")</f>
        <v/>
      </c>
      <c r="G195" s="56" t="inlineStr">
        <is>
          <t>Dental</t>
        </is>
      </c>
      <c r="H195" s="56" t="n">
        <v>1</v>
      </c>
      <c r="I195" s="56">
        <f>IF(H195&gt;1,"yes","")</f>
        <v/>
      </c>
    </row>
    <row r="196" ht="15" customHeight="1" s="48">
      <c r="A196" s="58" t="inlineStr">
        <is>
          <t>CB-7700192</t>
        </is>
      </c>
      <c r="B196" s="58" t="inlineStr">
        <is>
          <t>Rafael Bonaventura</t>
        </is>
      </c>
      <c r="C196" s="58" t="n">
        <v>24</v>
      </c>
      <c r="D196" s="58" t="inlineStr">
        <is>
          <t>EMP-1025</t>
        </is>
      </c>
      <c r="E196" s="58" t="inlineStr">
        <is>
          <t>Emberline Logistics</t>
        </is>
      </c>
      <c r="F196" s="58">
        <f>IFERROR(INDEX('Employer Master'!$L$5:$L$99,MATCH(D196,'Employer Master'!$A$5:$A$99,0)),"")</f>
        <v/>
      </c>
      <c r="G196" s="58" t="inlineStr">
        <is>
          <t>Vision</t>
        </is>
      </c>
      <c r="H196" s="58" t="n">
        <v>1</v>
      </c>
      <c r="I196" s="58">
        <f>IF(H196&gt;1,"yes","")</f>
        <v/>
      </c>
    </row>
    <row r="197" ht="15" customHeight="1" s="48">
      <c r="A197" s="56" t="inlineStr">
        <is>
          <t>CB-7700193</t>
        </is>
      </c>
      <c r="B197" s="56" t="inlineStr">
        <is>
          <t>Rasmus Bonaventura</t>
        </is>
      </c>
      <c r="C197" s="56" t="n">
        <v>54</v>
      </c>
      <c r="D197" s="56" t="inlineStr">
        <is>
          <t>EMP-1026</t>
        </is>
      </c>
      <c r="E197" s="56" t="inlineStr">
        <is>
          <t>Fairhaven Associates</t>
        </is>
      </c>
      <c r="F197" s="56">
        <f>IFERROR(INDEX('Employer Master'!$L$5:$L$99,MATCH(D197,'Employer Master'!$A$5:$A$99,0)),"")</f>
        <v/>
      </c>
      <c r="G197" s="56" t="inlineStr">
        <is>
          <t>Life</t>
        </is>
      </c>
      <c r="H197" s="56" t="n">
        <v>2</v>
      </c>
      <c r="I197" s="56">
        <f>IF(H197&gt;1,"yes","")</f>
        <v/>
      </c>
    </row>
    <row r="198" ht="15" customHeight="1" s="48">
      <c r="A198" s="58" t="inlineStr">
        <is>
          <t>CB-7700194</t>
        </is>
      </c>
      <c r="B198" s="58" t="inlineStr">
        <is>
          <t>Elena Foster</t>
        </is>
      </c>
      <c r="C198" s="58" t="n">
        <v>57</v>
      </c>
      <c r="D198" s="58" t="inlineStr">
        <is>
          <t>EMP-1026</t>
        </is>
      </c>
      <c r="E198" s="58" t="inlineStr">
        <is>
          <t>Fairhaven Associates</t>
        </is>
      </c>
      <c r="F198" s="58">
        <f>IFERROR(INDEX('Employer Master'!$L$5:$L$99,MATCH(D198,'Employer Master'!$A$5:$A$99,0)),"")</f>
        <v/>
      </c>
      <c r="G198" s="58" t="inlineStr">
        <is>
          <t>Dental</t>
        </is>
      </c>
      <c r="H198" s="58" t="n">
        <v>1</v>
      </c>
      <c r="I198" s="58">
        <f>IF(H198&gt;1,"yes","")</f>
        <v/>
      </c>
    </row>
    <row r="199" ht="15" customHeight="1" s="48">
      <c r="A199" s="56" t="inlineStr">
        <is>
          <t>CB-7700195</t>
        </is>
      </c>
      <c r="B199" s="56" t="inlineStr">
        <is>
          <t>Kwesi MacAllister</t>
        </is>
      </c>
      <c r="C199" s="56" t="n">
        <v>58</v>
      </c>
      <c r="D199" s="56" t="inlineStr">
        <is>
          <t>EMP-1026</t>
        </is>
      </c>
      <c r="E199" s="56" t="inlineStr">
        <is>
          <t>Fairhaven Associates</t>
        </is>
      </c>
      <c r="F199" s="56">
        <f>IFERROR(INDEX('Employer Master'!$L$5:$L$99,MATCH(D199,'Employer Master'!$A$5:$A$99,0)),"")</f>
        <v/>
      </c>
      <c r="G199" s="56" t="inlineStr">
        <is>
          <t>Dental</t>
        </is>
      </c>
      <c r="H199" s="56" t="n">
        <v>1</v>
      </c>
      <c r="I199" s="56">
        <f>IF(H199&gt;1,"yes","")</f>
        <v/>
      </c>
    </row>
    <row r="200" ht="15" customHeight="1" s="48">
      <c r="A200" s="58" t="inlineStr">
        <is>
          <t>CB-7700196</t>
        </is>
      </c>
      <c r="B200" s="58" t="inlineStr">
        <is>
          <t>Perrine Dragomir</t>
        </is>
      </c>
      <c r="C200" s="58" t="n">
        <v>23</v>
      </c>
      <c r="D200" s="58" t="inlineStr">
        <is>
          <t>EMP-1027</t>
        </is>
      </c>
      <c r="E200" s="58" t="inlineStr">
        <is>
          <t>Granite Bay Systems</t>
        </is>
      </c>
      <c r="F200" s="58">
        <f>IFERROR(INDEX('Employer Master'!$L$5:$L$99,MATCH(D200,'Employer Master'!$A$5:$A$99,0)),"")</f>
        <v/>
      </c>
      <c r="G200" s="58" t="inlineStr">
        <is>
          <t>Vision</t>
        </is>
      </c>
      <c r="H200" s="58" t="n">
        <v>2</v>
      </c>
      <c r="I200" s="58">
        <f>IF(H200&gt;1,"yes","")</f>
        <v/>
      </c>
    </row>
    <row r="201" ht="15" customHeight="1" s="48">
      <c r="A201" s="56" t="inlineStr">
        <is>
          <t>CB-7700197</t>
        </is>
      </c>
      <c r="B201" s="56" t="inlineStr">
        <is>
          <t>Ulises MacAllister</t>
        </is>
      </c>
      <c r="C201" s="56" t="n">
        <v>40</v>
      </c>
      <c r="D201" s="56" t="inlineStr">
        <is>
          <t>EMP-1027</t>
        </is>
      </c>
      <c r="E201" s="56" t="inlineStr">
        <is>
          <t>Granite Bay Systems</t>
        </is>
      </c>
      <c r="F201" s="56">
        <f>IFERROR(INDEX('Employer Master'!$L$5:$L$99,MATCH(D201,'Employer Master'!$A$5:$A$99,0)),"")</f>
        <v/>
      </c>
      <c r="G201" s="56" t="inlineStr">
        <is>
          <t>Chiro</t>
        </is>
      </c>
      <c r="H201" s="56" t="n">
        <v>1</v>
      </c>
      <c r="I201" s="56">
        <f>IF(H201&gt;1,"yes","")</f>
        <v/>
      </c>
    </row>
    <row r="202" ht="15" customHeight="1" s="48">
      <c r="A202" s="58" t="inlineStr">
        <is>
          <t>CB-7700198</t>
        </is>
      </c>
      <c r="B202" s="58" t="inlineStr">
        <is>
          <t>Osric Abernathy</t>
        </is>
      </c>
      <c r="C202" s="58" t="n">
        <v>36</v>
      </c>
      <c r="D202" s="58" t="inlineStr">
        <is>
          <t>EMP-1027</t>
        </is>
      </c>
      <c r="E202" s="58" t="inlineStr">
        <is>
          <t>Granite Bay Systems</t>
        </is>
      </c>
      <c r="F202" s="58">
        <f>IFERROR(INDEX('Employer Master'!$L$5:$L$99,MATCH(D202,'Employer Master'!$A$5:$A$99,0)),"")</f>
        <v/>
      </c>
      <c r="G202" s="58" t="inlineStr">
        <is>
          <t>Dental</t>
        </is>
      </c>
      <c r="H202" s="58" t="n">
        <v>1</v>
      </c>
      <c r="I202" s="58">
        <f>IF(H202&gt;1,"yes","")</f>
        <v/>
      </c>
    </row>
    <row r="203" ht="15" customHeight="1" s="48">
      <c r="A203" s="56" t="inlineStr">
        <is>
          <t>CB-7700199</t>
        </is>
      </c>
      <c r="B203" s="56" t="inlineStr">
        <is>
          <t>Rafael Okafor</t>
        </is>
      </c>
      <c r="C203" s="56" t="n">
        <v>60</v>
      </c>
      <c r="D203" s="56" t="inlineStr">
        <is>
          <t>EMP-1028</t>
        </is>
      </c>
      <c r="E203" s="56" t="inlineStr">
        <is>
          <t>Highpoint Staffing</t>
        </is>
      </c>
      <c r="F203" s="56">
        <f>IFERROR(INDEX('Employer Master'!$L$5:$L$99,MATCH(D203,'Employer Master'!$A$5:$A$99,0)),"")</f>
        <v/>
      </c>
      <c r="G203" s="56" t="inlineStr">
        <is>
          <t>Dental</t>
        </is>
      </c>
      <c r="H203" s="56" t="n">
        <v>2</v>
      </c>
      <c r="I203" s="56">
        <f>IF(H203&gt;1,"yes","")</f>
        <v/>
      </c>
    </row>
    <row r="204" ht="15" customHeight="1" s="48">
      <c r="A204" s="58" t="inlineStr">
        <is>
          <t>CB-7700200</t>
        </is>
      </c>
      <c r="B204" s="58" t="inlineStr">
        <is>
          <t>Kamal Bakri</t>
        </is>
      </c>
      <c r="C204" s="58" t="n">
        <v>40</v>
      </c>
      <c r="D204" s="58" t="inlineStr">
        <is>
          <t>EMP-1028</t>
        </is>
      </c>
      <c r="E204" s="58" t="inlineStr">
        <is>
          <t>Highpoint Staffing</t>
        </is>
      </c>
      <c r="F204" s="58">
        <f>IFERROR(INDEX('Employer Master'!$L$5:$L$99,MATCH(D204,'Employer Master'!$A$5:$A$99,0)),"")</f>
        <v/>
      </c>
      <c r="G204" s="58" t="inlineStr">
        <is>
          <t>Dental</t>
        </is>
      </c>
      <c r="H204" s="58" t="n">
        <v>1</v>
      </c>
      <c r="I204" s="58">
        <f>IF(H204&gt;1,"yes","")</f>
        <v/>
      </c>
    </row>
    <row r="205" ht="15" customHeight="1" s="48">
      <c r="A205" s="56" t="inlineStr">
        <is>
          <t>CB-7700201</t>
        </is>
      </c>
      <c r="B205" s="56" t="inlineStr">
        <is>
          <t>Denise Lindgren</t>
        </is>
      </c>
      <c r="C205" s="56" t="n">
        <v>62</v>
      </c>
      <c r="D205" s="56" t="inlineStr">
        <is>
          <t>EMP-1028</t>
        </is>
      </c>
      <c r="E205" s="56" t="inlineStr">
        <is>
          <t>Highpoint Staffing</t>
        </is>
      </c>
      <c r="F205" s="56">
        <f>IFERROR(INDEX('Employer Master'!$L$5:$L$99,MATCH(D205,'Employer Master'!$A$5:$A$99,0)),"")</f>
        <v/>
      </c>
      <c r="G205" s="56" t="inlineStr">
        <is>
          <t>Life</t>
        </is>
      </c>
      <c r="H205" s="56" t="n">
        <v>1</v>
      </c>
      <c r="I205" s="56">
        <f>IF(H205&gt;1,"yes","")</f>
        <v/>
      </c>
    </row>
    <row r="206" ht="15" customHeight="1" s="48">
      <c r="A206" s="58" t="inlineStr">
        <is>
          <t>CB-7700202</t>
        </is>
      </c>
      <c r="B206" s="58" t="inlineStr">
        <is>
          <t>Jolene Hobbs</t>
        </is>
      </c>
      <c r="C206" s="58" t="n">
        <v>35</v>
      </c>
      <c r="D206" s="58" t="inlineStr">
        <is>
          <t>EMP-1029</t>
        </is>
      </c>
      <c r="E206" s="58" t="inlineStr">
        <is>
          <t>Junipero Restaurant Group</t>
        </is>
      </c>
      <c r="F206" s="58">
        <f>IFERROR(INDEX('Employer Master'!$L$5:$L$99,MATCH(D206,'Employer Master'!$A$5:$A$99,0)),"")</f>
        <v/>
      </c>
      <c r="G206" s="58" t="inlineStr">
        <is>
          <t>Dental</t>
        </is>
      </c>
      <c r="H206" s="58" t="n">
        <v>2</v>
      </c>
      <c r="I206" s="58">
        <f>IF(H206&gt;1,"yes","")</f>
        <v/>
      </c>
    </row>
    <row r="207" ht="15" customHeight="1" s="48">
      <c r="A207" s="56" t="inlineStr">
        <is>
          <t>CB-7700203</t>
        </is>
      </c>
      <c r="B207" s="56" t="inlineStr">
        <is>
          <t>Marcus Winters</t>
        </is>
      </c>
      <c r="C207" s="56" t="n">
        <v>46</v>
      </c>
      <c r="D207" s="56" t="inlineStr">
        <is>
          <t>EMP-1029</t>
        </is>
      </c>
      <c r="E207" s="56" t="inlineStr">
        <is>
          <t>Junipero Restaurant Group</t>
        </is>
      </c>
      <c r="F207" s="56">
        <f>IFERROR(INDEX('Employer Master'!$L$5:$L$99,MATCH(D207,'Employer Master'!$A$5:$A$99,0)),"")</f>
        <v/>
      </c>
      <c r="G207" s="56" t="inlineStr">
        <is>
          <t>Dental</t>
        </is>
      </c>
      <c r="H207" s="56" t="n">
        <v>1</v>
      </c>
      <c r="I207" s="56">
        <f>IF(H207&gt;1,"yes","")</f>
        <v/>
      </c>
    </row>
    <row r="208" ht="15" customHeight="1" s="48">
      <c r="A208" s="58" t="inlineStr">
        <is>
          <t>CB-7700204</t>
        </is>
      </c>
      <c r="B208" s="58" t="inlineStr">
        <is>
          <t>Cyril Sorensen</t>
        </is>
      </c>
      <c r="C208" s="58" t="n">
        <v>63</v>
      </c>
      <c r="D208" s="58" t="inlineStr">
        <is>
          <t>EMP-1029</t>
        </is>
      </c>
      <c r="E208" s="58" t="inlineStr">
        <is>
          <t>Junipero Restaurant Group</t>
        </is>
      </c>
      <c r="F208" s="58">
        <f>IFERROR(INDEX('Employer Master'!$L$5:$L$99,MATCH(D208,'Employer Master'!$A$5:$A$99,0)),"")</f>
        <v/>
      </c>
      <c r="G208" s="58" t="inlineStr">
        <is>
          <t>Dental</t>
        </is>
      </c>
      <c r="H208" s="58" t="n">
        <v>1</v>
      </c>
      <c r="I208" s="58">
        <f>IF(H208&gt;1,"yes","")</f>
        <v/>
      </c>
    </row>
    <row r="209" ht="15" customHeight="1" s="48">
      <c r="A209" s="56" t="inlineStr">
        <is>
          <t>CB-7700205</t>
        </is>
      </c>
      <c r="B209" s="56" t="inlineStr">
        <is>
          <t>Leon Castellano</t>
        </is>
      </c>
      <c r="C209" s="56" t="n">
        <v>62</v>
      </c>
      <c r="D209" s="56" t="inlineStr">
        <is>
          <t>EMP-1030</t>
        </is>
      </c>
      <c r="E209" s="56" t="inlineStr">
        <is>
          <t>Kingsley Mechanical</t>
        </is>
      </c>
      <c r="F209" s="56">
        <f>IFERROR(INDEX('Employer Master'!$L$5:$L$99,MATCH(D209,'Employer Master'!$A$5:$A$99,0)),"")</f>
        <v/>
      </c>
      <c r="G209" s="56" t="inlineStr">
        <is>
          <t>Vision</t>
        </is>
      </c>
      <c r="H209" s="56" t="n">
        <v>2</v>
      </c>
      <c r="I209" s="56">
        <f>IF(H209&gt;1,"yes","")</f>
        <v/>
      </c>
    </row>
    <row r="210" ht="15" customHeight="1" s="48">
      <c r="A210" s="58" t="inlineStr">
        <is>
          <t>CB-7700206</t>
        </is>
      </c>
      <c r="B210" s="58" t="inlineStr">
        <is>
          <t>Delia Dubois</t>
        </is>
      </c>
      <c r="C210" s="58" t="n">
        <v>31</v>
      </c>
      <c r="D210" s="58" t="inlineStr">
        <is>
          <t>EMP-1030</t>
        </is>
      </c>
      <c r="E210" s="58" t="inlineStr">
        <is>
          <t>Kingsley Mechanical</t>
        </is>
      </c>
      <c r="F210" s="58">
        <f>IFERROR(INDEX('Employer Master'!$L$5:$L$99,MATCH(D210,'Employer Master'!$A$5:$A$99,0)),"")</f>
        <v/>
      </c>
      <c r="G210" s="58" t="inlineStr">
        <is>
          <t>Vision</t>
        </is>
      </c>
      <c r="H210" s="58" t="n">
        <v>1</v>
      </c>
      <c r="I210" s="58">
        <f>IF(H210&gt;1,"yes","")</f>
        <v/>
      </c>
    </row>
    <row r="211" ht="15" customHeight="1" s="48">
      <c r="A211" s="56" t="inlineStr">
        <is>
          <t>CB-7700207</t>
        </is>
      </c>
      <c r="B211" s="56" t="inlineStr">
        <is>
          <t>Petra Okonkwo</t>
        </is>
      </c>
      <c r="C211" s="56" t="n">
        <v>45</v>
      </c>
      <c r="D211" s="56" t="inlineStr">
        <is>
          <t>EMP-1030</t>
        </is>
      </c>
      <c r="E211" s="56" t="inlineStr">
        <is>
          <t>Kingsley Mechanical</t>
        </is>
      </c>
      <c r="F211" s="56">
        <f>IFERROR(INDEX('Employer Master'!$L$5:$L$99,MATCH(D211,'Employer Master'!$A$5:$A$99,0)),"")</f>
        <v/>
      </c>
      <c r="G211" s="56" t="inlineStr">
        <is>
          <t>Dental</t>
        </is>
      </c>
      <c r="H211" s="56" t="n">
        <v>1</v>
      </c>
      <c r="I211" s="56">
        <f>IF(H211&gt;1,"yes","")</f>
        <v/>
      </c>
    </row>
    <row r="212" ht="15" customHeight="1" s="48">
      <c r="A212" s="58" t="inlineStr">
        <is>
          <t>CB-7700208</t>
        </is>
      </c>
      <c r="B212" s="58" t="inlineStr">
        <is>
          <t>Quincy Beaumont</t>
        </is>
      </c>
      <c r="C212" s="58" t="n">
        <v>54</v>
      </c>
      <c r="D212" s="58" t="inlineStr">
        <is>
          <t>EMP-1031</t>
        </is>
      </c>
      <c r="E212" s="58" t="inlineStr">
        <is>
          <t>Larkspur Manufacturing</t>
        </is>
      </c>
      <c r="F212" s="58">
        <f>IFERROR(INDEX('Employer Master'!$L$5:$L$99,MATCH(D212,'Employer Master'!$A$5:$A$99,0)),"")</f>
        <v/>
      </c>
      <c r="G212" s="58" t="inlineStr">
        <is>
          <t>Dental</t>
        </is>
      </c>
      <c r="H212" s="58" t="n">
        <v>2</v>
      </c>
      <c r="I212" s="58">
        <f>IF(H212&gt;1,"yes","")</f>
        <v/>
      </c>
    </row>
    <row r="213" ht="15" customHeight="1" s="48">
      <c r="A213" s="56" t="inlineStr">
        <is>
          <t>CB-7700209</t>
        </is>
      </c>
      <c r="B213" s="56" t="inlineStr">
        <is>
          <t>Emeka Okonkwo</t>
        </is>
      </c>
      <c r="C213" s="56" t="n">
        <v>30</v>
      </c>
      <c r="D213" s="56" t="inlineStr">
        <is>
          <t>EMP-1031</t>
        </is>
      </c>
      <c r="E213" s="56" t="inlineStr">
        <is>
          <t>Larkspur Manufacturing</t>
        </is>
      </c>
      <c r="F213" s="56">
        <f>IFERROR(INDEX('Employer Master'!$L$5:$L$99,MATCH(D213,'Employer Master'!$A$5:$A$99,0)),"")</f>
        <v/>
      </c>
      <c r="G213" s="56" t="inlineStr">
        <is>
          <t>Vision</t>
        </is>
      </c>
      <c r="H213" s="56" t="n">
        <v>1</v>
      </c>
      <c r="I213" s="56">
        <f>IF(H213&gt;1,"yes","")</f>
        <v/>
      </c>
    </row>
    <row r="214" ht="15" customHeight="1" s="48">
      <c r="A214" s="58" t="inlineStr">
        <is>
          <t>CB-7700210</t>
        </is>
      </c>
      <c r="B214" s="58" t="inlineStr">
        <is>
          <t>Nikhil Delgado</t>
        </is>
      </c>
      <c r="C214" s="58" t="n">
        <v>37</v>
      </c>
      <c r="D214" s="58" t="inlineStr">
        <is>
          <t>EMP-1031</t>
        </is>
      </c>
      <c r="E214" s="58" t="inlineStr">
        <is>
          <t>Larkspur Manufacturing</t>
        </is>
      </c>
      <c r="F214" s="58">
        <f>IFERROR(INDEX('Employer Master'!$L$5:$L$99,MATCH(D214,'Employer Master'!$A$5:$A$99,0)),"")</f>
        <v/>
      </c>
      <c r="G214" s="58" t="inlineStr">
        <is>
          <t>Vision</t>
        </is>
      </c>
      <c r="H214" s="58" t="n">
        <v>1</v>
      </c>
      <c r="I214" s="58">
        <f>IF(H214&gt;1,"yes","")</f>
        <v/>
      </c>
    </row>
    <row r="215" ht="15" customHeight="1" s="48">
      <c r="A215" s="56" t="inlineStr">
        <is>
          <t>CB-7700211</t>
        </is>
      </c>
      <c r="B215" s="56" t="inlineStr">
        <is>
          <t>Mateo Nkemdi</t>
        </is>
      </c>
      <c r="C215" s="56" t="n">
        <v>49</v>
      </c>
      <c r="D215" s="56" t="inlineStr">
        <is>
          <t>EMP-1032</t>
        </is>
      </c>
      <c r="E215" s="56" t="inlineStr">
        <is>
          <t>Montrose Medical Group</t>
        </is>
      </c>
      <c r="F215" s="56">
        <f>IFERROR(INDEX('Employer Master'!$L$5:$L$99,MATCH(D215,'Employer Master'!$A$5:$A$99,0)),"")</f>
        <v/>
      </c>
      <c r="G215" s="56" t="inlineStr">
        <is>
          <t>Dental</t>
        </is>
      </c>
      <c r="H215" s="56" t="n">
        <v>2</v>
      </c>
      <c r="I215" s="56">
        <f>IF(H215&gt;1,"yes","")</f>
        <v/>
      </c>
    </row>
    <row r="216" ht="15" customHeight="1" s="48">
      <c r="A216" s="58" t="inlineStr">
        <is>
          <t>CB-7700212</t>
        </is>
      </c>
      <c r="B216" s="58" t="inlineStr">
        <is>
          <t>Gilles Aziz</t>
        </is>
      </c>
      <c r="C216" s="58" t="n">
        <v>63</v>
      </c>
      <c r="D216" s="58" t="inlineStr">
        <is>
          <t>EMP-1032</t>
        </is>
      </c>
      <c r="E216" s="58" t="inlineStr">
        <is>
          <t>Montrose Medical Group</t>
        </is>
      </c>
      <c r="F216" s="58">
        <f>IFERROR(INDEX('Employer Master'!$L$5:$L$99,MATCH(D216,'Employer Master'!$A$5:$A$99,0)),"")</f>
        <v/>
      </c>
      <c r="G216" s="58" t="inlineStr">
        <is>
          <t>Chiro</t>
        </is>
      </c>
      <c r="H216" s="58" t="n">
        <v>1</v>
      </c>
      <c r="I216" s="58">
        <f>IF(H216&gt;1,"yes","")</f>
        <v/>
      </c>
    </row>
    <row r="217" ht="15" customHeight="1" s="48">
      <c r="A217" s="56" t="inlineStr">
        <is>
          <t>CB-7700213</t>
        </is>
      </c>
      <c r="B217" s="56" t="inlineStr">
        <is>
          <t>Harold Arellano</t>
        </is>
      </c>
      <c r="C217" s="56" t="n">
        <v>44</v>
      </c>
      <c r="D217" s="56" t="inlineStr">
        <is>
          <t>EMP-1032</t>
        </is>
      </c>
      <c r="E217" s="56" t="inlineStr">
        <is>
          <t>Montrose Medical Group</t>
        </is>
      </c>
      <c r="F217" s="56">
        <f>IFERROR(INDEX('Employer Master'!$L$5:$L$99,MATCH(D217,'Employer Master'!$A$5:$A$99,0)),"")</f>
        <v/>
      </c>
      <c r="G217" s="56" t="inlineStr">
        <is>
          <t>Chiro</t>
        </is>
      </c>
      <c r="H217" s="56" t="n">
        <v>1</v>
      </c>
      <c r="I217" s="56">
        <f>IF(H217&gt;1,"yes","")</f>
        <v/>
      </c>
    </row>
    <row r="218" ht="15" customHeight="1" s="48">
      <c r="A218" s="58" t="inlineStr">
        <is>
          <t>CB-7700214</t>
        </is>
      </c>
      <c r="B218" s="58" t="inlineStr">
        <is>
          <t>Nikhil Wexler</t>
        </is>
      </c>
      <c r="C218" s="58" t="n">
        <v>40</v>
      </c>
      <c r="D218" s="58" t="inlineStr">
        <is>
          <t>EMP-1033</t>
        </is>
      </c>
      <c r="E218" s="58" t="inlineStr">
        <is>
          <t>Nevins Markets</t>
        </is>
      </c>
      <c r="F218" s="58">
        <f>IFERROR(INDEX('Employer Master'!$L$5:$L$99,MATCH(D218,'Employer Master'!$A$5:$A$99,0)),"")</f>
        <v/>
      </c>
      <c r="G218" s="58" t="inlineStr">
        <is>
          <t>Dental</t>
        </is>
      </c>
      <c r="H218" s="58" t="n">
        <v>2</v>
      </c>
      <c r="I218" s="58">
        <f>IF(H218&gt;1,"yes","")</f>
        <v/>
      </c>
    </row>
    <row r="219" ht="15" customHeight="1" s="48">
      <c r="A219" s="56" t="inlineStr">
        <is>
          <t>CB-7700215</t>
        </is>
      </c>
      <c r="B219" s="56" t="inlineStr">
        <is>
          <t>Odette Bell</t>
        </is>
      </c>
      <c r="C219" s="56" t="n">
        <v>23</v>
      </c>
      <c r="D219" s="56" t="inlineStr">
        <is>
          <t>EMP-1033</t>
        </is>
      </c>
      <c r="E219" s="56" t="inlineStr">
        <is>
          <t>Nevins Markets</t>
        </is>
      </c>
      <c r="F219" s="56">
        <f>IFERROR(INDEX('Employer Master'!$L$5:$L$99,MATCH(D219,'Employer Master'!$A$5:$A$99,0)),"")</f>
        <v/>
      </c>
      <c r="G219" s="56" t="inlineStr">
        <is>
          <t>Dental</t>
        </is>
      </c>
      <c r="H219" s="56" t="n">
        <v>1</v>
      </c>
      <c r="I219" s="56">
        <f>IF(H219&gt;1,"yes","")</f>
        <v/>
      </c>
    </row>
    <row r="220" ht="15" customHeight="1" s="48">
      <c r="A220" s="58" t="inlineStr">
        <is>
          <t>CB-7700216</t>
        </is>
      </c>
      <c r="B220" s="58" t="inlineStr">
        <is>
          <t>Delia Demir</t>
        </is>
      </c>
      <c r="C220" s="58" t="n">
        <v>60</v>
      </c>
      <c r="D220" s="58" t="inlineStr">
        <is>
          <t>EMP-1033</t>
        </is>
      </c>
      <c r="E220" s="58" t="inlineStr">
        <is>
          <t>Nevins Markets</t>
        </is>
      </c>
      <c r="F220" s="58">
        <f>IFERROR(INDEX('Employer Master'!$L$5:$L$99,MATCH(D220,'Employer Master'!$A$5:$A$99,0)),"")</f>
        <v/>
      </c>
      <c r="G220" s="58" t="inlineStr">
        <is>
          <t>Dental</t>
        </is>
      </c>
      <c r="H220" s="58" t="n">
        <v>1</v>
      </c>
      <c r="I220" s="58">
        <f>IF(H220&gt;1,"yes","")</f>
        <v/>
      </c>
    </row>
    <row r="221" ht="15" customHeight="1" s="48">
      <c r="A221" s="56" t="inlineStr">
        <is>
          <t>CB-7700217</t>
        </is>
      </c>
      <c r="B221" s="56" t="inlineStr">
        <is>
          <t>Jonah Nkemdi</t>
        </is>
      </c>
      <c r="C221" s="56" t="n">
        <v>40</v>
      </c>
      <c r="D221" s="56" t="inlineStr">
        <is>
          <t>EMP-1034</t>
        </is>
      </c>
      <c r="E221" s="56" t="inlineStr">
        <is>
          <t>Ocotillo Transport</t>
        </is>
      </c>
      <c r="F221" s="56">
        <f>IFERROR(INDEX('Employer Master'!$L$5:$L$99,MATCH(D221,'Employer Master'!$A$5:$A$99,0)),"")</f>
        <v/>
      </c>
      <c r="G221" s="56" t="inlineStr">
        <is>
          <t>Chiro</t>
        </is>
      </c>
      <c r="H221" s="56" t="n">
        <v>2</v>
      </c>
      <c r="I221" s="56">
        <f>IF(H221&gt;1,"yes","")</f>
        <v/>
      </c>
    </row>
    <row r="222" ht="15" customHeight="1" s="48">
      <c r="A222" s="58" t="inlineStr">
        <is>
          <t>CB-7700218</t>
        </is>
      </c>
      <c r="B222" s="58" t="inlineStr">
        <is>
          <t>Ulises Thompson</t>
        </is>
      </c>
      <c r="C222" s="58" t="n">
        <v>57</v>
      </c>
      <c r="D222" s="58" t="inlineStr">
        <is>
          <t>EMP-1034</t>
        </is>
      </c>
      <c r="E222" s="58" t="inlineStr">
        <is>
          <t>Ocotillo Transport</t>
        </is>
      </c>
      <c r="F222" s="58">
        <f>IFERROR(INDEX('Employer Master'!$L$5:$L$99,MATCH(D222,'Employer Master'!$A$5:$A$99,0)),"")</f>
        <v/>
      </c>
      <c r="G222" s="58" t="inlineStr">
        <is>
          <t>Dental</t>
        </is>
      </c>
      <c r="H222" s="58" t="n">
        <v>1</v>
      </c>
      <c r="I222" s="58">
        <f>IF(H222&gt;1,"yes","")</f>
        <v/>
      </c>
    </row>
    <row r="223" ht="15" customHeight="1" s="48">
      <c r="A223" s="56" t="inlineStr">
        <is>
          <t>CB-7700219</t>
        </is>
      </c>
      <c r="B223" s="56" t="inlineStr">
        <is>
          <t>Osric Raman</t>
        </is>
      </c>
      <c r="C223" s="56" t="n">
        <v>36</v>
      </c>
      <c r="D223" s="56" t="inlineStr">
        <is>
          <t>EMP-1035</t>
        </is>
      </c>
      <c r="E223" s="56" t="inlineStr">
        <is>
          <t>Pinecrest Associates</t>
        </is>
      </c>
      <c r="F223" s="56">
        <f>IFERROR(INDEX('Employer Master'!$L$5:$L$99,MATCH(D223,'Employer Master'!$A$5:$A$99,0)),"")</f>
        <v/>
      </c>
      <c r="G223" s="56" t="inlineStr">
        <is>
          <t>Vision</t>
        </is>
      </c>
      <c r="H223" s="56" t="n">
        <v>2</v>
      </c>
      <c r="I223" s="56">
        <f>IF(H223&gt;1,"yes","")</f>
        <v/>
      </c>
    </row>
    <row r="224" ht="15" customHeight="1" s="48">
      <c r="A224" s="58" t="inlineStr">
        <is>
          <t>CB-7700220</t>
        </is>
      </c>
      <c r="B224" s="58" t="inlineStr">
        <is>
          <t>Derek Arellano</t>
        </is>
      </c>
      <c r="C224" s="58" t="n">
        <v>46</v>
      </c>
      <c r="D224" s="58" t="inlineStr">
        <is>
          <t>EMP-1035</t>
        </is>
      </c>
      <c r="E224" s="58" t="inlineStr">
        <is>
          <t>Pinecrest Associates</t>
        </is>
      </c>
      <c r="F224" s="58">
        <f>IFERROR(INDEX('Employer Master'!$L$5:$L$99,MATCH(D224,'Employer Master'!$A$5:$A$99,0)),"")</f>
        <v/>
      </c>
      <c r="G224" s="58" t="inlineStr">
        <is>
          <t>Dental</t>
        </is>
      </c>
      <c r="H224" s="58" t="n">
        <v>1</v>
      </c>
      <c r="I224" s="58">
        <f>IF(H224&gt;1,"yes","")</f>
        <v/>
      </c>
    </row>
    <row r="225" ht="15" customHeight="1" s="48">
      <c r="A225" s="56" t="inlineStr">
        <is>
          <t>CB-7700221</t>
        </is>
      </c>
      <c r="B225" s="56" t="inlineStr">
        <is>
          <t>Terrence Yamamoto</t>
        </is>
      </c>
      <c r="C225" s="56" t="n">
        <v>24</v>
      </c>
      <c r="D225" s="56" t="inlineStr">
        <is>
          <t>EMP-1036</t>
        </is>
      </c>
      <c r="E225" s="56" t="inlineStr">
        <is>
          <t>Quarry Road Data Group</t>
        </is>
      </c>
      <c r="F225" s="56">
        <f>IFERROR(INDEX('Employer Master'!$L$5:$L$99,MATCH(D225,'Employer Master'!$A$5:$A$99,0)),"")</f>
        <v/>
      </c>
      <c r="G225" s="56" t="inlineStr">
        <is>
          <t>Life</t>
        </is>
      </c>
      <c r="H225" s="56" t="n">
        <v>2</v>
      </c>
      <c r="I225" s="56">
        <f>IF(H225&gt;1,"yes","")</f>
        <v/>
      </c>
    </row>
    <row r="226" ht="15" customHeight="1" s="48">
      <c r="A226" s="58" t="inlineStr">
        <is>
          <t>CB-7700222</t>
        </is>
      </c>
      <c r="B226" s="58" t="inlineStr">
        <is>
          <t>Perrine Nasser</t>
        </is>
      </c>
      <c r="C226" s="58" t="n">
        <v>27</v>
      </c>
      <c r="D226" s="58" t="inlineStr">
        <is>
          <t>EMP-1036</t>
        </is>
      </c>
      <c r="E226" s="58" t="inlineStr">
        <is>
          <t>Quarry Road Data Group</t>
        </is>
      </c>
      <c r="F226" s="58">
        <f>IFERROR(INDEX('Employer Master'!$L$5:$L$99,MATCH(D226,'Employer Master'!$A$5:$A$99,0)),"")</f>
        <v/>
      </c>
      <c r="G226" s="58" t="inlineStr">
        <is>
          <t>Life</t>
        </is>
      </c>
      <c r="H226" s="58" t="n">
        <v>1</v>
      </c>
      <c r="I226" s="58">
        <f>IF(H226&gt;1,"yes","")</f>
        <v/>
      </c>
    </row>
    <row r="227" ht="15" customHeight="1" s="48">
      <c r="A227" s="56" t="inlineStr">
        <is>
          <t>CB-7700223</t>
        </is>
      </c>
      <c r="B227" s="56" t="inlineStr">
        <is>
          <t>Xiomara Pryor</t>
        </is>
      </c>
      <c r="C227" s="56" t="n">
        <v>55</v>
      </c>
      <c r="D227" s="56" t="inlineStr">
        <is>
          <t>EMP-1037</t>
        </is>
      </c>
      <c r="E227" s="56" t="inlineStr">
        <is>
          <t>Redbud Staffing</t>
        </is>
      </c>
      <c r="F227" s="56">
        <f>IFERROR(INDEX('Employer Master'!$L$5:$L$99,MATCH(D227,'Employer Master'!$A$5:$A$99,0)),"")</f>
        <v/>
      </c>
      <c r="G227" s="56" t="inlineStr">
        <is>
          <t>Vision</t>
        </is>
      </c>
      <c r="H227" s="56" t="n">
        <v>2</v>
      </c>
      <c r="I227" s="56">
        <f>IF(H227&gt;1,"yes","")</f>
        <v/>
      </c>
    </row>
    <row r="228" ht="15" customHeight="1" s="48">
      <c r="A228" s="58" t="inlineStr">
        <is>
          <t>CB-7700224</t>
        </is>
      </c>
      <c r="B228" s="58" t="inlineStr">
        <is>
          <t>Rhona Jaramillo</t>
        </is>
      </c>
      <c r="C228" s="58" t="n">
        <v>37</v>
      </c>
      <c r="D228" s="58" t="inlineStr">
        <is>
          <t>EMP-1037</t>
        </is>
      </c>
      <c r="E228" s="58" t="inlineStr">
        <is>
          <t>Redbud Staffing</t>
        </is>
      </c>
      <c r="F228" s="58">
        <f>IFERROR(INDEX('Employer Master'!$L$5:$L$99,MATCH(D228,'Employer Master'!$A$5:$A$99,0)),"")</f>
        <v/>
      </c>
      <c r="G228" s="58" t="inlineStr">
        <is>
          <t>Dental</t>
        </is>
      </c>
      <c r="H228" s="58" t="n">
        <v>1</v>
      </c>
      <c r="I228" s="58">
        <f>IF(H228&gt;1,"yes","")</f>
        <v/>
      </c>
    </row>
    <row r="229" ht="15" customHeight="1" s="48">
      <c r="A229" s="56" t="inlineStr">
        <is>
          <t>CB-7700225</t>
        </is>
      </c>
      <c r="B229" s="56" t="inlineStr">
        <is>
          <t>Nadia Okonjo</t>
        </is>
      </c>
      <c r="C229" s="56" t="n">
        <v>37</v>
      </c>
      <c r="D229" s="56" t="inlineStr">
        <is>
          <t>EMP-1038</t>
        </is>
      </c>
      <c r="E229" s="56" t="inlineStr">
        <is>
          <t>Sierra Vista Hospitality Group</t>
        </is>
      </c>
      <c r="F229" s="56">
        <f>IFERROR(INDEX('Employer Master'!$L$5:$L$99,MATCH(D229,'Employer Master'!$A$5:$A$99,0)),"")</f>
        <v/>
      </c>
      <c r="G229" s="56" t="inlineStr">
        <is>
          <t>Vision</t>
        </is>
      </c>
      <c r="H229" s="56" t="n">
        <v>2</v>
      </c>
      <c r="I229" s="56">
        <f>IF(H229&gt;1,"yes","")</f>
        <v/>
      </c>
    </row>
    <row r="230" ht="15" customHeight="1" s="48">
      <c r="A230" s="58" t="inlineStr">
        <is>
          <t>CB-7700226</t>
        </is>
      </c>
      <c r="B230" s="58" t="inlineStr">
        <is>
          <t>Nadira Rasmussen</t>
        </is>
      </c>
      <c r="C230" s="58" t="n">
        <v>30</v>
      </c>
      <c r="D230" s="58" t="inlineStr">
        <is>
          <t>EMP-1038</t>
        </is>
      </c>
      <c r="E230" s="58" t="inlineStr">
        <is>
          <t>Sierra Vista Hospitality Group</t>
        </is>
      </c>
      <c r="F230" s="58">
        <f>IFERROR(INDEX('Employer Master'!$L$5:$L$99,MATCH(D230,'Employer Master'!$A$5:$A$99,0)),"")</f>
        <v/>
      </c>
      <c r="G230" s="58" t="inlineStr">
        <is>
          <t>Chiro</t>
        </is>
      </c>
      <c r="H230" s="58" t="n">
        <v>1</v>
      </c>
      <c r="I230" s="58">
        <f>IF(H230&gt;1,"yes","")</f>
        <v/>
      </c>
    </row>
    <row r="231" ht="15" customHeight="1" s="48">
      <c r="A231" s="56" t="inlineStr">
        <is>
          <t>CB-7700227</t>
        </is>
      </c>
      <c r="B231" s="56" t="inlineStr">
        <is>
          <t>Steven Winters</t>
        </is>
      </c>
      <c r="C231" s="56" t="n">
        <v>64</v>
      </c>
      <c r="D231" s="56" t="inlineStr">
        <is>
          <t>EMP-1039</t>
        </is>
      </c>
      <c r="E231" s="56" t="inlineStr">
        <is>
          <t>Thistle Construction</t>
        </is>
      </c>
      <c r="F231" s="56">
        <f>IFERROR(INDEX('Employer Master'!$L$5:$L$99,MATCH(D231,'Employer Master'!$A$5:$A$99,0)),"")</f>
        <v/>
      </c>
      <c r="G231" s="56" t="inlineStr">
        <is>
          <t>Chiro</t>
        </is>
      </c>
      <c r="H231" s="56" t="n">
        <v>2</v>
      </c>
      <c r="I231" s="56">
        <f>IF(H231&gt;1,"yes","")</f>
        <v/>
      </c>
    </row>
    <row r="232" ht="15" customHeight="1" s="48">
      <c r="A232" s="58" t="inlineStr">
        <is>
          <t>CB-7700228</t>
        </is>
      </c>
      <c r="B232" s="58" t="inlineStr">
        <is>
          <t>Cormac Fraser</t>
        </is>
      </c>
      <c r="C232" s="58" t="n">
        <v>54</v>
      </c>
      <c r="D232" s="58" t="inlineStr">
        <is>
          <t>EMP-1039</t>
        </is>
      </c>
      <c r="E232" s="58" t="inlineStr">
        <is>
          <t>Thistle Construction</t>
        </is>
      </c>
      <c r="F232" s="58">
        <f>IFERROR(INDEX('Employer Master'!$L$5:$L$99,MATCH(D232,'Employer Master'!$A$5:$A$99,0)),"")</f>
        <v/>
      </c>
      <c r="G232" s="58" t="inlineStr">
        <is>
          <t>Dental</t>
        </is>
      </c>
      <c r="H232" s="58" t="n">
        <v>1</v>
      </c>
      <c r="I232" s="58">
        <f>IF(H232&gt;1,"yes","")</f>
        <v/>
      </c>
    </row>
    <row r="233" ht="15" customHeight="1" s="48">
      <c r="A233" s="56" t="inlineStr">
        <is>
          <t>CB-7700229</t>
        </is>
      </c>
      <c r="B233" s="56" t="inlineStr">
        <is>
          <t>Yusuf Sorensen</t>
        </is>
      </c>
      <c r="C233" s="56" t="n">
        <v>29</v>
      </c>
      <c r="D233" s="56" t="inlineStr">
        <is>
          <t>EMP-1040</t>
        </is>
      </c>
      <c r="E233" s="56" t="inlineStr">
        <is>
          <t>Umber Precision Tooling</t>
        </is>
      </c>
      <c r="F233" s="56">
        <f>IFERROR(INDEX('Employer Master'!$L$5:$L$99,MATCH(D233,'Employer Master'!$A$5:$A$99,0)),"")</f>
        <v/>
      </c>
      <c r="G233" s="56" t="inlineStr">
        <is>
          <t>Vision</t>
        </is>
      </c>
      <c r="H233" s="56" t="n">
        <v>2</v>
      </c>
      <c r="I233" s="56">
        <f>IF(H233&gt;1,"yes","")</f>
        <v/>
      </c>
    </row>
    <row r="234" ht="15" customHeight="1" s="48">
      <c r="A234" s="58" t="inlineStr">
        <is>
          <t>CB-7700230</t>
        </is>
      </c>
      <c r="B234" s="58" t="inlineStr">
        <is>
          <t>Yannick Delgado</t>
        </is>
      </c>
      <c r="C234" s="58" t="n">
        <v>33</v>
      </c>
      <c r="D234" s="58" t="inlineStr">
        <is>
          <t>EMP-1040</t>
        </is>
      </c>
      <c r="E234" s="58" t="inlineStr">
        <is>
          <t>Umber Precision Tooling</t>
        </is>
      </c>
      <c r="F234" s="58">
        <f>IFERROR(INDEX('Employer Master'!$L$5:$L$99,MATCH(D234,'Employer Master'!$A$5:$A$99,0)),"")</f>
        <v/>
      </c>
      <c r="G234" s="58" t="inlineStr">
        <is>
          <t>Dental</t>
        </is>
      </c>
      <c r="H234" s="58" t="n">
        <v>1</v>
      </c>
      <c r="I234" s="58">
        <f>IF(H234&gt;1,"yes","")</f>
        <v/>
      </c>
    </row>
    <row r="235" ht="15" customHeight="1" s="48">
      <c r="A235" s="56" t="inlineStr">
        <is>
          <t>CB-7700231</t>
        </is>
      </c>
      <c r="B235" s="56" t="inlineStr">
        <is>
          <t>Nadira Chigozie</t>
        </is>
      </c>
      <c r="C235" s="56" t="n">
        <v>39</v>
      </c>
      <c r="D235" s="56" t="inlineStr">
        <is>
          <t>EMP-1041</t>
        </is>
      </c>
      <c r="E235" s="56" t="inlineStr">
        <is>
          <t>Valmont Medical Group</t>
        </is>
      </c>
      <c r="F235" s="56">
        <f>IFERROR(INDEX('Employer Master'!$L$5:$L$99,MATCH(D235,'Employer Master'!$A$5:$A$99,0)),"")</f>
        <v/>
      </c>
      <c r="G235" s="56" t="inlineStr">
        <is>
          <t>Chiro</t>
        </is>
      </c>
      <c r="H235" s="56" t="n">
        <v>2</v>
      </c>
      <c r="I235" s="56">
        <f>IF(H235&gt;1,"yes","")</f>
        <v/>
      </c>
    </row>
    <row r="236" ht="15" customHeight="1" s="48">
      <c r="A236" s="58" t="inlineStr">
        <is>
          <t>CB-7700232</t>
        </is>
      </c>
      <c r="B236" s="58" t="inlineStr">
        <is>
          <t>Osric Ishikawa</t>
        </is>
      </c>
      <c r="C236" s="58" t="n">
        <v>50</v>
      </c>
      <c r="D236" s="58" t="inlineStr">
        <is>
          <t>EMP-1042</t>
        </is>
      </c>
      <c r="E236" s="58" t="inlineStr">
        <is>
          <t>Westbrook Supply Co</t>
        </is>
      </c>
      <c r="F236" s="58">
        <f>IFERROR(INDEX('Employer Master'!$L$5:$L$99,MATCH(D236,'Employer Master'!$A$5:$A$99,0)),"")</f>
        <v/>
      </c>
      <c r="G236" s="58" t="inlineStr">
        <is>
          <t>Dental</t>
        </is>
      </c>
      <c r="H236" s="58" t="n">
        <v>2</v>
      </c>
      <c r="I236" s="58">
        <f>IF(H236&gt;1,"yes","")</f>
        <v/>
      </c>
    </row>
    <row r="237" ht="15" customHeight="1" s="48">
      <c r="A237" s="56" t="inlineStr">
        <is>
          <t>CB-7700233</t>
        </is>
      </c>
      <c r="B237" s="56" t="inlineStr">
        <is>
          <t>Kamal Nasser</t>
        </is>
      </c>
      <c r="C237" s="56" t="n">
        <v>46</v>
      </c>
      <c r="D237" s="56" t="inlineStr">
        <is>
          <t>EMP-1043</t>
        </is>
      </c>
      <c r="E237" s="56" t="inlineStr">
        <is>
          <t>Yarrow Freight</t>
        </is>
      </c>
      <c r="F237" s="56">
        <f>IFERROR(INDEX('Employer Master'!$L$5:$L$99,MATCH(D237,'Employer Master'!$A$5:$A$99,0)),"")</f>
        <v/>
      </c>
      <c r="G237" s="56" t="inlineStr">
        <is>
          <t>Dental</t>
        </is>
      </c>
      <c r="H237" s="56" t="n">
        <v>2</v>
      </c>
      <c r="I237" s="56">
        <f>IF(H237&gt;1,"yes","")</f>
        <v/>
      </c>
    </row>
    <row r="238" ht="15" customHeight="1" s="48">
      <c r="A238" s="58" t="inlineStr">
        <is>
          <t>CB-7700234</t>
        </is>
      </c>
      <c r="B238" s="58" t="inlineStr">
        <is>
          <t>Xiomara Boyd</t>
        </is>
      </c>
      <c r="C238" s="58" t="n">
        <v>45</v>
      </c>
      <c r="D238" s="58" t="inlineStr">
        <is>
          <t>EMP-1044</t>
        </is>
      </c>
      <c r="E238" s="58" t="inlineStr">
        <is>
          <t>Zephyr Advisors</t>
        </is>
      </c>
      <c r="F238" s="58">
        <f>IFERROR(INDEX('Employer Master'!$L$5:$L$99,MATCH(D238,'Employer Master'!$A$5:$A$99,0)),"")</f>
        <v/>
      </c>
      <c r="G238" s="58" t="inlineStr">
        <is>
          <t>Dental</t>
        </is>
      </c>
      <c r="H238" s="58" t="n">
        <v>2</v>
      </c>
      <c r="I238" s="58">
        <f>IF(H238&gt;1,"yes","")</f>
        <v/>
      </c>
    </row>
    <row r="239" ht="15" customHeight="1" s="48">
      <c r="A239" s="56" t="inlineStr">
        <is>
          <t>CB-7700235</t>
        </is>
      </c>
      <c r="B239" s="56" t="inlineStr">
        <is>
          <t>Delia Quiroga</t>
        </is>
      </c>
      <c r="C239" s="56" t="n">
        <v>57</v>
      </c>
      <c r="D239" s="56" t="inlineStr">
        <is>
          <t>EMP-1045</t>
        </is>
      </c>
      <c r="E239" s="56" t="inlineStr">
        <is>
          <t>Aviston Technologies</t>
        </is>
      </c>
      <c r="F239" s="56">
        <f>IFERROR(INDEX('Employer Master'!$L$5:$L$99,MATCH(D239,'Employer Master'!$A$5:$A$99,0)),"")</f>
        <v/>
      </c>
      <c r="G239" s="56" t="inlineStr">
        <is>
          <t>Chiro</t>
        </is>
      </c>
      <c r="H239" s="56" t="n">
        <v>2</v>
      </c>
      <c r="I239" s="56">
        <f>IF(H239&gt;1,"yes","")</f>
        <v/>
      </c>
    </row>
    <row r="240" ht="15" customHeight="1" s="48">
      <c r="A240" s="58" t="inlineStr">
        <is>
          <t>CB-7700236</t>
        </is>
      </c>
      <c r="B240" s="58" t="inlineStr">
        <is>
          <t>Denise Raman</t>
        </is>
      </c>
      <c r="C240" s="58" t="n">
        <v>55</v>
      </c>
      <c r="D240" s="58" t="inlineStr">
        <is>
          <t>EMP-1046</t>
        </is>
      </c>
      <c r="E240" s="58" t="inlineStr">
        <is>
          <t>Brightwater Workforce Partners</t>
        </is>
      </c>
      <c r="F240" s="58">
        <f>IFERROR(INDEX('Employer Master'!$L$5:$L$99,MATCH(D240,'Employer Master'!$A$5:$A$99,0)),"")</f>
        <v/>
      </c>
      <c r="G240" s="58" t="inlineStr">
        <is>
          <t>Chiro</t>
        </is>
      </c>
      <c r="H240" s="58" t="n">
        <v>2</v>
      </c>
      <c r="I240" s="58">
        <f>IF(H240&gt;1,"yes","")</f>
        <v/>
      </c>
    </row>
    <row r="241" ht="15" customHeight="1" s="48">
      <c r="A241" s="56" t="inlineStr">
        <is>
          <t>CB-7700237</t>
        </is>
      </c>
      <c r="B241" s="56" t="inlineStr">
        <is>
          <t>Caius Okonkwo</t>
        </is>
      </c>
      <c r="C241" s="56" t="n">
        <v>59</v>
      </c>
      <c r="D241" s="56" t="inlineStr">
        <is>
          <t>EMP-1047</t>
        </is>
      </c>
      <c r="E241" s="56" t="inlineStr">
        <is>
          <t>Corvina Catering Co</t>
        </is>
      </c>
      <c r="F241" s="56">
        <f>IFERROR(INDEX('Employer Master'!$L$5:$L$99,MATCH(D241,'Employer Master'!$A$5:$A$99,0)),"")</f>
        <v/>
      </c>
      <c r="G241" s="56" t="inlineStr">
        <is>
          <t>Dental</t>
        </is>
      </c>
      <c r="H241" s="56" t="n">
        <v>2</v>
      </c>
      <c r="I241" s="56">
        <f>IF(H241&gt;1,"yes","")</f>
        <v/>
      </c>
    </row>
    <row r="242" ht="15" customHeight="1" s="48">
      <c r="A242" s="58" t="inlineStr">
        <is>
          <t>CB-7700238</t>
        </is>
      </c>
      <c r="B242" s="58" t="inlineStr">
        <is>
          <t>Hollis Okafor</t>
        </is>
      </c>
      <c r="C242" s="58" t="n">
        <v>55</v>
      </c>
      <c r="D242" s="58" t="inlineStr">
        <is>
          <t>EMP-1048</t>
        </is>
      </c>
      <c r="E242" s="58" t="inlineStr">
        <is>
          <t>Dunsmuir Construction</t>
        </is>
      </c>
      <c r="F242" s="58">
        <f>IFERROR(INDEX('Employer Master'!$L$5:$L$99,MATCH(D242,'Employer Master'!$A$5:$A$99,0)),"")</f>
        <v/>
      </c>
      <c r="G242" s="58" t="inlineStr">
        <is>
          <t>Dental</t>
        </is>
      </c>
      <c r="H242" s="58" t="n">
        <v>2</v>
      </c>
      <c r="I242" s="58">
        <f>IF(H242&gt;1,"yes","")</f>
        <v/>
      </c>
    </row>
    <row r="243" ht="15" customHeight="1" s="48">
      <c r="A243" s="56" t="inlineStr">
        <is>
          <t>CB-7700239</t>
        </is>
      </c>
      <c r="B243" s="56" t="inlineStr">
        <is>
          <t>Quincy Ashby</t>
        </is>
      </c>
      <c r="C243" s="56" t="n">
        <v>45</v>
      </c>
      <c r="D243" s="56" t="inlineStr">
        <is>
          <t>EMP-1049</t>
        </is>
      </c>
      <c r="E243" s="56" t="inlineStr">
        <is>
          <t>Elkhorn Precision Tooling</t>
        </is>
      </c>
      <c r="F243" s="56">
        <f>IFERROR(INDEX('Employer Master'!$L$5:$L$99,MATCH(D243,'Employer Master'!$A$5:$A$99,0)),"")</f>
        <v/>
      </c>
      <c r="G243" s="56" t="inlineStr">
        <is>
          <t>Life</t>
        </is>
      </c>
      <c r="H243" s="56" t="n">
        <v>2</v>
      </c>
      <c r="I243" s="56">
        <f>IF(H243&gt;1,"yes","")</f>
        <v/>
      </c>
    </row>
    <row r="244" ht="15" customHeight="1" s="48">
      <c r="A244" s="58" t="inlineStr">
        <is>
          <t>CB-7700240</t>
        </is>
      </c>
      <c r="B244" s="58" t="inlineStr">
        <is>
          <t>Dmitri Obi</t>
        </is>
      </c>
      <c r="C244" s="58" t="n">
        <v>60</v>
      </c>
      <c r="D244" s="58" t="inlineStr">
        <is>
          <t>EMP-1050</t>
        </is>
      </c>
      <c r="E244" s="58" t="inlineStr">
        <is>
          <t>Fernbrook Medical Group</t>
        </is>
      </c>
      <c r="F244" s="58">
        <f>IFERROR(INDEX('Employer Master'!$L$5:$L$99,MATCH(D244,'Employer Master'!$A$5:$A$99,0)),"")</f>
        <v/>
      </c>
      <c r="G244" s="58" t="inlineStr">
        <is>
          <t>Dental</t>
        </is>
      </c>
      <c r="H244" s="58" t="n">
        <v>2</v>
      </c>
      <c r="I244" s="58">
        <f>IF(H244&gt;1,"yes","")</f>
        <v/>
      </c>
    </row>
    <row r="245" ht="15" customHeight="1" s="48">
      <c r="A245" s="56" t="inlineStr">
        <is>
          <t>CB-7700241</t>
        </is>
      </c>
      <c r="B245" s="56" t="inlineStr">
        <is>
          <t>Delia Haverford</t>
        </is>
      </c>
      <c r="C245" s="56" t="n">
        <v>36</v>
      </c>
      <c r="D245" s="56" t="inlineStr">
        <is>
          <t>EMP-1051</t>
        </is>
      </c>
      <c r="E245" s="56" t="inlineStr">
        <is>
          <t>Goldstream Markets</t>
        </is>
      </c>
      <c r="F245" s="56">
        <f>IFERROR(INDEX('Employer Master'!$L$5:$L$99,MATCH(D245,'Employer Master'!$A$5:$A$99,0)),"")</f>
        <v/>
      </c>
      <c r="G245" s="56" t="inlineStr">
        <is>
          <t>Dental</t>
        </is>
      </c>
      <c r="H245" s="56" t="n">
        <v>2</v>
      </c>
      <c r="I245" s="56">
        <f>IF(H245&gt;1,"yes","")</f>
        <v/>
      </c>
    </row>
    <row r="246" ht="15" customHeight="1" s="48">
      <c r="A246" s="58" t="inlineStr">
        <is>
          <t>CB-7700242</t>
        </is>
      </c>
      <c r="B246" s="58" t="inlineStr">
        <is>
          <t>Fenna Fontaine</t>
        </is>
      </c>
      <c r="C246" s="58" t="n">
        <v>58</v>
      </c>
      <c r="D246" s="58" t="inlineStr">
        <is>
          <t>EMP-1052</t>
        </is>
      </c>
      <c r="E246" s="58" t="inlineStr">
        <is>
          <t>Hartwell Freight</t>
        </is>
      </c>
      <c r="F246" s="58">
        <f>IFERROR(INDEX('Employer Master'!$L$5:$L$99,MATCH(D246,'Employer Master'!$A$5:$A$99,0)),"")</f>
        <v/>
      </c>
      <c r="G246" s="58" t="inlineStr">
        <is>
          <t>Vision</t>
        </is>
      </c>
      <c r="H246" s="58" t="n">
        <v>2</v>
      </c>
      <c r="I246" s="58">
        <f>IF(H246&gt;1,"yes","")</f>
        <v/>
      </c>
    </row>
    <row r="247" ht="15" customHeight="1" s="48">
      <c r="A247" s="56" t="inlineStr">
        <is>
          <t>CB-7700243</t>
        </is>
      </c>
      <c r="B247" s="56" t="inlineStr">
        <is>
          <t>Jerome Guzman</t>
        </is>
      </c>
      <c r="C247" s="56" t="n">
        <v>29</v>
      </c>
      <c r="D247" s="56" t="inlineStr">
        <is>
          <t>EMP-1053</t>
        </is>
      </c>
      <c r="E247" s="56" t="inlineStr">
        <is>
          <t>Inglewood Associates</t>
        </is>
      </c>
      <c r="F247" s="56">
        <f>IFERROR(INDEX('Employer Master'!$L$5:$L$99,MATCH(D247,'Employer Master'!$A$5:$A$99,0)),"")</f>
        <v/>
      </c>
      <c r="G247" s="56" t="inlineStr">
        <is>
          <t>Dental</t>
        </is>
      </c>
      <c r="H247" s="56" t="n">
        <v>2</v>
      </c>
      <c r="I247" s="56">
        <f>IF(H247&gt;1,"yes","")</f>
        <v/>
      </c>
    </row>
    <row r="248" ht="15" customHeight="1" s="48">
      <c r="A248" s="58" t="inlineStr">
        <is>
          <t>CB-7700244</t>
        </is>
      </c>
      <c r="B248" s="58" t="inlineStr">
        <is>
          <t>Petra Nasser</t>
        </is>
      </c>
      <c r="C248" s="58" t="n">
        <v>59</v>
      </c>
      <c r="D248" s="58" t="inlineStr">
        <is>
          <t>EMP-1054</t>
        </is>
      </c>
      <c r="E248" s="58" t="inlineStr">
        <is>
          <t>Jessup Systems</t>
        </is>
      </c>
      <c r="F248" s="58">
        <f>IFERROR(INDEX('Employer Master'!$L$5:$L$99,MATCH(D248,'Employer Master'!$A$5:$A$99,0)),"")</f>
        <v/>
      </c>
      <c r="G248" s="58" t="inlineStr">
        <is>
          <t>Dental</t>
        </is>
      </c>
      <c r="H248" s="58" t="n">
        <v>2</v>
      </c>
      <c r="I248" s="58">
        <f>IF(H248&gt;1,"yes","")</f>
        <v/>
      </c>
    </row>
    <row r="249" ht="15" customHeight="1" s="48">
      <c r="A249" s="56" t="inlineStr">
        <is>
          <t>CB-7700245</t>
        </is>
      </c>
      <c r="B249" s="56" t="inlineStr">
        <is>
          <t>Sable Halvorsen</t>
        </is>
      </c>
      <c r="C249" s="56" t="n">
        <v>62</v>
      </c>
      <c r="D249" s="56" t="inlineStr">
        <is>
          <t>EMP-1055</t>
        </is>
      </c>
      <c r="E249" s="56" t="inlineStr">
        <is>
          <t>Kelso Personnel Group</t>
        </is>
      </c>
      <c r="F249" s="56">
        <f>IFERROR(INDEX('Employer Master'!$L$5:$L$99,MATCH(D249,'Employer Master'!$A$5:$A$99,0)),"")</f>
        <v/>
      </c>
      <c r="G249" s="56" t="inlineStr">
        <is>
          <t>Vision</t>
        </is>
      </c>
      <c r="H249" s="56" t="n">
        <v>2</v>
      </c>
      <c r="I249" s="56">
        <f>IF(H249&gt;1,"yes","")</f>
        <v/>
      </c>
    </row>
    <row r="250" ht="15" customHeight="1" s="48">
      <c r="A250" s="58" t="inlineStr">
        <is>
          <t>CB-7700246</t>
        </is>
      </c>
      <c r="B250" s="58" t="inlineStr">
        <is>
          <t>Idris Okonkwo</t>
        </is>
      </c>
      <c r="C250" s="58" t="n">
        <v>23</v>
      </c>
      <c r="D250" s="58" t="inlineStr">
        <is>
          <t>EMP-1056</t>
        </is>
      </c>
      <c r="E250" s="58" t="inlineStr">
        <is>
          <t>Lowry Restaurant Group</t>
        </is>
      </c>
      <c r="F250" s="58">
        <f>IFERROR(INDEX('Employer Master'!$L$5:$L$99,MATCH(D250,'Employer Master'!$A$5:$A$99,0)),"")</f>
        <v/>
      </c>
      <c r="G250" s="58" t="inlineStr">
        <is>
          <t>Dental</t>
        </is>
      </c>
      <c r="H250" s="58" t="n">
        <v>1</v>
      </c>
      <c r="I250" s="58">
        <f>IF(H250&gt;1,"yes","")</f>
        <v/>
      </c>
    </row>
    <row r="251" ht="15" customHeight="1" s="48">
      <c r="A251" s="56" t="inlineStr">
        <is>
          <t>CB-7700247</t>
        </is>
      </c>
      <c r="B251" s="56" t="inlineStr">
        <is>
          <t>Gustavo Nasser</t>
        </is>
      </c>
      <c r="C251" s="56" t="n">
        <v>47</v>
      </c>
      <c r="D251" s="56" t="inlineStr">
        <is>
          <t>EMP-1057</t>
        </is>
      </c>
      <c r="E251" s="56" t="inlineStr">
        <is>
          <t>Maywood Mechanical</t>
        </is>
      </c>
      <c r="F251" s="56">
        <f>IFERROR(INDEX('Employer Master'!$L$5:$L$99,MATCH(D251,'Employer Master'!$A$5:$A$99,0)),"")</f>
        <v/>
      </c>
      <c r="G251" s="56" t="inlineStr">
        <is>
          <t>Dental</t>
        </is>
      </c>
      <c r="H251" s="56" t="n">
        <v>1</v>
      </c>
      <c r="I251" s="56">
        <f>IF(H251&gt;1,"yes","")</f>
        <v/>
      </c>
    </row>
    <row r="252" ht="15" customHeight="1" s="48">
      <c r="A252" s="58" t="inlineStr">
        <is>
          <t>CB-7700248</t>
        </is>
      </c>
      <c r="B252" s="58" t="inlineStr">
        <is>
          <t>Carmen Lemoine</t>
        </is>
      </c>
      <c r="C252" s="58" t="n">
        <v>48</v>
      </c>
      <c r="D252" s="58" t="inlineStr">
        <is>
          <t>EMP-1058</t>
        </is>
      </c>
      <c r="E252" s="58" t="inlineStr">
        <is>
          <t>Norwalk Precision Tooling</t>
        </is>
      </c>
      <c r="F252" s="58">
        <f>IFERROR(INDEX('Employer Master'!$L$5:$L$99,MATCH(D252,'Employer Master'!$A$5:$A$99,0)),"")</f>
        <v/>
      </c>
      <c r="G252" s="58" t="inlineStr">
        <is>
          <t>Dental</t>
        </is>
      </c>
      <c r="H252" s="58" t="n">
        <v>1</v>
      </c>
      <c r="I252" s="58">
        <f>IF(H252&gt;1,"yes","")</f>
        <v/>
      </c>
    </row>
    <row r="253" ht="15" customHeight="1" s="48">
      <c r="A253" s="56" t="inlineStr">
        <is>
          <t>CB-7700249</t>
        </is>
      </c>
      <c r="B253" s="56" t="inlineStr">
        <is>
          <t>Denise Lindqvist</t>
        </is>
      </c>
      <c r="C253" s="56" t="n">
        <v>57</v>
      </c>
      <c r="D253" s="56" t="inlineStr">
        <is>
          <t>EMP-1059</t>
        </is>
      </c>
      <c r="E253" s="56" t="inlineStr">
        <is>
          <t>Orinda Home Care</t>
        </is>
      </c>
      <c r="F253" s="56">
        <f>IFERROR(INDEX('Employer Master'!$L$5:$L$99,MATCH(D253,'Employer Master'!$A$5:$A$99,0)),"")</f>
        <v/>
      </c>
      <c r="G253" s="56" t="inlineStr">
        <is>
          <t>Dental</t>
        </is>
      </c>
      <c r="H253" s="56" t="n">
        <v>1</v>
      </c>
      <c r="I253" s="56">
        <f>IF(H253&gt;1,"yes","")</f>
        <v/>
      </c>
    </row>
    <row r="254" ht="15" customHeight="1" s="48">
      <c r="A254" s="58" t="inlineStr">
        <is>
          <t>CB-7700250</t>
        </is>
      </c>
      <c r="B254" s="58" t="inlineStr">
        <is>
          <t>Marek Bakri</t>
        </is>
      </c>
      <c r="C254" s="58" t="n">
        <v>49</v>
      </c>
      <c r="D254" s="58" t="inlineStr">
        <is>
          <t>EMP-1060</t>
        </is>
      </c>
      <c r="E254" s="58" t="inlineStr">
        <is>
          <t>Pomerado Supply Co</t>
        </is>
      </c>
      <c r="F254" s="58">
        <f>IFERROR(INDEX('Employer Master'!$L$5:$L$99,MATCH(D254,'Employer Master'!$A$5:$A$99,0)),"")</f>
        <v/>
      </c>
      <c r="G254" s="58" t="inlineStr">
        <is>
          <t>Chiro</t>
        </is>
      </c>
      <c r="H254" s="58" t="n">
        <v>1</v>
      </c>
      <c r="I254" s="58">
        <f>IF(H254&gt;1,"yes","")</f>
        <v/>
      </c>
    </row>
    <row r="255" ht="15" customHeight="1" s="48">
      <c r="A255" s="56" t="inlineStr">
        <is>
          <t>CB-7700251</t>
        </is>
      </c>
      <c r="B255" s="56" t="inlineStr">
        <is>
          <t>Pascal Delgado</t>
        </is>
      </c>
      <c r="C255" s="56" t="n">
        <v>39</v>
      </c>
      <c r="D255" s="56" t="inlineStr">
        <is>
          <t>EMP-1061</t>
        </is>
      </c>
      <c r="E255" s="56" t="inlineStr">
        <is>
          <t>Quintara Transport</t>
        </is>
      </c>
      <c r="F255" s="56">
        <f>IFERROR(INDEX('Employer Master'!$L$5:$L$99,MATCH(D255,'Employer Master'!$A$5:$A$99,0)),"")</f>
        <v/>
      </c>
      <c r="G255" s="56" t="inlineStr">
        <is>
          <t>Dental</t>
        </is>
      </c>
      <c r="H255" s="56" t="n">
        <v>1</v>
      </c>
      <c r="I255" s="56">
        <f>IF(H255&gt;1,"yes","")</f>
        <v/>
      </c>
    </row>
    <row r="256" ht="15" customHeight="1" s="48">
      <c r="A256" s="58" t="inlineStr">
        <is>
          <t>CB-7700252</t>
        </is>
      </c>
      <c r="B256" s="58" t="inlineStr">
        <is>
          <t>Tobias Achebe</t>
        </is>
      </c>
      <c r="C256" s="58" t="n">
        <v>44</v>
      </c>
      <c r="D256" s="58" t="inlineStr">
        <is>
          <t>EMP-1062</t>
        </is>
      </c>
      <c r="E256" s="58" t="inlineStr">
        <is>
          <t>Ravenswood Advisors</t>
        </is>
      </c>
      <c r="F256" s="58">
        <f>IFERROR(INDEX('Employer Master'!$L$5:$L$99,MATCH(D256,'Employer Master'!$A$5:$A$99,0)),"")</f>
        <v/>
      </c>
      <c r="G256" s="58" t="inlineStr">
        <is>
          <t>Dental</t>
        </is>
      </c>
      <c r="H256" s="58" t="n">
        <v>1</v>
      </c>
      <c r="I256" s="58">
        <f>IF(H256&gt;1,"yes","")</f>
        <v/>
      </c>
    </row>
    <row r="257" ht="15" customHeight="1" s="48">
      <c r="A257" s="56" t="inlineStr">
        <is>
          <t>CB-7700253</t>
        </is>
      </c>
      <c r="B257" s="56" t="inlineStr">
        <is>
          <t>Noor Whitmore</t>
        </is>
      </c>
      <c r="C257" s="56" t="n">
        <v>59</v>
      </c>
      <c r="D257" s="56" t="inlineStr">
        <is>
          <t>EMP-1063</t>
        </is>
      </c>
      <c r="E257" s="56" t="inlineStr">
        <is>
          <t>Seabright Systems</t>
        </is>
      </c>
      <c r="F257" s="56">
        <f>IFERROR(INDEX('Employer Master'!$L$5:$L$99,MATCH(D257,'Employer Master'!$A$5:$A$99,0)),"")</f>
        <v/>
      </c>
      <c r="G257" s="56" t="inlineStr">
        <is>
          <t>Dental</t>
        </is>
      </c>
      <c r="H257" s="56" t="n">
        <v>1</v>
      </c>
      <c r="I257" s="56">
        <f>IF(H257&gt;1,"yes","")</f>
        <v/>
      </c>
    </row>
    <row r="258" ht="15" customHeight="1" s="48">
      <c r="A258" s="58" t="inlineStr">
        <is>
          <t>CB-7700254</t>
        </is>
      </c>
      <c r="B258" s="58" t="inlineStr">
        <is>
          <t>Petra Raman</t>
        </is>
      </c>
      <c r="C258" s="58" t="n">
        <v>63</v>
      </c>
      <c r="D258" s="58" t="inlineStr">
        <is>
          <t>EMP-1064</t>
        </is>
      </c>
      <c r="E258" s="58" t="inlineStr">
        <is>
          <t>Templeton Workforce Partners</t>
        </is>
      </c>
      <c r="F258" s="58">
        <f>IFERROR(INDEX('Employer Master'!$L$5:$L$99,MATCH(D258,'Employer Master'!$A$5:$A$99,0)),"")</f>
        <v/>
      </c>
      <c r="G258" s="58" t="inlineStr">
        <is>
          <t>Life</t>
        </is>
      </c>
      <c r="H258" s="58" t="n">
        <v>1</v>
      </c>
      <c r="I258" s="58">
        <f>IF(H258&gt;1,"yes","")</f>
        <v/>
      </c>
    </row>
    <row r="259" ht="15" customHeight="1" s="48">
      <c r="A259" s="56" t="inlineStr">
        <is>
          <t>CB-7700255</t>
        </is>
      </c>
      <c r="B259" s="56" t="inlineStr">
        <is>
          <t>Pascal Marchetti</t>
        </is>
      </c>
      <c r="C259" s="56" t="n">
        <v>61</v>
      </c>
      <c r="D259" s="56" t="inlineStr">
        <is>
          <t>EMP-1065</t>
        </is>
      </c>
      <c r="E259" s="56" t="inlineStr">
        <is>
          <t>Ukiah Hospitality Group</t>
        </is>
      </c>
      <c r="F259" s="56">
        <f>IFERROR(INDEX('Employer Master'!$L$5:$L$99,MATCH(D259,'Employer Master'!$A$5:$A$99,0)),"")</f>
        <v/>
      </c>
      <c r="G259" s="56" t="inlineStr">
        <is>
          <t>Chiro</t>
        </is>
      </c>
      <c r="H259" s="56" t="n">
        <v>1</v>
      </c>
      <c r="I259" s="56">
        <f>IF(H259&gt;1,"yes","")</f>
        <v/>
      </c>
    </row>
    <row r="260" ht="15" customHeight="1" s="48">
      <c r="A260" s="58" t="inlineStr">
        <is>
          <t>CB-7700256</t>
        </is>
      </c>
      <c r="B260" s="58" t="inlineStr">
        <is>
          <t>Kirsten Aziz</t>
        </is>
      </c>
      <c r="C260" s="58" t="n">
        <v>28</v>
      </c>
      <c r="D260" s="58" t="inlineStr">
        <is>
          <t>EMP-1066</t>
        </is>
      </c>
      <c r="E260" s="58" t="inlineStr">
        <is>
          <t>Verano Builders</t>
        </is>
      </c>
      <c r="F260" s="58">
        <f>IFERROR(INDEX('Employer Master'!$L$5:$L$99,MATCH(D260,'Employer Master'!$A$5:$A$99,0)),"")</f>
        <v/>
      </c>
      <c r="G260" s="58" t="inlineStr">
        <is>
          <t>Dental</t>
        </is>
      </c>
      <c r="H260" s="58" t="n">
        <v>1</v>
      </c>
      <c r="I260" s="58">
        <f>IF(H260&gt;1,"yes","")</f>
        <v/>
      </c>
    </row>
    <row r="261" ht="15" customHeight="1" s="48">
      <c r="A261" s="56" t="inlineStr">
        <is>
          <t>CB-7700257</t>
        </is>
      </c>
      <c r="B261" s="56" t="inlineStr">
        <is>
          <t>Fiona Jaramillo</t>
        </is>
      </c>
      <c r="C261" s="56" t="n">
        <v>45</v>
      </c>
      <c r="D261" s="56" t="inlineStr">
        <is>
          <t>EMP-1067</t>
        </is>
      </c>
      <c r="E261" s="56" t="inlineStr">
        <is>
          <t>Windermere Precision Tooling</t>
        </is>
      </c>
      <c r="F261" s="56">
        <f>IFERROR(INDEX('Employer Master'!$L$5:$L$99,MATCH(D261,'Employer Master'!$A$5:$A$99,0)),"")</f>
        <v/>
      </c>
      <c r="G261" s="56" t="inlineStr">
        <is>
          <t>Dental</t>
        </is>
      </c>
      <c r="H261" s="56" t="n">
        <v>1</v>
      </c>
      <c r="I261" s="56">
        <f>IF(H261&gt;1,"yes","")</f>
        <v/>
      </c>
    </row>
    <row r="262" ht="15" customHeight="1" s="48">
      <c r="A262" s="58" t="inlineStr">
        <is>
          <t>CB-7700258</t>
        </is>
      </c>
      <c r="B262" s="58" t="inlineStr">
        <is>
          <t>Nadira Dragomir</t>
        </is>
      </c>
      <c r="C262" s="58" t="n">
        <v>51</v>
      </c>
      <c r="D262" s="58" t="inlineStr">
        <is>
          <t>EMP-1068</t>
        </is>
      </c>
      <c r="E262" s="58" t="inlineStr">
        <is>
          <t>Ximena Medical Group</t>
        </is>
      </c>
      <c r="F262" s="58">
        <f>IFERROR(INDEX('Employer Master'!$L$5:$L$99,MATCH(D262,'Employer Master'!$A$5:$A$99,0)),"")</f>
        <v/>
      </c>
      <c r="G262" s="58" t="inlineStr">
        <is>
          <t>Chiro</t>
        </is>
      </c>
      <c r="H262" s="58" t="n">
        <v>1</v>
      </c>
      <c r="I262" s="58">
        <f>IF(H262&gt;1,"yes","")</f>
        <v/>
      </c>
    </row>
    <row r="263" ht="15" customHeight="1" s="48">
      <c r="A263" s="56" t="inlineStr">
        <is>
          <t>CB-7700259</t>
        </is>
      </c>
      <c r="B263" s="56" t="inlineStr">
        <is>
          <t>Denise Reyes</t>
        </is>
      </c>
      <c r="C263" s="56" t="n">
        <v>56</v>
      </c>
      <c r="D263" s="56" t="inlineStr">
        <is>
          <t>EMP-1069</t>
        </is>
      </c>
      <c r="E263" s="56" t="inlineStr">
        <is>
          <t>Yreka Retail Group</t>
        </is>
      </c>
      <c r="F263" s="56">
        <f>IFERROR(INDEX('Employer Master'!$L$5:$L$99,MATCH(D263,'Employer Master'!$A$5:$A$99,0)),"")</f>
        <v/>
      </c>
      <c r="G263" s="56" t="inlineStr">
        <is>
          <t>Vision</t>
        </is>
      </c>
      <c r="H263" s="56" t="n">
        <v>1</v>
      </c>
      <c r="I263" s="56">
        <f>IF(H263&gt;1,"yes","")</f>
        <v/>
      </c>
    </row>
    <row r="264" ht="15" customHeight="1" s="48">
      <c r="A264" s="58" t="inlineStr">
        <is>
          <t>CB-7700260</t>
        </is>
      </c>
      <c r="B264" s="58" t="inlineStr">
        <is>
          <t>Steven Villalobos</t>
        </is>
      </c>
      <c r="C264" s="58" t="n">
        <v>58</v>
      </c>
      <c r="D264" s="58" t="inlineStr">
        <is>
          <t>EMP-1070</t>
        </is>
      </c>
      <c r="E264" s="58" t="inlineStr">
        <is>
          <t>Zuma Freight</t>
        </is>
      </c>
      <c r="F264" s="58">
        <f>IFERROR(INDEX('Employer Master'!$L$5:$L$99,MATCH(D264,'Employer Master'!$A$5:$A$99,0)),"")</f>
        <v/>
      </c>
      <c r="G264" s="58" t="inlineStr">
        <is>
          <t>Dental</t>
        </is>
      </c>
      <c r="H264" s="58" t="n">
        <v>1</v>
      </c>
      <c r="I264" s="58">
        <f>IF(H264&gt;1,"yes","")</f>
        <v/>
      </c>
    </row>
    <row r="265" ht="15" customHeight="1" s="48">
      <c r="A265" s="56" t="inlineStr">
        <is>
          <t>CB-7700261</t>
        </is>
      </c>
      <c r="B265" s="56" t="inlineStr">
        <is>
          <t>Sunil Vandermeer</t>
        </is>
      </c>
      <c r="C265" s="56" t="n">
        <v>29</v>
      </c>
      <c r="D265" s="56" t="inlineStr">
        <is>
          <t>EMP-1071</t>
        </is>
      </c>
      <c r="E265" s="56" t="inlineStr">
        <is>
          <t>Altadena Consulting Group</t>
        </is>
      </c>
      <c r="F265" s="56">
        <f>IFERROR(INDEX('Employer Master'!$L$5:$L$99,MATCH(D265,'Employer Master'!$A$5:$A$99,0)),"")</f>
        <v/>
      </c>
      <c r="G265" s="56" t="inlineStr">
        <is>
          <t>Dental</t>
        </is>
      </c>
      <c r="H265" s="56" t="n">
        <v>1</v>
      </c>
      <c r="I265" s="56">
        <f>IF(H265&gt;1,"yes","")</f>
        <v/>
      </c>
    </row>
    <row r="266" ht="15" customHeight="1" s="48">
      <c r="A266" s="58" t="inlineStr">
        <is>
          <t>CB-7700262</t>
        </is>
      </c>
      <c r="B266" s="58" t="inlineStr">
        <is>
          <t>Vidal Demir</t>
        </is>
      </c>
      <c r="C266" s="58" t="n">
        <v>43</v>
      </c>
      <c r="D266" s="58" t="inlineStr">
        <is>
          <t>EMP-1072</t>
        </is>
      </c>
      <c r="E266" s="58" t="inlineStr">
        <is>
          <t>Beaumont Technologies</t>
        </is>
      </c>
      <c r="F266" s="58">
        <f>IFERROR(INDEX('Employer Master'!$L$5:$L$99,MATCH(D266,'Employer Master'!$A$5:$A$99,0)),"")</f>
        <v/>
      </c>
      <c r="G266" s="58" t="inlineStr">
        <is>
          <t>Dental</t>
        </is>
      </c>
      <c r="H266" s="58" t="n">
        <v>1</v>
      </c>
      <c r="I266" s="58">
        <f>IF(H266&gt;1,"yes","")</f>
        <v/>
      </c>
    </row>
    <row r="267" ht="15" customHeight="1" s="48">
      <c r="A267" s="56" t="inlineStr">
        <is>
          <t>CB-7700263</t>
        </is>
      </c>
      <c r="B267" s="56" t="inlineStr">
        <is>
          <t>Xiomara Jaramillo</t>
        </is>
      </c>
      <c r="C267" s="56" t="n">
        <v>56</v>
      </c>
      <c r="D267" s="56" t="inlineStr">
        <is>
          <t>EMP-1073</t>
        </is>
      </c>
      <c r="E267" s="56" t="inlineStr">
        <is>
          <t>Cambria Workforce Partners</t>
        </is>
      </c>
      <c r="F267" s="56">
        <f>IFERROR(INDEX('Employer Master'!$L$5:$L$99,MATCH(D267,'Employer Master'!$A$5:$A$99,0)),"")</f>
        <v/>
      </c>
      <c r="G267" s="56" t="inlineStr">
        <is>
          <t>Dental</t>
        </is>
      </c>
      <c r="H267" s="56" t="n">
        <v>1</v>
      </c>
      <c r="I267" s="56">
        <f>IF(H267&gt;1,"yes","")</f>
        <v/>
      </c>
    </row>
    <row r="268" ht="15" customHeight="1" s="48">
      <c r="A268" s="58" t="inlineStr">
        <is>
          <t>CB-7700264</t>
        </is>
      </c>
      <c r="B268" s="58" t="inlineStr">
        <is>
          <t>Zora Pennington</t>
        </is>
      </c>
      <c r="C268" s="58" t="n">
        <v>23</v>
      </c>
      <c r="D268" s="58" t="inlineStr">
        <is>
          <t>EMP-1074</t>
        </is>
      </c>
      <c r="E268" s="58" t="inlineStr">
        <is>
          <t>Duarte Restaurant Group</t>
        </is>
      </c>
      <c r="F268" s="58">
        <f>IFERROR(INDEX('Employer Master'!$L$5:$L$99,MATCH(D268,'Employer Master'!$A$5:$A$99,0)),"")</f>
        <v/>
      </c>
      <c r="G268" s="58" t="inlineStr">
        <is>
          <t>Vision</t>
        </is>
      </c>
      <c r="H268" s="58" t="n">
        <v>1</v>
      </c>
      <c r="I268" s="58">
        <f>IF(H268&gt;1,"yes","")</f>
        <v/>
      </c>
    </row>
    <row r="269" ht="15" customHeight="1" s="48">
      <c r="A269" s="56" t="inlineStr">
        <is>
          <t>CB-7700265</t>
        </is>
      </c>
      <c r="B269" s="56" t="inlineStr">
        <is>
          <t>Yusuf Sarkisian</t>
        </is>
      </c>
      <c r="C269" s="56" t="n">
        <v>23</v>
      </c>
      <c r="D269" s="56" t="inlineStr">
        <is>
          <t>EMP-1075</t>
        </is>
      </c>
      <c r="E269" s="56" t="inlineStr">
        <is>
          <t>Escalon Construction</t>
        </is>
      </c>
      <c r="F269" s="56">
        <f>IFERROR(INDEX('Employer Master'!$L$5:$L$99,MATCH(D269,'Employer Master'!$A$5:$A$99,0)),"")</f>
        <v/>
      </c>
      <c r="G269" s="56" t="inlineStr">
        <is>
          <t>Dental</t>
        </is>
      </c>
      <c r="H269" s="56" t="n">
        <v>1</v>
      </c>
      <c r="I269" s="56">
        <f>IF(H269&gt;1,"yes","")</f>
        <v/>
      </c>
    </row>
    <row r="270" ht="15" customHeight="1" s="48">
      <c r="A270" s="58" t="inlineStr">
        <is>
          <t>CB-7700266</t>
        </is>
      </c>
      <c r="B270" s="58" t="inlineStr">
        <is>
          <t>Wendell Obi</t>
        </is>
      </c>
      <c r="C270" s="58" t="n">
        <v>61</v>
      </c>
      <c r="D270" s="58" t="inlineStr">
        <is>
          <t>EMP-1076</t>
        </is>
      </c>
      <c r="E270" s="58" t="inlineStr">
        <is>
          <t>Fillmore Industries</t>
        </is>
      </c>
      <c r="F270" s="58">
        <f>IFERROR(INDEX('Employer Master'!$L$5:$L$99,MATCH(D270,'Employer Master'!$A$5:$A$99,0)),"")</f>
        <v/>
      </c>
      <c r="G270" s="58" t="inlineStr">
        <is>
          <t>Life</t>
        </is>
      </c>
      <c r="H270" s="58" t="n">
        <v>1</v>
      </c>
      <c r="I270" s="58">
        <f>IF(H270&gt;1,"yes","")</f>
        <v/>
      </c>
    </row>
    <row r="271" ht="15" customHeight="1" s="48">
      <c r="A271" s="56" t="inlineStr">
        <is>
          <t>CB-7700267</t>
        </is>
      </c>
      <c r="B271" s="56" t="inlineStr">
        <is>
          <t>Saoirse Demir</t>
        </is>
      </c>
      <c r="C271" s="56" t="n">
        <v>36</v>
      </c>
      <c r="D271" s="56" t="inlineStr">
        <is>
          <t>EMP-1077</t>
        </is>
      </c>
      <c r="E271" s="56" t="inlineStr">
        <is>
          <t>Galt Medical Group</t>
        </is>
      </c>
      <c r="F271" s="56">
        <f>IFERROR(INDEX('Employer Master'!$L$5:$L$99,MATCH(D271,'Employer Master'!$A$5:$A$99,0)),"")</f>
        <v/>
      </c>
      <c r="G271" s="56" t="inlineStr">
        <is>
          <t>Vision</t>
        </is>
      </c>
      <c r="H271" s="56" t="n">
        <v>1</v>
      </c>
      <c r="I271" s="56">
        <f>IF(H271&gt;1,"yes","")</f>
        <v/>
      </c>
    </row>
    <row r="272" ht="15" customHeight="1" s="48">
      <c r="A272" s="58" t="inlineStr">
        <is>
          <t>CB-7700268</t>
        </is>
      </c>
      <c r="B272" s="58" t="inlineStr">
        <is>
          <t>Halina Yamamoto</t>
        </is>
      </c>
      <c r="C272" s="58" t="n">
        <v>43</v>
      </c>
      <c r="D272" s="58" t="inlineStr">
        <is>
          <t>EMP-1078</t>
        </is>
      </c>
      <c r="E272" s="58" t="inlineStr">
        <is>
          <t>Hanford Markets</t>
        </is>
      </c>
      <c r="F272" s="58">
        <f>IFERROR(INDEX('Employer Master'!$L$5:$L$99,MATCH(D272,'Employer Master'!$A$5:$A$99,0)),"")</f>
        <v/>
      </c>
      <c r="G272" s="58" t="inlineStr">
        <is>
          <t>Dental</t>
        </is>
      </c>
      <c r="H272" s="58" t="n">
        <v>1</v>
      </c>
      <c r="I272" s="58">
        <f>IF(H272&gt;1,"yes","")</f>
        <v/>
      </c>
    </row>
    <row r="273" ht="15" customHeight="1" s="48">
      <c r="A273" s="56" t="inlineStr">
        <is>
          <t>CB-7700269</t>
        </is>
      </c>
      <c r="B273" s="56" t="inlineStr">
        <is>
          <t>Rafael Lindqvist</t>
        </is>
      </c>
      <c r="C273" s="56" t="n">
        <v>56</v>
      </c>
      <c r="D273" s="56" t="inlineStr">
        <is>
          <t>EMP-1079</t>
        </is>
      </c>
      <c r="E273" s="56" t="inlineStr">
        <is>
          <t>Ione Freight</t>
        </is>
      </c>
      <c r="F273" s="56">
        <f>IFERROR(INDEX('Employer Master'!$L$5:$L$99,MATCH(D273,'Employer Master'!$A$5:$A$99,0)),"")</f>
        <v/>
      </c>
      <c r="G273" s="56" t="inlineStr">
        <is>
          <t>Dental</t>
        </is>
      </c>
      <c r="H273" s="56" t="n">
        <v>1</v>
      </c>
      <c r="I273" s="56">
        <f>IF(H273&gt;1,"yes","")</f>
        <v/>
      </c>
    </row>
    <row r="274" ht="15" customHeight="1" s="48">
      <c r="A274" s="58" t="inlineStr">
        <is>
          <t>CB-7700270</t>
        </is>
      </c>
      <c r="B274" s="58" t="inlineStr">
        <is>
          <t>Bram Novak</t>
        </is>
      </c>
      <c r="C274" s="58" t="n">
        <v>28</v>
      </c>
      <c r="D274" s="58" t="inlineStr">
        <is>
          <t>EMP-1080</t>
        </is>
      </c>
      <c r="E274" s="58" t="inlineStr">
        <is>
          <t>Jamul Associates</t>
        </is>
      </c>
      <c r="F274" s="58">
        <f>IFERROR(INDEX('Employer Master'!$L$5:$L$99,MATCH(D274,'Employer Master'!$A$5:$A$99,0)),"")</f>
        <v/>
      </c>
      <c r="G274" s="58" t="inlineStr">
        <is>
          <t>Dental</t>
        </is>
      </c>
      <c r="H274" s="58" t="n">
        <v>1</v>
      </c>
      <c r="I274" s="58">
        <f>IF(H274&gt;1,"yes","")</f>
        <v/>
      </c>
    </row>
    <row r="275" ht="15" customHeight="1" s="48">
      <c r="A275" s="56" t="inlineStr">
        <is>
          <t>CB-7700271</t>
        </is>
      </c>
      <c r="B275" s="56" t="inlineStr">
        <is>
          <t>Duncan Steinberg</t>
        </is>
      </c>
      <c r="C275" s="56" t="n">
        <v>50</v>
      </c>
      <c r="D275" s="56" t="inlineStr">
        <is>
          <t>EMP-1081</t>
        </is>
      </c>
      <c r="E275" s="56" t="inlineStr">
        <is>
          <t>Keeler Systems</t>
        </is>
      </c>
      <c r="F275" s="56">
        <f>IFERROR(INDEX('Employer Master'!$L$5:$L$99,MATCH(D275,'Employer Master'!$A$5:$A$99,0)),"")</f>
        <v/>
      </c>
      <c r="G275" s="56" t="inlineStr">
        <is>
          <t>Chiro</t>
        </is>
      </c>
      <c r="H275" s="56" t="n">
        <v>1</v>
      </c>
      <c r="I275" s="56">
        <f>IF(H275&gt;1,"yes","")</f>
        <v/>
      </c>
    </row>
    <row r="276" ht="15" customHeight="1" s="48">
      <c r="A276" s="58" t="inlineStr">
        <is>
          <t>CB-7700272</t>
        </is>
      </c>
      <c r="B276" s="58" t="inlineStr">
        <is>
          <t>Marek Demir</t>
        </is>
      </c>
      <c r="C276" s="58" t="n">
        <v>28</v>
      </c>
      <c r="D276" s="58" t="inlineStr">
        <is>
          <t>EMP-1082</t>
        </is>
      </c>
      <c r="E276" s="58" t="inlineStr">
        <is>
          <t>Lompoc Workforce Partners</t>
        </is>
      </c>
      <c r="F276" s="58">
        <f>IFERROR(INDEX('Employer Master'!$L$5:$L$99,MATCH(D276,'Employer Master'!$A$5:$A$99,0)),"")</f>
        <v/>
      </c>
      <c r="G276" s="58" t="inlineStr">
        <is>
          <t>Vision</t>
        </is>
      </c>
      <c r="H276" s="58" t="n">
        <v>1</v>
      </c>
      <c r="I276" s="58">
        <f>IF(H276&gt;1,"yes","")</f>
        <v/>
      </c>
    </row>
    <row r="277" ht="15" customHeight="1" s="48">
      <c r="A277" s="56" t="inlineStr">
        <is>
          <t>CB-7700273</t>
        </is>
      </c>
      <c r="B277" s="56" t="inlineStr">
        <is>
          <t>Nikhil Valdez</t>
        </is>
      </c>
      <c r="C277" s="56" t="n">
        <v>28</v>
      </c>
      <c r="D277" s="56" t="inlineStr">
        <is>
          <t>EMP-1083</t>
        </is>
      </c>
      <c r="E277" s="56" t="inlineStr">
        <is>
          <t>Manteca Restaurant Group</t>
        </is>
      </c>
      <c r="F277" s="56">
        <f>IFERROR(INDEX('Employer Master'!$L$5:$L$99,MATCH(D277,'Employer Master'!$A$5:$A$99,0)),"")</f>
        <v/>
      </c>
      <c r="G277" s="56" t="inlineStr">
        <is>
          <t>Dental</t>
        </is>
      </c>
      <c r="H277" s="56" t="n">
        <v>1</v>
      </c>
      <c r="I277" s="56">
        <f>IF(H277&gt;1,"yes","")</f>
        <v/>
      </c>
    </row>
    <row r="278" ht="15" customHeight="1" s="48">
      <c r="A278" s="58" t="inlineStr">
        <is>
          <t>CB-7700274</t>
        </is>
      </c>
      <c r="B278" s="58" t="inlineStr">
        <is>
          <t>Bianca Aziz</t>
        </is>
      </c>
      <c r="C278" s="58" t="n">
        <v>44</v>
      </c>
      <c r="D278" s="58" t="inlineStr">
        <is>
          <t>EMP-1084</t>
        </is>
      </c>
      <c r="E278" s="58" t="inlineStr">
        <is>
          <t>Needles Mechanical</t>
        </is>
      </c>
      <c r="F278" s="58">
        <f>IFERROR(INDEX('Employer Master'!$L$5:$L$99,MATCH(D278,'Employer Master'!$A$5:$A$99,0)),"")</f>
        <v/>
      </c>
      <c r="G278" s="58" t="inlineStr">
        <is>
          <t>Vision</t>
        </is>
      </c>
      <c r="H278" s="58" t="n">
        <v>1</v>
      </c>
      <c r="I278" s="58">
        <f>IF(H278&gt;1,"yes","")</f>
        <v/>
      </c>
    </row>
    <row r="279" ht="15" customHeight="1" s="48">
      <c r="A279" s="56" t="inlineStr">
        <is>
          <t>CB-7700275</t>
        </is>
      </c>
      <c r="B279" s="56" t="inlineStr">
        <is>
          <t>Grace MacAllister</t>
        </is>
      </c>
      <c r="C279" s="56" t="n">
        <v>32</v>
      </c>
      <c r="D279" s="56" t="inlineStr">
        <is>
          <t>EMP-1085</t>
        </is>
      </c>
      <c r="E279" s="56" t="inlineStr">
        <is>
          <t>Olema Precision Tooling</t>
        </is>
      </c>
      <c r="F279" s="56">
        <f>IFERROR(INDEX('Employer Master'!$L$5:$L$99,MATCH(D279,'Employer Master'!$A$5:$A$99,0)),"")</f>
        <v/>
      </c>
      <c r="G279" s="56" t="inlineStr">
        <is>
          <t>Dental</t>
        </is>
      </c>
      <c r="H279" s="56" t="n">
        <v>1</v>
      </c>
      <c r="I279" s="56">
        <f>IF(H279&gt;1,"yes","")</f>
        <v/>
      </c>
    </row>
    <row r="280" ht="15" customHeight="1" s="48">
      <c r="A280" s="58" t="inlineStr">
        <is>
          <t>CB-7700276</t>
        </is>
      </c>
      <c r="B280" s="58" t="inlineStr">
        <is>
          <t>Nikhil Chatterjee</t>
        </is>
      </c>
      <c r="C280" s="58" t="n">
        <v>54</v>
      </c>
      <c r="D280" s="58" t="inlineStr">
        <is>
          <t>EMP-1086</t>
        </is>
      </c>
      <c r="E280" s="58" t="inlineStr">
        <is>
          <t>Piru Home Care</t>
        </is>
      </c>
      <c r="F280" s="58">
        <f>IFERROR(INDEX('Employer Master'!$L$5:$L$99,MATCH(D280,'Employer Master'!$A$5:$A$99,0)),"")</f>
        <v/>
      </c>
      <c r="G280" s="58" t="inlineStr">
        <is>
          <t>Dental</t>
        </is>
      </c>
      <c r="H280" s="58" t="n">
        <v>1</v>
      </c>
      <c r="I280" s="58">
        <f>IF(H280&gt;1,"yes","")</f>
        <v/>
      </c>
    </row>
    <row r="281" ht="15" customHeight="1" s="48">
      <c r="A281" s="56" t="inlineStr">
        <is>
          <t>CB-7700277</t>
        </is>
      </c>
      <c r="B281" s="56" t="inlineStr">
        <is>
          <t>Yolanda Okonjo</t>
        </is>
      </c>
      <c r="C281" s="56" t="n">
        <v>28</v>
      </c>
      <c r="D281" s="56" t="inlineStr">
        <is>
          <t>EMP-1087</t>
        </is>
      </c>
      <c r="E281" s="56" t="inlineStr">
        <is>
          <t>Quincy Retail Group</t>
        </is>
      </c>
      <c r="F281" s="56">
        <f>IFERROR(INDEX('Employer Master'!$L$5:$L$99,MATCH(D281,'Employer Master'!$A$5:$A$99,0)),"")</f>
        <v/>
      </c>
      <c r="G281" s="56" t="inlineStr">
        <is>
          <t>Chiro</t>
        </is>
      </c>
      <c r="H281" s="56" t="n">
        <v>1</v>
      </c>
      <c r="I281" s="56">
        <f>IF(H281&gt;1,"yes","")</f>
        <v/>
      </c>
    </row>
    <row r="282" ht="15" customHeight="1" s="48">
      <c r="A282" s="58" t="inlineStr">
        <is>
          <t>CB-7700278</t>
        </is>
      </c>
      <c r="B282" s="58" t="inlineStr">
        <is>
          <t>Aurelio Castellanos</t>
        </is>
      </c>
      <c r="C282" s="58" t="n">
        <v>63</v>
      </c>
      <c r="D282" s="58" t="inlineStr">
        <is>
          <t>EMP-1088</t>
        </is>
      </c>
      <c r="E282" s="58" t="inlineStr">
        <is>
          <t>Rialto Logistics</t>
        </is>
      </c>
      <c r="F282" s="58">
        <f>IFERROR(INDEX('Employer Master'!$L$5:$L$99,MATCH(D282,'Employer Master'!$A$5:$A$99,0)),"")</f>
        <v/>
      </c>
      <c r="G282" s="58" t="inlineStr">
        <is>
          <t>Vision</t>
        </is>
      </c>
      <c r="H282" s="58" t="n">
        <v>1</v>
      </c>
      <c r="I282" s="58">
        <f>IF(H282&gt;1,"yes","")</f>
        <v/>
      </c>
    </row>
    <row r="283" ht="15" customHeight="1" s="48">
      <c r="A283" s="56" t="inlineStr">
        <is>
          <t>CB-7700279</t>
        </is>
      </c>
      <c r="B283" s="56" t="inlineStr">
        <is>
          <t>Vidal Haddad</t>
        </is>
      </c>
      <c r="C283" s="56" t="n">
        <v>60</v>
      </c>
      <c r="D283" s="56" t="inlineStr">
        <is>
          <t>EMP-1089</t>
        </is>
      </c>
      <c r="E283" s="56" t="inlineStr">
        <is>
          <t>Soledad Advisors</t>
        </is>
      </c>
      <c r="F283" s="56">
        <f>IFERROR(INDEX('Employer Master'!$L$5:$L$99,MATCH(D283,'Employer Master'!$A$5:$A$99,0)),"")</f>
        <v/>
      </c>
      <c r="G283" s="56" t="inlineStr">
        <is>
          <t>Dental</t>
        </is>
      </c>
      <c r="H283" s="56" t="n">
        <v>1</v>
      </c>
      <c r="I283" s="56">
        <f>IF(H283&gt;1,"yes","")</f>
        <v/>
      </c>
    </row>
    <row r="284" ht="15" customHeight="1" s="48">
      <c r="A284" s="58" t="inlineStr">
        <is>
          <t>CB-7700280</t>
        </is>
      </c>
      <c r="B284" s="58" t="inlineStr">
        <is>
          <t>Uma Ferrara</t>
        </is>
      </c>
      <c r="C284" s="58" t="n">
        <v>49</v>
      </c>
      <c r="D284" s="58" t="inlineStr">
        <is>
          <t>EMP-1090</t>
        </is>
      </c>
      <c r="E284" s="58" t="inlineStr">
        <is>
          <t>Tehachapi Data Group</t>
        </is>
      </c>
      <c r="F284" s="58">
        <f>IFERROR(INDEX('Employer Master'!$L$5:$L$99,MATCH(D284,'Employer Master'!$A$5:$A$99,0)),"")</f>
        <v/>
      </c>
      <c r="G284" s="58" t="inlineStr">
        <is>
          <t>Dental</t>
        </is>
      </c>
      <c r="H284" s="58" t="n">
        <v>1</v>
      </c>
      <c r="I284" s="58">
        <f>IF(H284&gt;1,"yes","")</f>
        <v/>
      </c>
    </row>
    <row r="285" ht="15" customHeight="1" s="48">
      <c r="A285" s="56" t="inlineStr">
        <is>
          <t>CB-7700281</t>
        </is>
      </c>
      <c r="B285" s="56" t="inlineStr">
        <is>
          <t>Tamsin Petrova</t>
        </is>
      </c>
      <c r="C285" s="56" t="n">
        <v>28</v>
      </c>
      <c r="D285" s="56" t="inlineStr">
        <is>
          <t>EMP-1091</t>
        </is>
      </c>
      <c r="E285" s="56" t="inlineStr">
        <is>
          <t>Upland Personnel Group</t>
        </is>
      </c>
      <c r="F285" s="56">
        <f>IFERROR(INDEX('Employer Master'!$L$5:$L$99,MATCH(D285,'Employer Master'!$A$5:$A$99,0)),"")</f>
        <v/>
      </c>
      <c r="G285" s="56" t="inlineStr">
        <is>
          <t>Dental</t>
        </is>
      </c>
      <c r="H285" s="56" t="n">
        <v>1</v>
      </c>
      <c r="I285" s="56">
        <f>IF(H285&gt;1,"yes","")</f>
        <v/>
      </c>
    </row>
    <row r="286" ht="15" customHeight="1" s="48">
      <c r="A286" s="58" t="inlineStr">
        <is>
          <t>CB-7700282</t>
        </is>
      </c>
      <c r="B286" s="58" t="inlineStr">
        <is>
          <t>Hana Castellanos</t>
        </is>
      </c>
      <c r="C286" s="58" t="n">
        <v>51</v>
      </c>
      <c r="D286" s="58" t="inlineStr">
        <is>
          <t>EMP-1092</t>
        </is>
      </c>
      <c r="E286" s="58" t="inlineStr">
        <is>
          <t>Visalia Restaurant Group</t>
        </is>
      </c>
      <c r="F286" s="58">
        <f>IFERROR(INDEX('Employer Master'!$L$5:$L$99,MATCH(D286,'Employer Master'!$A$5:$A$99,0)),"")</f>
        <v/>
      </c>
      <c r="G286" s="58" t="inlineStr">
        <is>
          <t>Vision</t>
        </is>
      </c>
      <c r="H286" s="58" t="n">
        <v>1</v>
      </c>
      <c r="I286" s="58">
        <f>IF(H286&gt;1,"yes","")</f>
        <v/>
      </c>
    </row>
    <row r="287" ht="15" customHeight="1" s="48">
      <c r="A287" s="56" t="inlineStr">
        <is>
          <t>CB-7700283</t>
        </is>
      </c>
      <c r="B287" s="56" t="inlineStr">
        <is>
          <t>Quill Dragomir</t>
        </is>
      </c>
      <c r="C287" s="56" t="n">
        <v>51</v>
      </c>
      <c r="D287" s="56" t="inlineStr">
        <is>
          <t>EMP-1093</t>
        </is>
      </c>
      <c r="E287" s="56" t="inlineStr">
        <is>
          <t>Weimar Builders</t>
        </is>
      </c>
      <c r="F287" s="56">
        <f>IFERROR(INDEX('Employer Master'!$L$5:$L$99,MATCH(D287,'Employer Master'!$A$5:$A$99,0)),"")</f>
        <v/>
      </c>
      <c r="G287" s="56" t="inlineStr">
        <is>
          <t>Dental</t>
        </is>
      </c>
      <c r="H287" s="56" t="n">
        <v>1</v>
      </c>
      <c r="I287" s="56">
        <f>IF(H287&gt;1,"yes","")</f>
        <v/>
      </c>
    </row>
    <row r="288" ht="15" customHeight="1" s="48">
      <c r="A288" s="58" t="inlineStr">
        <is>
          <t>CB-7700284</t>
        </is>
      </c>
      <c r="B288" s="58" t="inlineStr">
        <is>
          <t>Rhona Petrova</t>
        </is>
      </c>
      <c r="C288" s="58" t="n">
        <v>45</v>
      </c>
      <c r="D288" s="58" t="inlineStr">
        <is>
          <t>EMP-1094</t>
        </is>
      </c>
      <c r="E288" s="58" t="inlineStr">
        <is>
          <t>Yountville Manufacturing</t>
        </is>
      </c>
      <c r="F288" s="58">
        <f>IFERROR(INDEX('Employer Master'!$L$5:$L$99,MATCH(D288,'Employer Master'!$A$5:$A$99,0)),"")</f>
        <v/>
      </c>
      <c r="G288" s="58" t="inlineStr">
        <is>
          <t>Dental</t>
        </is>
      </c>
      <c r="H288" s="58" t="n">
        <v>1</v>
      </c>
      <c r="I288" s="58">
        <f>IF(H288&gt;1,"yes","")</f>
        <v/>
      </c>
    </row>
    <row r="289" ht="15" customHeight="1" s="48">
      <c r="A289" s="56" t="inlineStr">
        <is>
          <t>CB-7700285</t>
        </is>
      </c>
      <c r="B289" s="56" t="inlineStr">
        <is>
          <t>Perrine Stavros</t>
        </is>
      </c>
      <c r="C289" s="56" t="n">
        <v>30</v>
      </c>
      <c r="D289" s="56" t="inlineStr">
        <is>
          <t>EMP-1095</t>
        </is>
      </c>
      <c r="E289" s="56" t="inlineStr">
        <is>
          <t>Zamora Medical Group</t>
        </is>
      </c>
      <c r="F289" s="56">
        <f>IFERROR(INDEX('Employer Master'!$L$5:$L$99,MATCH(D289,'Employer Master'!$A$5:$A$99,0)),"")</f>
        <v/>
      </c>
      <c r="G289" s="56" t="inlineStr">
        <is>
          <t>Dental</t>
        </is>
      </c>
      <c r="H289" s="56" t="n">
        <v>1</v>
      </c>
      <c r="I289" s="56">
        <f>IF(H289&gt;1,"yes","")</f>
        <v/>
      </c>
    </row>
    <row r="290" ht="15" customHeight="1" s="48">
      <c r="A290" s="60" t="inlineStr">
        <is>
          <t>TOTAL</t>
        </is>
      </c>
      <c r="B290" s="62">
        <f>COUNTA(A5:A289)&amp;" distinct members"</f>
        <v/>
      </c>
      <c r="H290" s="62">
        <f>SUM(H5:H289)</f>
        <v/>
      </c>
    </row>
    <row r="292" ht="15" customHeight="1" s="48">
      <c r="A292" s="60" t="inlineStr">
        <is>
          <t>CHECK</t>
        </is>
      </c>
      <c r="B292" s="67">
        <f>IF(H290=390,"OK — 390 member calls","VARIANCE: "&amp;TEXT(H290-390,"+0;-0"))</f>
        <v/>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H10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47" min="1" max="1"/>
    <col width="24" customWidth="1" style="47" min="2" max="2"/>
    <col width="22" customWidth="1" style="47" min="3" max="3"/>
    <col width="13" customWidth="1" style="47" min="4" max="4"/>
    <col width="11" customWidth="1" style="47" min="5" max="5"/>
    <col width="28" customWidth="1" style="47" min="6" max="6"/>
    <col width="12" customWidth="1" style="47" min="7" max="8"/>
  </cols>
  <sheetData>
    <row r="1" ht="21.75" customHeight="1" s="48">
      <c r="A1" s="53" t="inlineStr">
        <is>
          <t>Employer contacts</t>
        </is>
      </c>
    </row>
    <row r="2" ht="61.5" customHeight="1" s="48">
      <c r="A2" s="54" t="inlineStr">
        <is>
          <t>101 contacts carrying 210 planned employer calls. Employer calls come from a person, not a company, and which person matters: the authority field records whether that contact can bind the group, because it decides what an agent may action without a second approval. A payroll administrator asking to change contribution is a different call from a CFO asking the same thing. In the smallest groups the caller is usually the owner or a bookkeeper rather than an HR function, which is realistic and changes the tone and the knowledge level of those calls considerably.</t>
        </is>
      </c>
    </row>
    <row r="3" ht="6" customHeight="1" s="48"/>
    <row r="4" ht="31.5" customHeight="1" s="48">
      <c r="A4" s="55" t="inlineStr">
        <is>
          <t>Contact ID</t>
        </is>
      </c>
      <c r="B4" s="55" t="inlineStr">
        <is>
          <t>Contact name</t>
        </is>
      </c>
      <c r="C4" s="55" t="inlineStr">
        <is>
          <t>Role</t>
        </is>
      </c>
      <c r="D4" s="55" t="inlineStr">
        <is>
          <t>Authority</t>
        </is>
      </c>
      <c r="E4" s="55" t="inlineStr">
        <is>
          <t>Employer ID</t>
        </is>
      </c>
      <c r="F4" s="55" t="inlineStr">
        <is>
          <t>Employer name</t>
        </is>
      </c>
      <c r="G4" s="55" t="inlineStr">
        <is>
          <t>Broker (inherited)</t>
        </is>
      </c>
      <c r="H4" s="55" t="inlineStr">
        <is>
          <t>Planned calls</t>
        </is>
      </c>
    </row>
    <row r="5" ht="15" customHeight="1" s="48">
      <c r="A5" s="56" t="inlineStr">
        <is>
          <t>CON-101</t>
        </is>
      </c>
      <c r="B5" s="56" t="inlineStr">
        <is>
          <t>Quentin Thibault</t>
        </is>
      </c>
      <c r="C5" s="56" t="inlineStr">
        <is>
          <t>Payroll Administrator</t>
        </is>
      </c>
      <c r="D5" s="56" t="inlineStr">
        <is>
          <t>cannot bind</t>
        </is>
      </c>
      <c r="E5" s="56" t="inlineStr">
        <is>
          <t>EMP-1001</t>
        </is>
      </c>
      <c r="F5" s="56" t="inlineStr">
        <is>
          <t>Cedar Point Workforce Partners</t>
        </is>
      </c>
      <c r="G5" s="56">
        <f>IFERROR(INDEX('Employer Master'!$L$5:$L$99,MATCH(E5,'Employer Master'!$A$5:$A$99,0)),"")</f>
        <v/>
      </c>
      <c r="H5" s="56" t="n">
        <v>6</v>
      </c>
    </row>
    <row r="6" ht="15" customHeight="1" s="48">
      <c r="A6" s="58" t="inlineStr">
        <is>
          <t>CON-102</t>
        </is>
      </c>
      <c r="B6" s="58" t="inlineStr">
        <is>
          <t>Duncan Raman</t>
        </is>
      </c>
      <c r="C6" s="58" t="inlineStr">
        <is>
          <t>Office Manager</t>
        </is>
      </c>
      <c r="D6" s="58" t="inlineStr">
        <is>
          <t>cannot bind</t>
        </is>
      </c>
      <c r="E6" s="58" t="inlineStr">
        <is>
          <t>EMP-1001</t>
        </is>
      </c>
      <c r="F6" s="58" t="inlineStr">
        <is>
          <t>Cedar Point Workforce Partners</t>
        </is>
      </c>
      <c r="G6" s="58">
        <f>IFERROR(INDEX('Employer Master'!$L$5:$L$99,MATCH(E6,'Employer Master'!$A$5:$A$99,0)),"")</f>
        <v/>
      </c>
      <c r="H6" s="58" t="n">
        <v>6</v>
      </c>
    </row>
    <row r="7" ht="15" customHeight="1" s="48">
      <c r="A7" s="56" t="inlineStr">
        <is>
          <t>CON-103</t>
        </is>
      </c>
      <c r="B7" s="56" t="inlineStr">
        <is>
          <t>Sunil Quiroga</t>
        </is>
      </c>
      <c r="C7" s="56" t="inlineStr">
        <is>
          <t>Payroll Administrator</t>
        </is>
      </c>
      <c r="D7" s="56" t="inlineStr">
        <is>
          <t>cannot bind</t>
        </is>
      </c>
      <c r="E7" s="56" t="inlineStr">
        <is>
          <t>EMP-1002</t>
        </is>
      </c>
      <c r="F7" s="56" t="inlineStr">
        <is>
          <t>Bellwether Restaurant Group</t>
        </is>
      </c>
      <c r="G7" s="56">
        <f>IFERROR(INDEX('Employer Master'!$L$5:$L$99,MATCH(E7,'Employer Master'!$A$5:$A$99,0)),"")</f>
        <v/>
      </c>
      <c r="H7" s="56" t="n">
        <v>6</v>
      </c>
    </row>
    <row r="8" ht="15" customHeight="1" s="48">
      <c r="A8" s="58" t="inlineStr">
        <is>
          <t>CON-104</t>
        </is>
      </c>
      <c r="B8" s="58" t="inlineStr">
        <is>
          <t>Sandra Nasser</t>
        </is>
      </c>
      <c r="C8" s="58" t="inlineStr">
        <is>
          <t>Controller</t>
        </is>
      </c>
      <c r="D8" s="58" t="inlineStr">
        <is>
          <t>can bind</t>
        </is>
      </c>
      <c r="E8" s="58" t="inlineStr">
        <is>
          <t>EMP-1002</t>
        </is>
      </c>
      <c r="F8" s="58" t="inlineStr">
        <is>
          <t>Bellwether Restaurant Group</t>
        </is>
      </c>
      <c r="G8" s="58">
        <f>IFERROR(INDEX('Employer Master'!$L$5:$L$99,MATCH(E8,'Employer Master'!$A$5:$A$99,0)),"")</f>
        <v/>
      </c>
      <c r="H8" s="58" t="n">
        <v>5</v>
      </c>
    </row>
    <row r="9" ht="15" customHeight="1" s="48">
      <c r="A9" s="56" t="inlineStr">
        <is>
          <t>CON-105</t>
        </is>
      </c>
      <c r="B9" s="56" t="inlineStr">
        <is>
          <t>Lorna Sarkisian</t>
        </is>
      </c>
      <c r="C9" s="56" t="inlineStr">
        <is>
          <t>Owner</t>
        </is>
      </c>
      <c r="D9" s="56" t="inlineStr">
        <is>
          <t>can bind</t>
        </is>
      </c>
      <c r="E9" s="56" t="inlineStr">
        <is>
          <t>EMP-1003</t>
        </is>
      </c>
      <c r="F9" s="56" t="inlineStr">
        <is>
          <t>Meridian Industries</t>
        </is>
      </c>
      <c r="G9" s="56">
        <f>IFERROR(INDEX('Employer Master'!$L$5:$L$99,MATCH(E9,'Employer Master'!$A$5:$A$99,0)),"")</f>
        <v/>
      </c>
      <c r="H9" s="56" t="n">
        <v>5</v>
      </c>
    </row>
    <row r="10" ht="15" customHeight="1" s="48">
      <c r="A10" s="58" t="inlineStr">
        <is>
          <t>CON-106</t>
        </is>
      </c>
      <c r="B10" s="58" t="inlineStr">
        <is>
          <t>Gideon Hollis</t>
        </is>
      </c>
      <c r="C10" s="58" t="inlineStr">
        <is>
          <t>HR Manager</t>
        </is>
      </c>
      <c r="D10" s="58" t="inlineStr">
        <is>
          <t>can bind</t>
        </is>
      </c>
      <c r="E10" s="58" t="inlineStr">
        <is>
          <t>EMP-1003</t>
        </is>
      </c>
      <c r="F10" s="58" t="inlineStr">
        <is>
          <t>Meridian Industries</t>
        </is>
      </c>
      <c r="G10" s="58">
        <f>IFERROR(INDEX('Employer Master'!$L$5:$L$99,MATCH(E10,'Employer Master'!$A$5:$A$99,0)),"")</f>
        <v/>
      </c>
      <c r="H10" s="58" t="n">
        <v>5</v>
      </c>
    </row>
    <row r="11" ht="15" customHeight="1" s="48">
      <c r="A11" s="56" t="inlineStr">
        <is>
          <t>CON-107</t>
        </is>
      </c>
      <c r="B11" s="56" t="inlineStr">
        <is>
          <t>Quill Lindqvist</t>
        </is>
      </c>
      <c r="C11" s="56" t="inlineStr">
        <is>
          <t>HR Coordinator</t>
        </is>
      </c>
      <c r="D11" s="56" t="inlineStr">
        <is>
          <t>cannot bind</t>
        </is>
      </c>
      <c r="E11" s="56" t="inlineStr">
        <is>
          <t>EMP-1004</t>
        </is>
      </c>
      <c r="F11" s="56" t="inlineStr">
        <is>
          <t>Drummond Associates</t>
        </is>
      </c>
      <c r="G11" s="56">
        <f>IFERROR(INDEX('Employer Master'!$L$5:$L$99,MATCH(E11,'Employer Master'!$A$5:$A$99,0)),"")</f>
        <v/>
      </c>
      <c r="H11" s="56" t="n">
        <v>5</v>
      </c>
    </row>
    <row r="12" ht="15" customHeight="1" s="48">
      <c r="A12" s="58" t="inlineStr">
        <is>
          <t>CON-108</t>
        </is>
      </c>
      <c r="B12" s="58" t="inlineStr">
        <is>
          <t>Gideon Nkemdi</t>
        </is>
      </c>
      <c r="C12" s="58" t="inlineStr">
        <is>
          <t>HR Director</t>
        </is>
      </c>
      <c r="D12" s="58" t="inlineStr">
        <is>
          <t>can bind</t>
        </is>
      </c>
      <c r="E12" s="58" t="inlineStr">
        <is>
          <t>EMP-1004</t>
        </is>
      </c>
      <c r="F12" s="58" t="inlineStr">
        <is>
          <t>Drummond Associates</t>
        </is>
      </c>
      <c r="G12" s="58">
        <f>IFERROR(INDEX('Employer Master'!$L$5:$L$99,MATCH(E12,'Employer Master'!$A$5:$A$99,0)),"")</f>
        <v/>
      </c>
      <c r="H12" s="58" t="n">
        <v>5</v>
      </c>
    </row>
    <row r="13" ht="15" customHeight="1" s="48">
      <c r="A13" s="56" t="inlineStr">
        <is>
          <t>CON-109</t>
        </is>
      </c>
      <c r="B13" s="56" t="inlineStr">
        <is>
          <t>Dmitri Jaramillo</t>
        </is>
      </c>
      <c r="C13" s="56" t="inlineStr">
        <is>
          <t>Benefits Administrator</t>
        </is>
      </c>
      <c r="D13" s="56" t="inlineStr">
        <is>
          <t>cannot bind</t>
        </is>
      </c>
      <c r="E13" s="56" t="inlineStr">
        <is>
          <t>EMP-1005</t>
        </is>
      </c>
      <c r="F13" s="56" t="inlineStr">
        <is>
          <t>Fontaine Dental Partners</t>
        </is>
      </c>
      <c r="G13" s="56">
        <f>IFERROR(INDEX('Employer Master'!$L$5:$L$99,MATCH(E13,'Employer Master'!$A$5:$A$99,0)),"")</f>
        <v/>
      </c>
      <c r="H13" s="56" t="n">
        <v>5</v>
      </c>
    </row>
    <row r="14" ht="15" customHeight="1" s="48">
      <c r="A14" s="58" t="inlineStr">
        <is>
          <t>CON-110</t>
        </is>
      </c>
      <c r="B14" s="58" t="inlineStr">
        <is>
          <t>Aurelio Pryor</t>
        </is>
      </c>
      <c r="C14" s="58" t="inlineStr">
        <is>
          <t>Office Manager</t>
        </is>
      </c>
      <c r="D14" s="58" t="inlineStr">
        <is>
          <t>cannot bind</t>
        </is>
      </c>
      <c r="E14" s="58" t="inlineStr">
        <is>
          <t>EMP-1005</t>
        </is>
      </c>
      <c r="F14" s="58" t="inlineStr">
        <is>
          <t>Fontaine Dental Partners</t>
        </is>
      </c>
      <c r="G14" s="58">
        <f>IFERROR(INDEX('Employer Master'!$L$5:$L$99,MATCH(E14,'Employer Master'!$A$5:$A$99,0)),"")</f>
        <v/>
      </c>
      <c r="H14" s="58" t="n">
        <v>5</v>
      </c>
    </row>
    <row r="15" ht="15" customHeight="1" s="48">
      <c r="A15" s="56" t="inlineStr">
        <is>
          <t>CON-111</t>
        </is>
      </c>
      <c r="B15" s="56" t="inlineStr">
        <is>
          <t>Sunil Baptiste</t>
        </is>
      </c>
      <c r="C15" s="56" t="inlineStr">
        <is>
          <t>Bookkeeper</t>
        </is>
      </c>
      <c r="D15" s="56" t="inlineStr">
        <is>
          <t>cannot bind</t>
        </is>
      </c>
      <c r="E15" s="56" t="inlineStr">
        <is>
          <t>EMP-1006</t>
        </is>
      </c>
      <c r="F15" s="56" t="inlineStr">
        <is>
          <t>Park Mechanical</t>
        </is>
      </c>
      <c r="G15" s="56">
        <f>IFERROR(INDEX('Employer Master'!$L$5:$L$99,MATCH(E15,'Employer Master'!$A$5:$A$99,0)),"")</f>
        <v/>
      </c>
      <c r="H15" s="56" t="n">
        <v>5</v>
      </c>
    </row>
    <row r="16" ht="15" customHeight="1" s="48">
      <c r="A16" s="58" t="inlineStr">
        <is>
          <t>CON-112</t>
        </is>
      </c>
      <c r="B16" s="58" t="inlineStr">
        <is>
          <t>Vera Villalobos</t>
        </is>
      </c>
      <c r="C16" s="58" t="inlineStr">
        <is>
          <t>HR Manager</t>
        </is>
      </c>
      <c r="D16" s="58" t="inlineStr">
        <is>
          <t>can bind</t>
        </is>
      </c>
      <c r="E16" s="58" t="inlineStr">
        <is>
          <t>EMP-1006</t>
        </is>
      </c>
      <c r="F16" s="58" t="inlineStr">
        <is>
          <t>Park Mechanical</t>
        </is>
      </c>
      <c r="G16" s="58">
        <f>IFERROR(INDEX('Employer Master'!$L$5:$L$99,MATCH(E16,'Employer Master'!$A$5:$A$99,0)),"")</f>
        <v/>
      </c>
      <c r="H16" s="58" t="n">
        <v>4</v>
      </c>
    </row>
    <row r="17" ht="15" customHeight="1" s="48">
      <c r="A17" s="56" t="inlineStr">
        <is>
          <t>CON-113</t>
        </is>
      </c>
      <c r="B17" s="56" t="inlineStr">
        <is>
          <t>Zadie Yamamoto</t>
        </is>
      </c>
      <c r="C17" s="56" t="inlineStr">
        <is>
          <t>CFO</t>
        </is>
      </c>
      <c r="D17" s="56" t="inlineStr">
        <is>
          <t>can bind</t>
        </is>
      </c>
      <c r="E17" s="56" t="inlineStr">
        <is>
          <t>EMP-1007</t>
        </is>
      </c>
      <c r="F17" s="56" t="inlineStr">
        <is>
          <t>Vasquez Transport</t>
        </is>
      </c>
      <c r="G17" s="56">
        <f>IFERROR(INDEX('Employer Master'!$L$5:$L$99,MATCH(E17,'Employer Master'!$A$5:$A$99,0)),"")</f>
        <v/>
      </c>
      <c r="H17" s="56" t="n">
        <v>6</v>
      </c>
    </row>
    <row r="18" ht="15" customHeight="1" s="48">
      <c r="A18" s="58" t="inlineStr">
        <is>
          <t>CON-114</t>
        </is>
      </c>
      <c r="B18" s="58" t="inlineStr">
        <is>
          <t>Rasmus Nkemdi</t>
        </is>
      </c>
      <c r="C18" s="58" t="inlineStr">
        <is>
          <t>Benefits Administrator</t>
        </is>
      </c>
      <c r="D18" s="58" t="inlineStr">
        <is>
          <t>cannot bind</t>
        </is>
      </c>
      <c r="E18" s="58" t="inlineStr">
        <is>
          <t>EMP-1008</t>
        </is>
      </c>
      <c r="F18" s="58" t="inlineStr">
        <is>
          <t>Cornerstone Associates</t>
        </is>
      </c>
      <c r="G18" s="58">
        <f>IFERROR(INDEX('Employer Master'!$L$5:$L$99,MATCH(E18,'Employer Master'!$A$5:$A$99,0)),"")</f>
        <v/>
      </c>
      <c r="H18" s="58" t="n">
        <v>6</v>
      </c>
    </row>
    <row r="19" ht="15" customHeight="1" s="48">
      <c r="A19" s="56" t="inlineStr">
        <is>
          <t>CON-115</t>
        </is>
      </c>
      <c r="B19" s="56" t="inlineStr">
        <is>
          <t>Dagny Yamamoto</t>
        </is>
      </c>
      <c r="C19" s="56" t="inlineStr">
        <is>
          <t>HR Director</t>
        </is>
      </c>
      <c r="D19" s="56" t="inlineStr">
        <is>
          <t>can bind</t>
        </is>
      </c>
      <c r="E19" s="56" t="inlineStr">
        <is>
          <t>EMP-1009</t>
        </is>
      </c>
      <c r="F19" s="56" t="inlineStr">
        <is>
          <t>Harborview Technologies</t>
        </is>
      </c>
      <c r="G19" s="56">
        <f>IFERROR(INDEX('Employer Master'!$L$5:$L$99,MATCH(E19,'Employer Master'!$A$5:$A$99,0)),"")</f>
        <v/>
      </c>
      <c r="H19" s="56" t="n">
        <v>6</v>
      </c>
    </row>
    <row r="20" ht="15" customHeight="1" s="48">
      <c r="A20" s="58" t="inlineStr">
        <is>
          <t>CON-116</t>
        </is>
      </c>
      <c r="B20" s="58" t="inlineStr">
        <is>
          <t>Wendell Wexler</t>
        </is>
      </c>
      <c r="C20" s="58" t="inlineStr">
        <is>
          <t>HR Director</t>
        </is>
      </c>
      <c r="D20" s="58" t="inlineStr">
        <is>
          <t>can bind</t>
        </is>
      </c>
      <c r="E20" s="58" t="inlineStr">
        <is>
          <t>EMP-1010</t>
        </is>
      </c>
      <c r="F20" s="58" t="inlineStr">
        <is>
          <t>Alderbrook Workforce Partners</t>
        </is>
      </c>
      <c r="G20" s="58">
        <f>IFERROR(INDEX('Employer Master'!$L$5:$L$99,MATCH(E20,'Employer Master'!$A$5:$A$99,0)),"")</f>
        <v/>
      </c>
      <c r="H20" s="58" t="n">
        <v>4</v>
      </c>
    </row>
    <row r="21" ht="15" customHeight="1" s="48">
      <c r="A21" s="56" t="inlineStr">
        <is>
          <t>CON-117</t>
        </is>
      </c>
      <c r="B21" s="56" t="inlineStr">
        <is>
          <t>Mateo Okonjo</t>
        </is>
      </c>
      <c r="C21" s="56" t="inlineStr">
        <is>
          <t>Controller</t>
        </is>
      </c>
      <c r="D21" s="56" t="inlineStr">
        <is>
          <t>can bind</t>
        </is>
      </c>
      <c r="E21" s="56" t="inlineStr">
        <is>
          <t>EMP-1011</t>
        </is>
      </c>
      <c r="F21" s="56" t="inlineStr">
        <is>
          <t>Foxglove Restaurant Group</t>
        </is>
      </c>
      <c r="G21" s="56">
        <f>IFERROR(INDEX('Employer Master'!$L$5:$L$99,MATCH(E21,'Employer Master'!$A$5:$A$99,0)),"")</f>
        <v/>
      </c>
      <c r="H21" s="56" t="n">
        <v>4</v>
      </c>
    </row>
    <row r="22" ht="15" customHeight="1" s="48">
      <c r="A22" s="58" t="inlineStr">
        <is>
          <t>CON-118</t>
        </is>
      </c>
      <c r="B22" s="58" t="inlineStr">
        <is>
          <t>Derek Kowalczyk</t>
        </is>
      </c>
      <c r="C22" s="58" t="inlineStr">
        <is>
          <t>CFO</t>
        </is>
      </c>
      <c r="D22" s="58" t="inlineStr">
        <is>
          <t>can bind</t>
        </is>
      </c>
      <c r="E22" s="58" t="inlineStr">
        <is>
          <t>EMP-1012</t>
        </is>
      </c>
      <c r="F22" s="58" t="inlineStr">
        <is>
          <t>Rosewood Construction</t>
        </is>
      </c>
      <c r="G22" s="58">
        <f>IFERROR(INDEX('Employer Master'!$L$5:$L$99,MATCH(E22,'Employer Master'!$A$5:$A$99,0)),"")</f>
        <v/>
      </c>
      <c r="H22" s="58" t="n">
        <v>4</v>
      </c>
    </row>
    <row r="23" ht="15" customHeight="1" s="48">
      <c r="A23" s="56" t="inlineStr">
        <is>
          <t>CON-119</t>
        </is>
      </c>
      <c r="B23" s="56" t="inlineStr">
        <is>
          <t>Kwesi Lindgren</t>
        </is>
      </c>
      <c r="C23" s="56" t="inlineStr">
        <is>
          <t>HR Coordinator</t>
        </is>
      </c>
      <c r="D23" s="56" t="inlineStr">
        <is>
          <t>cannot bind</t>
        </is>
      </c>
      <c r="E23" s="56" t="inlineStr">
        <is>
          <t>EMP-1013</t>
        </is>
      </c>
      <c r="F23" s="56" t="inlineStr">
        <is>
          <t>Kestrel Precision Tooling</t>
        </is>
      </c>
      <c r="G23" s="56">
        <f>IFERROR(INDEX('Employer Master'!$L$5:$L$99,MATCH(E23,'Employer Master'!$A$5:$A$99,0)),"")</f>
        <v/>
      </c>
      <c r="H23" s="56" t="n">
        <v>4</v>
      </c>
    </row>
    <row r="24" ht="15" customHeight="1" s="48">
      <c r="A24" s="58" t="inlineStr">
        <is>
          <t>CON-120</t>
        </is>
      </c>
      <c r="B24" s="58" t="inlineStr">
        <is>
          <t>Xavier Sarkisian</t>
        </is>
      </c>
      <c r="C24" s="58" t="inlineStr">
        <is>
          <t>CFO</t>
        </is>
      </c>
      <c r="D24" s="58" t="inlineStr">
        <is>
          <t>can bind</t>
        </is>
      </c>
      <c r="E24" s="58" t="inlineStr">
        <is>
          <t>EMP-1014</t>
        </is>
      </c>
      <c r="F24" s="58" t="inlineStr">
        <is>
          <t>Tulare Dental Partners</t>
        </is>
      </c>
      <c r="G24" s="58">
        <f>IFERROR(INDEX('Employer Master'!$L$5:$L$99,MATCH(E24,'Employer Master'!$A$5:$A$99,0)),"")</f>
        <v/>
      </c>
      <c r="H24" s="58" t="n">
        <v>4</v>
      </c>
    </row>
    <row r="25" ht="15" customHeight="1" s="48">
      <c r="A25" s="56" t="inlineStr">
        <is>
          <t>CON-121</t>
        </is>
      </c>
      <c r="B25" s="56" t="inlineStr">
        <is>
          <t>Ahmed Steinberg</t>
        </is>
      </c>
      <c r="C25" s="56" t="inlineStr">
        <is>
          <t>Bookkeeper</t>
        </is>
      </c>
      <c r="D25" s="56" t="inlineStr">
        <is>
          <t>cannot bind</t>
        </is>
      </c>
      <c r="E25" s="56" t="inlineStr">
        <is>
          <t>EMP-1015</t>
        </is>
      </c>
      <c r="F25" s="56" t="inlineStr">
        <is>
          <t>Marisol Supply Co</t>
        </is>
      </c>
      <c r="G25" s="56">
        <f>IFERROR(INDEX('Employer Master'!$L$5:$L$99,MATCH(E25,'Employer Master'!$A$5:$A$99,0)),"")</f>
        <v/>
      </c>
      <c r="H25" s="56" t="n">
        <v>4</v>
      </c>
    </row>
    <row r="26" ht="15" customHeight="1" s="48">
      <c r="A26" s="58" t="inlineStr">
        <is>
          <t>CON-122</t>
        </is>
      </c>
      <c r="B26" s="58" t="inlineStr">
        <is>
          <t>Jonah Hollis</t>
        </is>
      </c>
      <c r="C26" s="58" t="inlineStr">
        <is>
          <t>Office Manager</t>
        </is>
      </c>
      <c r="D26" s="58" t="inlineStr">
        <is>
          <t>cannot bind</t>
        </is>
      </c>
      <c r="E26" s="58" t="inlineStr">
        <is>
          <t>EMP-1016</t>
        </is>
      </c>
      <c r="F26" s="58" t="inlineStr">
        <is>
          <t>Ironwood Transport</t>
        </is>
      </c>
      <c r="G26" s="58">
        <f>IFERROR(INDEX('Employer Master'!$L$5:$L$99,MATCH(E26,'Employer Master'!$A$5:$A$99,0)),"")</f>
        <v/>
      </c>
      <c r="H26" s="58" t="n">
        <v>3</v>
      </c>
    </row>
    <row r="27" ht="15" customHeight="1" s="48">
      <c r="A27" s="56" t="inlineStr">
        <is>
          <t>CON-123</t>
        </is>
      </c>
      <c r="B27" s="56" t="inlineStr">
        <is>
          <t>Vidal Fraser</t>
        </is>
      </c>
      <c r="C27" s="56" t="inlineStr">
        <is>
          <t>HR Coordinator</t>
        </is>
      </c>
      <c r="D27" s="56" t="inlineStr">
        <is>
          <t>cannot bind</t>
        </is>
      </c>
      <c r="E27" s="56" t="inlineStr">
        <is>
          <t>EMP-1017</t>
        </is>
      </c>
      <c r="F27" s="56" t="inlineStr">
        <is>
          <t>Blue Mesa Advisors</t>
        </is>
      </c>
      <c r="G27" s="56">
        <f>IFERROR(INDEX('Employer Master'!$L$5:$L$99,MATCH(E27,'Employer Master'!$A$5:$A$99,0)),"")</f>
        <v/>
      </c>
      <c r="H27" s="56" t="n">
        <v>3</v>
      </c>
    </row>
    <row r="28" ht="15" customHeight="1" s="48">
      <c r="A28" s="58" t="inlineStr">
        <is>
          <t>CON-124</t>
        </is>
      </c>
      <c r="B28" s="58" t="inlineStr">
        <is>
          <t>Jolene Winters</t>
        </is>
      </c>
      <c r="C28" s="58" t="inlineStr">
        <is>
          <t>Payroll Administrator</t>
        </is>
      </c>
      <c r="D28" s="58" t="inlineStr">
        <is>
          <t>cannot bind</t>
        </is>
      </c>
      <c r="E28" s="58" t="inlineStr">
        <is>
          <t>EMP-1018</t>
        </is>
      </c>
      <c r="F28" s="58" t="inlineStr">
        <is>
          <t>Halcyon Data Group</t>
        </is>
      </c>
      <c r="G28" s="58">
        <f>IFERROR(INDEX('Employer Master'!$L$5:$L$99,MATCH(E28,'Employer Master'!$A$5:$A$99,0)),"")</f>
        <v/>
      </c>
      <c r="H28" s="58" t="n">
        <v>3</v>
      </c>
    </row>
    <row r="29" ht="15" customHeight="1" s="48">
      <c r="A29" s="56" t="inlineStr">
        <is>
          <t>CON-125</t>
        </is>
      </c>
      <c r="B29" s="56" t="inlineStr">
        <is>
          <t>Rafael Sarkisian</t>
        </is>
      </c>
      <c r="C29" s="56" t="inlineStr">
        <is>
          <t>Benefits Administrator</t>
        </is>
      </c>
      <c r="D29" s="56" t="inlineStr">
        <is>
          <t>cannot bind</t>
        </is>
      </c>
      <c r="E29" s="56" t="inlineStr">
        <is>
          <t>EMP-1019</t>
        </is>
      </c>
      <c r="F29" s="56" t="inlineStr">
        <is>
          <t>Northgate Personnel Group</t>
        </is>
      </c>
      <c r="G29" s="56">
        <f>IFERROR(INDEX('Employer Master'!$L$5:$L$99,MATCH(E29,'Employer Master'!$A$5:$A$99,0)),"")</f>
        <v/>
      </c>
      <c r="H29" s="56" t="n">
        <v>4</v>
      </c>
    </row>
    <row r="30" ht="15" customHeight="1" s="48">
      <c r="A30" s="58" t="inlineStr">
        <is>
          <t>CON-126</t>
        </is>
      </c>
      <c r="B30" s="58" t="inlineStr">
        <is>
          <t>Juno Nkemdi</t>
        </is>
      </c>
      <c r="C30" s="58" t="inlineStr">
        <is>
          <t>Benefits Administrator</t>
        </is>
      </c>
      <c r="D30" s="58" t="inlineStr">
        <is>
          <t>cannot bind</t>
        </is>
      </c>
      <c r="E30" s="58" t="inlineStr">
        <is>
          <t>EMP-1020</t>
        </is>
      </c>
      <c r="F30" s="58" t="inlineStr">
        <is>
          <t>Sandpiper Hospitality Group</t>
        </is>
      </c>
      <c r="G30" s="58">
        <f>IFERROR(INDEX('Employer Master'!$L$5:$L$99,MATCH(E30,'Employer Master'!$A$5:$A$99,0)),"")</f>
        <v/>
      </c>
      <c r="H30" s="58" t="n">
        <v>3</v>
      </c>
    </row>
    <row r="31" ht="15" customHeight="1" s="48">
      <c r="A31" s="56" t="inlineStr">
        <is>
          <t>CON-127</t>
        </is>
      </c>
      <c r="B31" s="56" t="inlineStr">
        <is>
          <t>Sandra Peralta</t>
        </is>
      </c>
      <c r="C31" s="56" t="inlineStr">
        <is>
          <t>HR Director</t>
        </is>
      </c>
      <c r="D31" s="56" t="inlineStr">
        <is>
          <t>can bind</t>
        </is>
      </c>
      <c r="E31" s="56" t="inlineStr">
        <is>
          <t>EMP-1021</t>
        </is>
      </c>
      <c r="F31" s="56" t="inlineStr">
        <is>
          <t>Verdant Mechanical</t>
        </is>
      </c>
      <c r="G31" s="56">
        <f>IFERROR(INDEX('Employer Master'!$L$5:$L$99,MATCH(E31,'Employer Master'!$A$5:$A$99,0)),"")</f>
        <v/>
      </c>
      <c r="H31" s="56" t="n">
        <v>2</v>
      </c>
    </row>
    <row r="32" ht="15" customHeight="1" s="48">
      <c r="A32" s="58" t="inlineStr">
        <is>
          <t>CON-128</t>
        </is>
      </c>
      <c r="B32" s="58" t="inlineStr">
        <is>
          <t>Anouk Chigozie</t>
        </is>
      </c>
      <c r="C32" s="58" t="inlineStr">
        <is>
          <t>Controller</t>
        </is>
      </c>
      <c r="D32" s="58" t="inlineStr">
        <is>
          <t>can bind</t>
        </is>
      </c>
      <c r="E32" s="58" t="inlineStr">
        <is>
          <t>EMP-1022</t>
        </is>
      </c>
      <c r="F32" s="58" t="inlineStr">
        <is>
          <t>Ashford Precision Tooling</t>
        </is>
      </c>
      <c r="G32" s="58">
        <f>IFERROR(INDEX('Employer Master'!$L$5:$L$99,MATCH(E32,'Employer Master'!$A$5:$A$99,0)),"")</f>
        <v/>
      </c>
      <c r="H32" s="58" t="n">
        <v>2</v>
      </c>
    </row>
    <row r="33" ht="15" customHeight="1" s="48">
      <c r="A33" s="56" t="inlineStr">
        <is>
          <t>CON-129</t>
        </is>
      </c>
      <c r="B33" s="56" t="inlineStr">
        <is>
          <t>Quill Ashby</t>
        </is>
      </c>
      <c r="C33" s="56" t="inlineStr">
        <is>
          <t>Office Manager</t>
        </is>
      </c>
      <c r="D33" s="56" t="inlineStr">
        <is>
          <t>cannot bind</t>
        </is>
      </c>
      <c r="E33" s="56" t="inlineStr">
        <is>
          <t>EMP-1023</t>
        </is>
      </c>
      <c r="F33" s="56" t="inlineStr">
        <is>
          <t>Calloway Dental Partners</t>
        </is>
      </c>
      <c r="G33" s="56">
        <f>IFERROR(INDEX('Employer Master'!$L$5:$L$99,MATCH(E33,'Employer Master'!$A$5:$A$99,0)),"")</f>
        <v/>
      </c>
      <c r="H33" s="56" t="n">
        <v>2</v>
      </c>
    </row>
    <row r="34" ht="15" customHeight="1" s="48">
      <c r="A34" s="58" t="inlineStr">
        <is>
          <t>CON-130</t>
        </is>
      </c>
      <c r="B34" s="58" t="inlineStr">
        <is>
          <t>Omar Liu</t>
        </is>
      </c>
      <c r="C34" s="58" t="inlineStr">
        <is>
          <t>Benefits Administrator</t>
        </is>
      </c>
      <c r="D34" s="58" t="inlineStr">
        <is>
          <t>cannot bind</t>
        </is>
      </c>
      <c r="E34" s="58" t="inlineStr">
        <is>
          <t>EMP-1024</t>
        </is>
      </c>
      <c r="F34" s="58" t="inlineStr">
        <is>
          <t>Delmar Retail Group</t>
        </is>
      </c>
      <c r="G34" s="58">
        <f>IFERROR(INDEX('Employer Master'!$L$5:$L$99,MATCH(E34,'Employer Master'!$A$5:$A$99,0)),"")</f>
        <v/>
      </c>
      <c r="H34" s="58" t="n">
        <v>2</v>
      </c>
    </row>
    <row r="35" ht="15" customHeight="1" s="48">
      <c r="A35" s="56" t="inlineStr">
        <is>
          <t>CON-131</t>
        </is>
      </c>
      <c r="B35" s="56" t="inlineStr">
        <is>
          <t>Caius Villalobos</t>
        </is>
      </c>
      <c r="C35" s="56" t="inlineStr">
        <is>
          <t>CFO</t>
        </is>
      </c>
      <c r="D35" s="56" t="inlineStr">
        <is>
          <t>can bind</t>
        </is>
      </c>
      <c r="E35" s="56" t="inlineStr">
        <is>
          <t>EMP-1025</t>
        </is>
      </c>
      <c r="F35" s="56" t="inlineStr">
        <is>
          <t>Emberline Logistics</t>
        </is>
      </c>
      <c r="G35" s="56">
        <f>IFERROR(INDEX('Employer Master'!$L$5:$L$99,MATCH(E35,'Employer Master'!$A$5:$A$99,0)),"")</f>
        <v/>
      </c>
      <c r="H35" s="56" t="n">
        <v>2</v>
      </c>
    </row>
    <row r="36" ht="15" customHeight="1" s="48">
      <c r="A36" s="58" t="inlineStr">
        <is>
          <t>CON-132</t>
        </is>
      </c>
      <c r="B36" s="58" t="inlineStr">
        <is>
          <t>Noor Fairweather</t>
        </is>
      </c>
      <c r="C36" s="58" t="inlineStr">
        <is>
          <t>Benefits Administrator</t>
        </is>
      </c>
      <c r="D36" s="58" t="inlineStr">
        <is>
          <t>cannot bind</t>
        </is>
      </c>
      <c r="E36" s="58" t="inlineStr">
        <is>
          <t>EMP-1026</t>
        </is>
      </c>
      <c r="F36" s="58" t="inlineStr">
        <is>
          <t>Fairhaven Associates</t>
        </is>
      </c>
      <c r="G36" s="58">
        <f>IFERROR(INDEX('Employer Master'!$L$5:$L$99,MATCH(E36,'Employer Master'!$A$5:$A$99,0)),"")</f>
        <v/>
      </c>
      <c r="H36" s="58" t="n">
        <v>2</v>
      </c>
    </row>
    <row r="37" ht="15" customHeight="1" s="48">
      <c r="A37" s="56" t="inlineStr">
        <is>
          <t>CON-133</t>
        </is>
      </c>
      <c r="B37" s="56" t="inlineStr">
        <is>
          <t>Omar Fontaine</t>
        </is>
      </c>
      <c r="C37" s="56" t="inlineStr">
        <is>
          <t>HR Director</t>
        </is>
      </c>
      <c r="D37" s="56" t="inlineStr">
        <is>
          <t>can bind</t>
        </is>
      </c>
      <c r="E37" s="56" t="inlineStr">
        <is>
          <t>EMP-1027</t>
        </is>
      </c>
      <c r="F37" s="56" t="inlineStr">
        <is>
          <t>Granite Bay Systems</t>
        </is>
      </c>
      <c r="G37" s="56">
        <f>IFERROR(INDEX('Employer Master'!$L$5:$L$99,MATCH(E37,'Employer Master'!$A$5:$A$99,0)),"")</f>
        <v/>
      </c>
      <c r="H37" s="56" t="n">
        <v>2</v>
      </c>
    </row>
    <row r="38" ht="15" customHeight="1" s="48">
      <c r="A38" s="58" t="inlineStr">
        <is>
          <t>CON-134</t>
        </is>
      </c>
      <c r="B38" s="58" t="inlineStr">
        <is>
          <t>Pascal Raman</t>
        </is>
      </c>
      <c r="C38" s="58" t="inlineStr">
        <is>
          <t>CFO</t>
        </is>
      </c>
      <c r="D38" s="58" t="inlineStr">
        <is>
          <t>can bind</t>
        </is>
      </c>
      <c r="E38" s="58" t="inlineStr">
        <is>
          <t>EMP-1028</t>
        </is>
      </c>
      <c r="F38" s="58" t="inlineStr">
        <is>
          <t>Highpoint Staffing</t>
        </is>
      </c>
      <c r="G38" s="58">
        <f>IFERROR(INDEX('Employer Master'!$L$5:$L$99,MATCH(E38,'Employer Master'!$A$5:$A$99,0)),"")</f>
        <v/>
      </c>
      <c r="H38" s="58" t="n">
        <v>2</v>
      </c>
    </row>
    <row r="39" ht="15" customHeight="1" s="48">
      <c r="A39" s="56" t="inlineStr">
        <is>
          <t>CON-135</t>
        </is>
      </c>
      <c r="B39" s="56" t="inlineStr">
        <is>
          <t>Omar Fraser</t>
        </is>
      </c>
      <c r="C39" s="56" t="inlineStr">
        <is>
          <t>HR Coordinator</t>
        </is>
      </c>
      <c r="D39" s="56" t="inlineStr">
        <is>
          <t>cannot bind</t>
        </is>
      </c>
      <c r="E39" s="56" t="inlineStr">
        <is>
          <t>EMP-1029</t>
        </is>
      </c>
      <c r="F39" s="56" t="inlineStr">
        <is>
          <t>Junipero Restaurant Group</t>
        </is>
      </c>
      <c r="G39" s="56">
        <f>IFERROR(INDEX('Employer Master'!$L$5:$L$99,MATCH(E39,'Employer Master'!$A$5:$A$99,0)),"")</f>
        <v/>
      </c>
      <c r="H39" s="56" t="n">
        <v>1</v>
      </c>
    </row>
    <row r="40" ht="15" customHeight="1" s="48">
      <c r="A40" s="58" t="inlineStr">
        <is>
          <t>CON-136</t>
        </is>
      </c>
      <c r="B40" s="58" t="inlineStr">
        <is>
          <t>Tobias Bonaventura</t>
        </is>
      </c>
      <c r="C40" s="58" t="inlineStr">
        <is>
          <t>HR Coordinator</t>
        </is>
      </c>
      <c r="D40" s="58" t="inlineStr">
        <is>
          <t>cannot bind</t>
        </is>
      </c>
      <c r="E40" s="58" t="inlineStr">
        <is>
          <t>EMP-1030</t>
        </is>
      </c>
      <c r="F40" s="58" t="inlineStr">
        <is>
          <t>Kingsley Mechanical</t>
        </is>
      </c>
      <c r="G40" s="58">
        <f>IFERROR(INDEX('Employer Master'!$L$5:$L$99,MATCH(E40,'Employer Master'!$A$5:$A$99,0)),"")</f>
        <v/>
      </c>
      <c r="H40" s="58" t="n">
        <v>1</v>
      </c>
    </row>
    <row r="41" ht="15" customHeight="1" s="48">
      <c r="A41" s="56" t="inlineStr">
        <is>
          <t>CON-137</t>
        </is>
      </c>
      <c r="B41" s="56" t="inlineStr">
        <is>
          <t>Sandra Villalobos</t>
        </is>
      </c>
      <c r="C41" s="56" t="inlineStr">
        <is>
          <t>CFO</t>
        </is>
      </c>
      <c r="D41" s="56" t="inlineStr">
        <is>
          <t>can bind</t>
        </is>
      </c>
      <c r="E41" s="56" t="inlineStr">
        <is>
          <t>EMP-1031</t>
        </is>
      </c>
      <c r="F41" s="56" t="inlineStr">
        <is>
          <t>Larkspur Manufacturing</t>
        </is>
      </c>
      <c r="G41" s="56">
        <f>IFERROR(INDEX('Employer Master'!$L$5:$L$99,MATCH(E41,'Employer Master'!$A$5:$A$99,0)),"")</f>
        <v/>
      </c>
      <c r="H41" s="56" t="n">
        <v>1</v>
      </c>
    </row>
    <row r="42" ht="15" customHeight="1" s="48">
      <c r="A42" s="58" t="inlineStr">
        <is>
          <t>CON-138</t>
        </is>
      </c>
      <c r="B42" s="58" t="inlineStr">
        <is>
          <t>Emeka Pryor</t>
        </is>
      </c>
      <c r="C42" s="58" t="inlineStr">
        <is>
          <t>HR Coordinator</t>
        </is>
      </c>
      <c r="D42" s="58" t="inlineStr">
        <is>
          <t>cannot bind</t>
        </is>
      </c>
      <c r="E42" s="58" t="inlineStr">
        <is>
          <t>EMP-1032</t>
        </is>
      </c>
      <c r="F42" s="58" t="inlineStr">
        <is>
          <t>Montrose Medical Group</t>
        </is>
      </c>
      <c r="G42" s="58">
        <f>IFERROR(INDEX('Employer Master'!$L$5:$L$99,MATCH(E42,'Employer Master'!$A$5:$A$99,0)),"")</f>
        <v/>
      </c>
      <c r="H42" s="58" t="n">
        <v>1</v>
      </c>
    </row>
    <row r="43" ht="15" customHeight="1" s="48">
      <c r="A43" s="56" t="inlineStr">
        <is>
          <t>CON-139</t>
        </is>
      </c>
      <c r="B43" s="56" t="inlineStr">
        <is>
          <t>Saoirse Venkatesh</t>
        </is>
      </c>
      <c r="C43" s="56" t="inlineStr">
        <is>
          <t>CFO</t>
        </is>
      </c>
      <c r="D43" s="56" t="inlineStr">
        <is>
          <t>can bind</t>
        </is>
      </c>
      <c r="E43" s="56" t="inlineStr">
        <is>
          <t>EMP-1033</t>
        </is>
      </c>
      <c r="F43" s="56" t="inlineStr">
        <is>
          <t>Nevins Markets</t>
        </is>
      </c>
      <c r="G43" s="56">
        <f>IFERROR(INDEX('Employer Master'!$L$5:$L$99,MATCH(E43,'Employer Master'!$A$5:$A$99,0)),"")</f>
        <v/>
      </c>
      <c r="H43" s="56" t="n">
        <v>1</v>
      </c>
    </row>
    <row r="44" ht="15" customHeight="1" s="48">
      <c r="A44" s="58" t="inlineStr">
        <is>
          <t>CON-140</t>
        </is>
      </c>
      <c r="B44" s="58" t="inlineStr">
        <is>
          <t>Jerome Lemoine</t>
        </is>
      </c>
      <c r="C44" s="58" t="inlineStr">
        <is>
          <t>CFO</t>
        </is>
      </c>
      <c r="D44" s="58" t="inlineStr">
        <is>
          <t>can bind</t>
        </is>
      </c>
      <c r="E44" s="58" t="inlineStr">
        <is>
          <t>EMP-1034</t>
        </is>
      </c>
      <c r="F44" s="58" t="inlineStr">
        <is>
          <t>Ocotillo Transport</t>
        </is>
      </c>
      <c r="G44" s="58">
        <f>IFERROR(INDEX('Employer Master'!$L$5:$L$99,MATCH(E44,'Employer Master'!$A$5:$A$99,0)),"")</f>
        <v/>
      </c>
      <c r="H44" s="58" t="n">
        <v>2</v>
      </c>
    </row>
    <row r="45" ht="15" customHeight="1" s="48">
      <c r="A45" s="56" t="inlineStr">
        <is>
          <t>CON-141</t>
        </is>
      </c>
      <c r="B45" s="56" t="inlineStr">
        <is>
          <t>Xavier Lindgren</t>
        </is>
      </c>
      <c r="C45" s="56" t="inlineStr">
        <is>
          <t>Bookkeeper</t>
        </is>
      </c>
      <c r="D45" s="56" t="inlineStr">
        <is>
          <t>cannot bind</t>
        </is>
      </c>
      <c r="E45" s="56" t="inlineStr">
        <is>
          <t>EMP-1035</t>
        </is>
      </c>
      <c r="F45" s="56" t="inlineStr">
        <is>
          <t>Pinecrest Associates</t>
        </is>
      </c>
      <c r="G45" s="56">
        <f>IFERROR(INDEX('Employer Master'!$L$5:$L$99,MATCH(E45,'Employer Master'!$A$5:$A$99,0)),"")</f>
        <v/>
      </c>
      <c r="H45" s="56" t="n">
        <v>2</v>
      </c>
    </row>
    <row r="46" ht="15" customHeight="1" s="48">
      <c r="A46" s="58" t="inlineStr">
        <is>
          <t>CON-142</t>
        </is>
      </c>
      <c r="B46" s="58" t="inlineStr">
        <is>
          <t>Imani Hobbs</t>
        </is>
      </c>
      <c r="C46" s="58" t="inlineStr">
        <is>
          <t>Office Manager</t>
        </is>
      </c>
      <c r="D46" s="58" t="inlineStr">
        <is>
          <t>cannot bind</t>
        </is>
      </c>
      <c r="E46" s="58" t="inlineStr">
        <is>
          <t>EMP-1036</t>
        </is>
      </c>
      <c r="F46" s="58" t="inlineStr">
        <is>
          <t>Quarry Road Data Group</t>
        </is>
      </c>
      <c r="G46" s="58">
        <f>IFERROR(INDEX('Employer Master'!$L$5:$L$99,MATCH(E46,'Employer Master'!$A$5:$A$99,0)),"")</f>
        <v/>
      </c>
      <c r="H46" s="58" t="n">
        <v>1</v>
      </c>
    </row>
    <row r="47" ht="15" customHeight="1" s="48">
      <c r="A47" s="56" t="inlineStr">
        <is>
          <t>CON-143</t>
        </is>
      </c>
      <c r="B47" s="56" t="inlineStr">
        <is>
          <t>Ingrid Quiroga</t>
        </is>
      </c>
      <c r="C47" s="56" t="inlineStr">
        <is>
          <t>HR Manager</t>
        </is>
      </c>
      <c r="D47" s="56" t="inlineStr">
        <is>
          <t>can bind</t>
        </is>
      </c>
      <c r="E47" s="56" t="inlineStr">
        <is>
          <t>EMP-1037</t>
        </is>
      </c>
      <c r="F47" s="56" t="inlineStr">
        <is>
          <t>Redbud Staffing</t>
        </is>
      </c>
      <c r="G47" s="56">
        <f>IFERROR(INDEX('Employer Master'!$L$5:$L$99,MATCH(E47,'Employer Master'!$A$5:$A$99,0)),"")</f>
        <v/>
      </c>
      <c r="H47" s="56" t="n">
        <v>1</v>
      </c>
    </row>
    <row r="48" ht="15" customHeight="1" s="48">
      <c r="A48" s="58" t="inlineStr">
        <is>
          <t>CON-144</t>
        </is>
      </c>
      <c r="B48" s="58" t="inlineStr">
        <is>
          <t>Perrine Lemoine</t>
        </is>
      </c>
      <c r="C48" s="58" t="inlineStr">
        <is>
          <t>Owner</t>
        </is>
      </c>
      <c r="D48" s="58" t="inlineStr">
        <is>
          <t>can bind</t>
        </is>
      </c>
      <c r="E48" s="58" t="inlineStr">
        <is>
          <t>EMP-1038</t>
        </is>
      </c>
      <c r="F48" s="58" t="inlineStr">
        <is>
          <t>Sierra Vista Hospitality Group</t>
        </is>
      </c>
      <c r="G48" s="58">
        <f>IFERROR(INDEX('Employer Master'!$L$5:$L$99,MATCH(E48,'Employer Master'!$A$5:$A$99,0)),"")</f>
        <v/>
      </c>
      <c r="H48" s="58" t="n">
        <v>1</v>
      </c>
    </row>
    <row r="49" ht="15" customHeight="1" s="48">
      <c r="A49" s="56" t="inlineStr">
        <is>
          <t>CON-145</t>
        </is>
      </c>
      <c r="B49" s="56" t="inlineStr">
        <is>
          <t>Jonah Thibault</t>
        </is>
      </c>
      <c r="C49" s="56" t="inlineStr">
        <is>
          <t>Owner</t>
        </is>
      </c>
      <c r="D49" s="56" t="inlineStr">
        <is>
          <t>can bind</t>
        </is>
      </c>
      <c r="E49" s="56" t="inlineStr">
        <is>
          <t>EMP-1039</t>
        </is>
      </c>
      <c r="F49" s="56" t="inlineStr">
        <is>
          <t>Thistle Construction</t>
        </is>
      </c>
      <c r="G49" s="56">
        <f>IFERROR(INDEX('Employer Master'!$L$5:$L$99,MATCH(E49,'Employer Master'!$A$5:$A$99,0)),"")</f>
        <v/>
      </c>
      <c r="H49" s="56" t="n">
        <v>1</v>
      </c>
    </row>
    <row r="50" ht="15" customHeight="1" s="48">
      <c r="A50" s="58" t="inlineStr">
        <is>
          <t>CON-146</t>
        </is>
      </c>
      <c r="B50" s="58" t="inlineStr">
        <is>
          <t>Kirsten Kowalczyk</t>
        </is>
      </c>
      <c r="C50" s="58" t="inlineStr">
        <is>
          <t>Controller</t>
        </is>
      </c>
      <c r="D50" s="58" t="inlineStr">
        <is>
          <t>can bind</t>
        </is>
      </c>
      <c r="E50" s="58" t="inlineStr">
        <is>
          <t>EMP-1040</t>
        </is>
      </c>
      <c r="F50" s="58" t="inlineStr">
        <is>
          <t>Umber Precision Tooling</t>
        </is>
      </c>
      <c r="G50" s="58">
        <f>IFERROR(INDEX('Employer Master'!$L$5:$L$99,MATCH(E50,'Employer Master'!$A$5:$A$99,0)),"")</f>
        <v/>
      </c>
      <c r="H50" s="58" t="n">
        <v>1</v>
      </c>
    </row>
    <row r="51" ht="15" customHeight="1" s="48">
      <c r="A51" s="56" t="inlineStr">
        <is>
          <t>CON-147</t>
        </is>
      </c>
      <c r="B51" s="56" t="inlineStr">
        <is>
          <t>Leon Boyd</t>
        </is>
      </c>
      <c r="C51" s="56" t="inlineStr">
        <is>
          <t>Office Manager</t>
        </is>
      </c>
      <c r="D51" s="56" t="inlineStr">
        <is>
          <t>cannot bind</t>
        </is>
      </c>
      <c r="E51" s="56" t="inlineStr">
        <is>
          <t>EMP-1041</t>
        </is>
      </c>
      <c r="F51" s="56" t="inlineStr">
        <is>
          <t>Valmont Medical Group</t>
        </is>
      </c>
      <c r="G51" s="56">
        <f>IFERROR(INDEX('Employer Master'!$L$5:$L$99,MATCH(E51,'Employer Master'!$A$5:$A$99,0)),"")</f>
        <v/>
      </c>
      <c r="H51" s="56" t="n">
        <v>2</v>
      </c>
    </row>
    <row r="52" ht="15" customHeight="1" s="48">
      <c r="A52" s="58" t="inlineStr">
        <is>
          <t>CON-148</t>
        </is>
      </c>
      <c r="B52" s="58" t="inlineStr">
        <is>
          <t>Mireille Nyberg</t>
        </is>
      </c>
      <c r="C52" s="58" t="inlineStr">
        <is>
          <t>Owner</t>
        </is>
      </c>
      <c r="D52" s="58" t="inlineStr">
        <is>
          <t>can bind</t>
        </is>
      </c>
      <c r="E52" s="58" t="inlineStr">
        <is>
          <t>EMP-1042</t>
        </is>
      </c>
      <c r="F52" s="58" t="inlineStr">
        <is>
          <t>Westbrook Supply Co</t>
        </is>
      </c>
      <c r="G52" s="58">
        <f>IFERROR(INDEX('Employer Master'!$L$5:$L$99,MATCH(E52,'Employer Master'!$A$5:$A$99,0)),"")</f>
        <v/>
      </c>
      <c r="H52" s="58" t="n">
        <v>2</v>
      </c>
    </row>
    <row r="53" ht="15" customHeight="1" s="48">
      <c r="A53" s="56" t="inlineStr">
        <is>
          <t>CON-149</t>
        </is>
      </c>
      <c r="B53" s="56" t="inlineStr">
        <is>
          <t>Abel Villalobos</t>
        </is>
      </c>
      <c r="C53" s="56" t="inlineStr">
        <is>
          <t>Controller</t>
        </is>
      </c>
      <c r="D53" s="56" t="inlineStr">
        <is>
          <t>can bind</t>
        </is>
      </c>
      <c r="E53" s="56" t="inlineStr">
        <is>
          <t>EMP-1043</t>
        </is>
      </c>
      <c r="F53" s="56" t="inlineStr">
        <is>
          <t>Yarrow Freight</t>
        </is>
      </c>
      <c r="G53" s="56">
        <f>IFERROR(INDEX('Employer Master'!$L$5:$L$99,MATCH(E53,'Employer Master'!$A$5:$A$99,0)),"")</f>
        <v/>
      </c>
      <c r="H53" s="56" t="n">
        <v>2</v>
      </c>
    </row>
    <row r="54" ht="15" customHeight="1" s="48">
      <c r="A54" s="58" t="inlineStr">
        <is>
          <t>CON-150</t>
        </is>
      </c>
      <c r="B54" s="58" t="inlineStr">
        <is>
          <t>Nina Bonaventura</t>
        </is>
      </c>
      <c r="C54" s="58" t="inlineStr">
        <is>
          <t>Benefits Administrator</t>
        </is>
      </c>
      <c r="D54" s="58" t="inlineStr">
        <is>
          <t>cannot bind</t>
        </is>
      </c>
      <c r="E54" s="58" t="inlineStr">
        <is>
          <t>EMP-1044</t>
        </is>
      </c>
      <c r="F54" s="58" t="inlineStr">
        <is>
          <t>Zephyr Advisors</t>
        </is>
      </c>
      <c r="G54" s="58">
        <f>IFERROR(INDEX('Employer Master'!$L$5:$L$99,MATCH(E54,'Employer Master'!$A$5:$A$99,0)),"")</f>
        <v/>
      </c>
      <c r="H54" s="58" t="n">
        <v>2</v>
      </c>
    </row>
    <row r="55" ht="15" customHeight="1" s="48">
      <c r="A55" s="56" t="inlineStr">
        <is>
          <t>CON-151</t>
        </is>
      </c>
      <c r="B55" s="56" t="inlineStr">
        <is>
          <t>Uma Villalobos</t>
        </is>
      </c>
      <c r="C55" s="56" t="inlineStr">
        <is>
          <t>Office Manager</t>
        </is>
      </c>
      <c r="D55" s="56" t="inlineStr">
        <is>
          <t>cannot bind</t>
        </is>
      </c>
      <c r="E55" s="56" t="inlineStr">
        <is>
          <t>EMP-1045</t>
        </is>
      </c>
      <c r="F55" s="56" t="inlineStr">
        <is>
          <t>Aviston Technologies</t>
        </is>
      </c>
      <c r="G55" s="56">
        <f>IFERROR(INDEX('Employer Master'!$L$5:$L$99,MATCH(E55,'Employer Master'!$A$5:$A$99,0)),"")</f>
        <v/>
      </c>
      <c r="H55" s="56" t="n">
        <v>2</v>
      </c>
    </row>
    <row r="56" ht="15" customHeight="1" s="48">
      <c r="A56" s="58" t="inlineStr">
        <is>
          <t>CON-152</t>
        </is>
      </c>
      <c r="B56" s="58" t="inlineStr">
        <is>
          <t>Anouk Yamamoto</t>
        </is>
      </c>
      <c r="C56" s="58" t="inlineStr">
        <is>
          <t>Benefits Administrator</t>
        </is>
      </c>
      <c r="D56" s="58" t="inlineStr">
        <is>
          <t>cannot bind</t>
        </is>
      </c>
      <c r="E56" s="58" t="inlineStr">
        <is>
          <t>EMP-1046</t>
        </is>
      </c>
      <c r="F56" s="58" t="inlineStr">
        <is>
          <t>Brightwater Workforce Partners</t>
        </is>
      </c>
      <c r="G56" s="58">
        <f>IFERROR(INDEX('Employer Master'!$L$5:$L$99,MATCH(E56,'Employer Master'!$A$5:$A$99,0)),"")</f>
        <v/>
      </c>
      <c r="H56" s="58" t="n">
        <v>1</v>
      </c>
    </row>
    <row r="57" ht="15" customHeight="1" s="48">
      <c r="A57" s="56" t="inlineStr">
        <is>
          <t>CON-153</t>
        </is>
      </c>
      <c r="B57" s="56" t="inlineStr">
        <is>
          <t>Quentin Reyes</t>
        </is>
      </c>
      <c r="C57" s="56" t="inlineStr">
        <is>
          <t>Owner</t>
        </is>
      </c>
      <c r="D57" s="56" t="inlineStr">
        <is>
          <t>can bind</t>
        </is>
      </c>
      <c r="E57" s="56" t="inlineStr">
        <is>
          <t>EMP-1047</t>
        </is>
      </c>
      <c r="F57" s="56" t="inlineStr">
        <is>
          <t>Corvina Catering Co</t>
        </is>
      </c>
      <c r="G57" s="56">
        <f>IFERROR(INDEX('Employer Master'!$L$5:$L$99,MATCH(E57,'Employer Master'!$A$5:$A$99,0)),"")</f>
        <v/>
      </c>
      <c r="H57" s="56" t="n">
        <v>1</v>
      </c>
    </row>
    <row r="58" ht="15" customHeight="1" s="48">
      <c r="A58" s="58" t="inlineStr">
        <is>
          <t>CON-154</t>
        </is>
      </c>
      <c r="B58" s="58" t="inlineStr">
        <is>
          <t>Dmitri Arellano</t>
        </is>
      </c>
      <c r="C58" s="58" t="inlineStr">
        <is>
          <t>Payroll Administrator</t>
        </is>
      </c>
      <c r="D58" s="58" t="inlineStr">
        <is>
          <t>cannot bind</t>
        </is>
      </c>
      <c r="E58" s="58" t="inlineStr">
        <is>
          <t>EMP-1048</t>
        </is>
      </c>
      <c r="F58" s="58" t="inlineStr">
        <is>
          <t>Dunsmuir Construction</t>
        </is>
      </c>
      <c r="G58" s="58">
        <f>IFERROR(INDEX('Employer Master'!$L$5:$L$99,MATCH(E58,'Employer Master'!$A$5:$A$99,0)),"")</f>
        <v/>
      </c>
      <c r="H58" s="58" t="n">
        <v>1</v>
      </c>
    </row>
    <row r="59" ht="15" customHeight="1" s="48">
      <c r="A59" s="56" t="inlineStr">
        <is>
          <t>CON-155</t>
        </is>
      </c>
      <c r="B59" s="56" t="inlineStr">
        <is>
          <t>Gustavo Jaramillo</t>
        </is>
      </c>
      <c r="C59" s="56" t="inlineStr">
        <is>
          <t>Benefits Administrator</t>
        </is>
      </c>
      <c r="D59" s="56" t="inlineStr">
        <is>
          <t>cannot bind</t>
        </is>
      </c>
      <c r="E59" s="56" t="inlineStr">
        <is>
          <t>EMP-1049</t>
        </is>
      </c>
      <c r="F59" s="56" t="inlineStr">
        <is>
          <t>Elkhorn Precision Tooling</t>
        </is>
      </c>
      <c r="G59" s="56">
        <f>IFERROR(INDEX('Employer Master'!$L$5:$L$99,MATCH(E59,'Employer Master'!$A$5:$A$99,0)),"")</f>
        <v/>
      </c>
      <c r="H59" s="56" t="n">
        <v>1</v>
      </c>
    </row>
    <row r="60" ht="15" customHeight="1" s="48">
      <c r="A60" s="58" t="inlineStr">
        <is>
          <t>CON-156</t>
        </is>
      </c>
      <c r="B60" s="58" t="inlineStr">
        <is>
          <t>Rasmus Demir</t>
        </is>
      </c>
      <c r="C60" s="58" t="inlineStr">
        <is>
          <t>HR Director</t>
        </is>
      </c>
      <c r="D60" s="58" t="inlineStr">
        <is>
          <t>can bind</t>
        </is>
      </c>
      <c r="E60" s="58" t="inlineStr">
        <is>
          <t>EMP-1050</t>
        </is>
      </c>
      <c r="F60" s="58" t="inlineStr">
        <is>
          <t>Fernbrook Medical Group</t>
        </is>
      </c>
      <c r="G60" s="58">
        <f>IFERROR(INDEX('Employer Master'!$L$5:$L$99,MATCH(E60,'Employer Master'!$A$5:$A$99,0)),"")</f>
        <v/>
      </c>
      <c r="H60" s="58" t="n">
        <v>1</v>
      </c>
    </row>
    <row r="61" ht="15" customHeight="1" s="48">
      <c r="A61" s="56" t="inlineStr">
        <is>
          <t>CON-157</t>
        </is>
      </c>
      <c r="B61" s="56" t="inlineStr">
        <is>
          <t>Xavier Fraser</t>
        </is>
      </c>
      <c r="C61" s="56" t="inlineStr">
        <is>
          <t>CFO</t>
        </is>
      </c>
      <c r="D61" s="56" t="inlineStr">
        <is>
          <t>can bind</t>
        </is>
      </c>
      <c r="E61" s="56" t="inlineStr">
        <is>
          <t>EMP-1051</t>
        </is>
      </c>
      <c r="F61" s="56" t="inlineStr">
        <is>
          <t>Goldstream Markets</t>
        </is>
      </c>
      <c r="G61" s="56">
        <f>IFERROR(INDEX('Employer Master'!$L$5:$L$99,MATCH(E61,'Employer Master'!$A$5:$A$99,0)),"")</f>
        <v/>
      </c>
      <c r="H61" s="56" t="n">
        <v>1</v>
      </c>
    </row>
    <row r="62" ht="15" customHeight="1" s="48">
      <c r="A62" s="58" t="inlineStr">
        <is>
          <t>CON-158</t>
        </is>
      </c>
      <c r="B62" s="58" t="inlineStr">
        <is>
          <t>Leon Ueno</t>
        </is>
      </c>
      <c r="C62" s="58" t="inlineStr">
        <is>
          <t>Benefits Administrator</t>
        </is>
      </c>
      <c r="D62" s="58" t="inlineStr">
        <is>
          <t>cannot bind</t>
        </is>
      </c>
      <c r="E62" s="58" t="inlineStr">
        <is>
          <t>EMP-1052</t>
        </is>
      </c>
      <c r="F62" s="58" t="inlineStr">
        <is>
          <t>Hartwell Freight</t>
        </is>
      </c>
      <c r="G62" s="58">
        <f>IFERROR(INDEX('Employer Master'!$L$5:$L$99,MATCH(E62,'Employer Master'!$A$5:$A$99,0)),"")</f>
        <v/>
      </c>
      <c r="H62" s="58" t="n">
        <v>1</v>
      </c>
    </row>
    <row r="63" ht="15" customHeight="1" s="48">
      <c r="A63" s="56" t="inlineStr">
        <is>
          <t>CON-159</t>
        </is>
      </c>
      <c r="B63" s="56" t="inlineStr">
        <is>
          <t>Gustavo Petrova</t>
        </is>
      </c>
      <c r="C63" s="56" t="inlineStr">
        <is>
          <t>CFO</t>
        </is>
      </c>
      <c r="D63" s="56" t="inlineStr">
        <is>
          <t>can bind</t>
        </is>
      </c>
      <c r="E63" s="56" t="inlineStr">
        <is>
          <t>EMP-1053</t>
        </is>
      </c>
      <c r="F63" s="56" t="inlineStr">
        <is>
          <t>Inglewood Associates</t>
        </is>
      </c>
      <c r="G63" s="56">
        <f>IFERROR(INDEX('Employer Master'!$L$5:$L$99,MATCH(E63,'Employer Master'!$A$5:$A$99,0)),"")</f>
        <v/>
      </c>
      <c r="H63" s="56" t="n">
        <v>1</v>
      </c>
    </row>
    <row r="64" ht="15" customHeight="1" s="48">
      <c r="A64" s="58" t="inlineStr">
        <is>
          <t>CON-160</t>
        </is>
      </c>
      <c r="B64" s="58" t="inlineStr">
        <is>
          <t>Denise Valdez</t>
        </is>
      </c>
      <c r="C64" s="58" t="inlineStr">
        <is>
          <t>Benefits Administrator</t>
        </is>
      </c>
      <c r="D64" s="58" t="inlineStr">
        <is>
          <t>cannot bind</t>
        </is>
      </c>
      <c r="E64" s="58" t="inlineStr">
        <is>
          <t>EMP-1054</t>
        </is>
      </c>
      <c r="F64" s="58" t="inlineStr">
        <is>
          <t>Jessup Systems</t>
        </is>
      </c>
      <c r="G64" s="58">
        <f>IFERROR(INDEX('Employer Master'!$L$5:$L$99,MATCH(E64,'Employer Master'!$A$5:$A$99,0)),"")</f>
        <v/>
      </c>
      <c r="H64" s="58" t="n">
        <v>1</v>
      </c>
    </row>
    <row r="65" ht="15" customHeight="1" s="48">
      <c r="A65" s="56" t="inlineStr">
        <is>
          <t>CON-161</t>
        </is>
      </c>
      <c r="B65" s="56" t="inlineStr">
        <is>
          <t>Pascal Ferrara</t>
        </is>
      </c>
      <c r="C65" s="56" t="inlineStr">
        <is>
          <t>Office Manager</t>
        </is>
      </c>
      <c r="D65" s="56" t="inlineStr">
        <is>
          <t>cannot bind</t>
        </is>
      </c>
      <c r="E65" s="56" t="inlineStr">
        <is>
          <t>EMP-1055</t>
        </is>
      </c>
      <c r="F65" s="56" t="inlineStr">
        <is>
          <t>Kelso Personnel Group</t>
        </is>
      </c>
      <c r="G65" s="56">
        <f>IFERROR(INDEX('Employer Master'!$L$5:$L$99,MATCH(E65,'Employer Master'!$A$5:$A$99,0)),"")</f>
        <v/>
      </c>
      <c r="H65" s="56" t="n">
        <v>1</v>
      </c>
    </row>
    <row r="66" ht="15" customHeight="1" s="48">
      <c r="A66" s="58" t="inlineStr">
        <is>
          <t>CON-162</t>
        </is>
      </c>
      <c r="B66" s="58" t="inlineStr">
        <is>
          <t>Caius Okonkwo</t>
        </is>
      </c>
      <c r="C66" s="58" t="inlineStr">
        <is>
          <t>Office Manager</t>
        </is>
      </c>
      <c r="D66" s="58" t="inlineStr">
        <is>
          <t>cannot bind</t>
        </is>
      </c>
      <c r="E66" s="58" t="inlineStr">
        <is>
          <t>EMP-1056</t>
        </is>
      </c>
      <c r="F66" s="58" t="inlineStr">
        <is>
          <t>Lowry Restaurant Group</t>
        </is>
      </c>
      <c r="G66" s="58">
        <f>IFERROR(INDEX('Employer Master'!$L$5:$L$99,MATCH(E66,'Employer Master'!$A$5:$A$99,0)),"")</f>
        <v/>
      </c>
      <c r="H66" s="58" t="n">
        <v>1</v>
      </c>
    </row>
    <row r="67" ht="15" customHeight="1" s="48">
      <c r="A67" s="56" t="inlineStr">
        <is>
          <t>CON-163</t>
        </is>
      </c>
      <c r="B67" s="56" t="inlineStr">
        <is>
          <t>Yusuf Ashby</t>
        </is>
      </c>
      <c r="C67" s="56" t="inlineStr">
        <is>
          <t>HR Coordinator</t>
        </is>
      </c>
      <c r="D67" s="56" t="inlineStr">
        <is>
          <t>cannot bind</t>
        </is>
      </c>
      <c r="E67" s="56" t="inlineStr">
        <is>
          <t>EMP-1057</t>
        </is>
      </c>
      <c r="F67" s="56" t="inlineStr">
        <is>
          <t>Maywood Mechanical</t>
        </is>
      </c>
      <c r="G67" s="56">
        <f>IFERROR(INDEX('Employer Master'!$L$5:$L$99,MATCH(E67,'Employer Master'!$A$5:$A$99,0)),"")</f>
        <v/>
      </c>
      <c r="H67" s="56" t="n">
        <v>1</v>
      </c>
    </row>
    <row r="68" ht="15" customHeight="1" s="48">
      <c r="A68" s="58" t="inlineStr">
        <is>
          <t>CON-164</t>
        </is>
      </c>
      <c r="B68" s="58" t="inlineStr">
        <is>
          <t>Lena Nakamura</t>
        </is>
      </c>
      <c r="C68" s="58" t="inlineStr">
        <is>
          <t>CFO</t>
        </is>
      </c>
      <c r="D68" s="58" t="inlineStr">
        <is>
          <t>can bind</t>
        </is>
      </c>
      <c r="E68" s="58" t="inlineStr">
        <is>
          <t>EMP-1058</t>
        </is>
      </c>
      <c r="F68" s="58" t="inlineStr">
        <is>
          <t>Norwalk Precision Tooling</t>
        </is>
      </c>
      <c r="G68" s="58">
        <f>IFERROR(INDEX('Employer Master'!$L$5:$L$99,MATCH(E68,'Employer Master'!$A$5:$A$99,0)),"")</f>
        <v/>
      </c>
      <c r="H68" s="58" t="n">
        <v>1</v>
      </c>
    </row>
    <row r="69" ht="15" customHeight="1" s="48">
      <c r="A69" s="56" t="inlineStr">
        <is>
          <t>CON-165</t>
        </is>
      </c>
      <c r="B69" s="56" t="inlineStr">
        <is>
          <t>Lena Boyd</t>
        </is>
      </c>
      <c r="C69" s="56" t="inlineStr">
        <is>
          <t>Office Manager</t>
        </is>
      </c>
      <c r="D69" s="56" t="inlineStr">
        <is>
          <t>cannot bind</t>
        </is>
      </c>
      <c r="E69" s="56" t="inlineStr">
        <is>
          <t>EMP-1059</t>
        </is>
      </c>
      <c r="F69" s="56" t="inlineStr">
        <is>
          <t>Orinda Home Care</t>
        </is>
      </c>
      <c r="G69" s="56">
        <f>IFERROR(INDEX('Employer Master'!$L$5:$L$99,MATCH(E69,'Employer Master'!$A$5:$A$99,0)),"")</f>
        <v/>
      </c>
      <c r="H69" s="56" t="n">
        <v>1</v>
      </c>
    </row>
    <row r="70" ht="15" customHeight="1" s="48">
      <c r="A70" s="58" t="inlineStr">
        <is>
          <t>CON-166</t>
        </is>
      </c>
      <c r="B70" s="58" t="inlineStr">
        <is>
          <t>Dagny Sorensen</t>
        </is>
      </c>
      <c r="C70" s="58" t="inlineStr">
        <is>
          <t>Payroll Administrator</t>
        </is>
      </c>
      <c r="D70" s="58" t="inlineStr">
        <is>
          <t>cannot bind</t>
        </is>
      </c>
      <c r="E70" s="58" t="inlineStr">
        <is>
          <t>EMP-1060</t>
        </is>
      </c>
      <c r="F70" s="58" t="inlineStr">
        <is>
          <t>Pomerado Supply Co</t>
        </is>
      </c>
      <c r="G70" s="58">
        <f>IFERROR(INDEX('Employer Master'!$L$5:$L$99,MATCH(E70,'Employer Master'!$A$5:$A$99,0)),"")</f>
        <v/>
      </c>
      <c r="H70" s="58" t="n">
        <v>1</v>
      </c>
    </row>
    <row r="71" ht="15" customHeight="1" s="48">
      <c r="A71" s="56" t="inlineStr">
        <is>
          <t>CON-167</t>
        </is>
      </c>
      <c r="B71" s="56" t="inlineStr">
        <is>
          <t>Uma Petrova</t>
        </is>
      </c>
      <c r="C71" s="56" t="inlineStr">
        <is>
          <t>Benefits Administrator</t>
        </is>
      </c>
      <c r="D71" s="56" t="inlineStr">
        <is>
          <t>cannot bind</t>
        </is>
      </c>
      <c r="E71" s="56" t="inlineStr">
        <is>
          <t>EMP-1061</t>
        </is>
      </c>
      <c r="F71" s="56" t="inlineStr">
        <is>
          <t>Quintara Transport</t>
        </is>
      </c>
      <c r="G71" s="56">
        <f>IFERROR(INDEX('Employer Master'!$L$5:$L$99,MATCH(E71,'Employer Master'!$A$5:$A$99,0)),"")</f>
        <v/>
      </c>
      <c r="H71" s="56" t="n">
        <v>1</v>
      </c>
    </row>
    <row r="72" ht="15" customHeight="1" s="48">
      <c r="A72" s="58" t="inlineStr">
        <is>
          <t>CON-168</t>
        </is>
      </c>
      <c r="B72" s="58" t="inlineStr">
        <is>
          <t>Sable Cruz</t>
        </is>
      </c>
      <c r="C72" s="58" t="inlineStr">
        <is>
          <t>Payroll Administrator</t>
        </is>
      </c>
      <c r="D72" s="58" t="inlineStr">
        <is>
          <t>cannot bind</t>
        </is>
      </c>
      <c r="E72" s="58" t="inlineStr">
        <is>
          <t>EMP-1062</t>
        </is>
      </c>
      <c r="F72" s="58" t="inlineStr">
        <is>
          <t>Ravenswood Advisors</t>
        </is>
      </c>
      <c r="G72" s="58">
        <f>IFERROR(INDEX('Employer Master'!$L$5:$L$99,MATCH(E72,'Employer Master'!$A$5:$A$99,0)),"")</f>
        <v/>
      </c>
      <c r="H72" s="58" t="n">
        <v>1</v>
      </c>
    </row>
    <row r="73" ht="15" customHeight="1" s="48">
      <c r="A73" s="56" t="inlineStr">
        <is>
          <t>CON-169</t>
        </is>
      </c>
      <c r="B73" s="56" t="inlineStr">
        <is>
          <t>Sable Hobbs</t>
        </is>
      </c>
      <c r="C73" s="56" t="inlineStr">
        <is>
          <t>Office Manager</t>
        </is>
      </c>
      <c r="D73" s="56" t="inlineStr">
        <is>
          <t>cannot bind</t>
        </is>
      </c>
      <c r="E73" s="56" t="inlineStr">
        <is>
          <t>EMP-1063</t>
        </is>
      </c>
      <c r="F73" s="56" t="inlineStr">
        <is>
          <t>Seabright Systems</t>
        </is>
      </c>
      <c r="G73" s="56">
        <f>IFERROR(INDEX('Employer Master'!$L$5:$L$99,MATCH(E73,'Employer Master'!$A$5:$A$99,0)),"")</f>
        <v/>
      </c>
      <c r="H73" s="56" t="n">
        <v>1</v>
      </c>
    </row>
    <row r="74" ht="15" customHeight="1" s="48">
      <c r="A74" s="58" t="inlineStr">
        <is>
          <t>CON-170</t>
        </is>
      </c>
      <c r="B74" s="58" t="inlineStr">
        <is>
          <t>Oscar Baptiste</t>
        </is>
      </c>
      <c r="C74" s="58" t="inlineStr">
        <is>
          <t>Bookkeeper</t>
        </is>
      </c>
      <c r="D74" s="58" t="inlineStr">
        <is>
          <t>cannot bind</t>
        </is>
      </c>
      <c r="E74" s="58" t="inlineStr">
        <is>
          <t>EMP-1064</t>
        </is>
      </c>
      <c r="F74" s="58" t="inlineStr">
        <is>
          <t>Templeton Workforce Partners</t>
        </is>
      </c>
      <c r="G74" s="58">
        <f>IFERROR(INDEX('Employer Master'!$L$5:$L$99,MATCH(E74,'Employer Master'!$A$5:$A$99,0)),"")</f>
        <v/>
      </c>
      <c r="H74" s="58" t="n">
        <v>1</v>
      </c>
    </row>
    <row r="75" ht="15" customHeight="1" s="48">
      <c r="A75" s="56" t="inlineStr">
        <is>
          <t>CON-171</t>
        </is>
      </c>
      <c r="B75" s="56" t="inlineStr">
        <is>
          <t>Ewan Castellanos</t>
        </is>
      </c>
      <c r="C75" s="56" t="inlineStr">
        <is>
          <t>Office Manager</t>
        </is>
      </c>
      <c r="D75" s="56" t="inlineStr">
        <is>
          <t>cannot bind</t>
        </is>
      </c>
      <c r="E75" s="56" t="inlineStr">
        <is>
          <t>EMP-1065</t>
        </is>
      </c>
      <c r="F75" s="56" t="inlineStr">
        <is>
          <t>Ukiah Hospitality Group</t>
        </is>
      </c>
      <c r="G75" s="56">
        <f>IFERROR(INDEX('Employer Master'!$L$5:$L$99,MATCH(E75,'Employer Master'!$A$5:$A$99,0)),"")</f>
        <v/>
      </c>
      <c r="H75" s="56" t="n">
        <v>1</v>
      </c>
    </row>
    <row r="76" ht="15" customHeight="1" s="48">
      <c r="A76" s="58" t="inlineStr">
        <is>
          <t>CON-172</t>
        </is>
      </c>
      <c r="B76" s="58" t="inlineStr">
        <is>
          <t>Bethany Delgado</t>
        </is>
      </c>
      <c r="C76" s="58" t="inlineStr">
        <is>
          <t>HR Director</t>
        </is>
      </c>
      <c r="D76" s="58" t="inlineStr">
        <is>
          <t>can bind</t>
        </is>
      </c>
      <c r="E76" s="58" t="inlineStr">
        <is>
          <t>EMP-1066</t>
        </is>
      </c>
      <c r="F76" s="58" t="inlineStr">
        <is>
          <t>Verano Builders</t>
        </is>
      </c>
      <c r="G76" s="58">
        <f>IFERROR(INDEX('Employer Master'!$L$5:$L$99,MATCH(E76,'Employer Master'!$A$5:$A$99,0)),"")</f>
        <v/>
      </c>
      <c r="H76" s="58" t="n">
        <v>1</v>
      </c>
    </row>
    <row r="77" ht="15" customHeight="1" s="48">
      <c r="A77" s="56" t="inlineStr">
        <is>
          <t>CON-173</t>
        </is>
      </c>
      <c r="B77" s="56" t="inlineStr">
        <is>
          <t>Terrence Thibault</t>
        </is>
      </c>
      <c r="C77" s="56" t="inlineStr">
        <is>
          <t>HR Director</t>
        </is>
      </c>
      <c r="D77" s="56" t="inlineStr">
        <is>
          <t>can bind</t>
        </is>
      </c>
      <c r="E77" s="56" t="inlineStr">
        <is>
          <t>EMP-1067</t>
        </is>
      </c>
      <c r="F77" s="56" t="inlineStr">
        <is>
          <t>Windermere Precision Tooling</t>
        </is>
      </c>
      <c r="G77" s="56">
        <f>IFERROR(INDEX('Employer Master'!$L$5:$L$99,MATCH(E77,'Employer Master'!$A$5:$A$99,0)),"")</f>
        <v/>
      </c>
      <c r="H77" s="56" t="n">
        <v>1</v>
      </c>
    </row>
    <row r="78" ht="15" customHeight="1" s="48">
      <c r="A78" s="58" t="inlineStr">
        <is>
          <t>CON-174</t>
        </is>
      </c>
      <c r="B78" s="58" t="inlineStr">
        <is>
          <t>Derek Castellanos</t>
        </is>
      </c>
      <c r="C78" s="58" t="inlineStr">
        <is>
          <t>Benefits Administrator</t>
        </is>
      </c>
      <c r="D78" s="58" t="inlineStr">
        <is>
          <t>cannot bind</t>
        </is>
      </c>
      <c r="E78" s="58" t="inlineStr">
        <is>
          <t>EMP-1068</t>
        </is>
      </c>
      <c r="F78" s="58" t="inlineStr">
        <is>
          <t>Ximena Medical Group</t>
        </is>
      </c>
      <c r="G78" s="58">
        <f>IFERROR(INDEX('Employer Master'!$L$5:$L$99,MATCH(E78,'Employer Master'!$A$5:$A$99,0)),"")</f>
        <v/>
      </c>
      <c r="H78" s="58" t="n">
        <v>1</v>
      </c>
    </row>
    <row r="79" ht="15" customHeight="1" s="48">
      <c r="A79" s="56" t="inlineStr">
        <is>
          <t>CON-175</t>
        </is>
      </c>
      <c r="B79" s="56" t="inlineStr">
        <is>
          <t>Jonah Fairweather</t>
        </is>
      </c>
      <c r="C79" s="56" t="inlineStr">
        <is>
          <t>Owner</t>
        </is>
      </c>
      <c r="D79" s="56" t="inlineStr">
        <is>
          <t>can bind</t>
        </is>
      </c>
      <c r="E79" s="56" t="inlineStr">
        <is>
          <t>EMP-1069</t>
        </is>
      </c>
      <c r="F79" s="56" t="inlineStr">
        <is>
          <t>Yreka Retail Group</t>
        </is>
      </c>
      <c r="G79" s="56">
        <f>IFERROR(INDEX('Employer Master'!$L$5:$L$99,MATCH(E79,'Employer Master'!$A$5:$A$99,0)),"")</f>
        <v/>
      </c>
      <c r="H79" s="56" t="n">
        <v>1</v>
      </c>
    </row>
    <row r="80" ht="15" customHeight="1" s="48">
      <c r="A80" s="58" t="inlineStr">
        <is>
          <t>CON-176</t>
        </is>
      </c>
      <c r="B80" s="58" t="inlineStr">
        <is>
          <t>Tarquin Marchetti</t>
        </is>
      </c>
      <c r="C80" s="58" t="inlineStr">
        <is>
          <t>HR Coordinator</t>
        </is>
      </c>
      <c r="D80" s="58" t="inlineStr">
        <is>
          <t>cannot bind</t>
        </is>
      </c>
      <c r="E80" s="58" t="inlineStr">
        <is>
          <t>EMP-1070</t>
        </is>
      </c>
      <c r="F80" s="58" t="inlineStr">
        <is>
          <t>Zuma Freight</t>
        </is>
      </c>
      <c r="G80" s="58">
        <f>IFERROR(INDEX('Employer Master'!$L$5:$L$99,MATCH(E80,'Employer Master'!$A$5:$A$99,0)),"")</f>
        <v/>
      </c>
      <c r="H80" s="58" t="n">
        <v>1</v>
      </c>
    </row>
    <row r="81" ht="15" customHeight="1" s="48">
      <c r="A81" s="56" t="inlineStr">
        <is>
          <t>CON-177</t>
        </is>
      </c>
      <c r="B81" s="56" t="inlineStr">
        <is>
          <t>Uma Nasser</t>
        </is>
      </c>
      <c r="C81" s="56" t="inlineStr">
        <is>
          <t>Controller</t>
        </is>
      </c>
      <c r="D81" s="56" t="inlineStr">
        <is>
          <t>can bind</t>
        </is>
      </c>
      <c r="E81" s="56" t="inlineStr">
        <is>
          <t>EMP-1071</t>
        </is>
      </c>
      <c r="F81" s="56" t="inlineStr">
        <is>
          <t>Altadena Consulting Group</t>
        </is>
      </c>
      <c r="G81" s="56">
        <f>IFERROR(INDEX('Employer Master'!$L$5:$L$99,MATCH(E81,'Employer Master'!$A$5:$A$99,0)),"")</f>
        <v/>
      </c>
      <c r="H81" s="56" t="n">
        <v>1</v>
      </c>
    </row>
    <row r="82" ht="15" customHeight="1" s="48">
      <c r="A82" s="58" t="inlineStr">
        <is>
          <t>CON-178</t>
        </is>
      </c>
      <c r="B82" s="58" t="inlineStr">
        <is>
          <t>Nadia Abernathy</t>
        </is>
      </c>
      <c r="C82" s="58" t="inlineStr">
        <is>
          <t>Payroll Administrator</t>
        </is>
      </c>
      <c r="D82" s="58" t="inlineStr">
        <is>
          <t>cannot bind</t>
        </is>
      </c>
      <c r="E82" s="58" t="inlineStr">
        <is>
          <t>EMP-1072</t>
        </is>
      </c>
      <c r="F82" s="58" t="inlineStr">
        <is>
          <t>Beaumont Technologies</t>
        </is>
      </c>
      <c r="G82" s="58">
        <f>IFERROR(INDEX('Employer Master'!$L$5:$L$99,MATCH(E82,'Employer Master'!$A$5:$A$99,0)),"")</f>
        <v/>
      </c>
      <c r="H82" s="58" t="n">
        <v>1</v>
      </c>
    </row>
    <row r="83" ht="15" customHeight="1" s="48">
      <c r="A83" s="56" t="inlineStr">
        <is>
          <t>CON-179</t>
        </is>
      </c>
      <c r="B83" s="56" t="inlineStr">
        <is>
          <t>Fenna Valdez</t>
        </is>
      </c>
      <c r="C83" s="56" t="inlineStr">
        <is>
          <t>HR Director</t>
        </is>
      </c>
      <c r="D83" s="56" t="inlineStr">
        <is>
          <t>can bind</t>
        </is>
      </c>
      <c r="E83" s="56" t="inlineStr">
        <is>
          <t>EMP-1073</t>
        </is>
      </c>
      <c r="F83" s="56" t="inlineStr">
        <is>
          <t>Cambria Workforce Partners</t>
        </is>
      </c>
      <c r="G83" s="56">
        <f>IFERROR(INDEX('Employer Master'!$L$5:$L$99,MATCH(E83,'Employer Master'!$A$5:$A$99,0)),"")</f>
        <v/>
      </c>
      <c r="H83" s="56" t="n">
        <v>1</v>
      </c>
    </row>
    <row r="84" ht="15" customHeight="1" s="48">
      <c r="A84" s="58" t="inlineStr">
        <is>
          <t>CON-180</t>
        </is>
      </c>
      <c r="B84" s="58" t="inlineStr">
        <is>
          <t>Rhona Pryor</t>
        </is>
      </c>
      <c r="C84" s="58" t="inlineStr">
        <is>
          <t>Bookkeeper</t>
        </is>
      </c>
      <c r="D84" s="58" t="inlineStr">
        <is>
          <t>cannot bind</t>
        </is>
      </c>
      <c r="E84" s="58" t="inlineStr">
        <is>
          <t>EMP-1074</t>
        </is>
      </c>
      <c r="F84" s="58" t="inlineStr">
        <is>
          <t>Duarte Restaurant Group</t>
        </is>
      </c>
      <c r="G84" s="58">
        <f>IFERROR(INDEX('Employer Master'!$L$5:$L$99,MATCH(E84,'Employer Master'!$A$5:$A$99,0)),"")</f>
        <v/>
      </c>
      <c r="H84" s="58" t="n">
        <v>1</v>
      </c>
    </row>
    <row r="85" ht="15" customHeight="1" s="48">
      <c r="A85" s="56" t="inlineStr">
        <is>
          <t>CON-181</t>
        </is>
      </c>
      <c r="B85" s="56" t="inlineStr">
        <is>
          <t>Carmen Liu</t>
        </is>
      </c>
      <c r="C85" s="56" t="inlineStr">
        <is>
          <t>Bookkeeper</t>
        </is>
      </c>
      <c r="D85" s="56" t="inlineStr">
        <is>
          <t>cannot bind</t>
        </is>
      </c>
      <c r="E85" s="56" t="inlineStr">
        <is>
          <t>EMP-1075</t>
        </is>
      </c>
      <c r="F85" s="56" t="inlineStr">
        <is>
          <t>Escalon Construction</t>
        </is>
      </c>
      <c r="G85" s="56">
        <f>IFERROR(INDEX('Employer Master'!$L$5:$L$99,MATCH(E85,'Employer Master'!$A$5:$A$99,0)),"")</f>
        <v/>
      </c>
      <c r="H85" s="56" t="n">
        <v>1</v>
      </c>
    </row>
    <row r="86" ht="15" customHeight="1" s="48">
      <c r="A86" s="58" t="inlineStr">
        <is>
          <t>CON-182</t>
        </is>
      </c>
      <c r="B86" s="58" t="inlineStr">
        <is>
          <t>Pascal Roux</t>
        </is>
      </c>
      <c r="C86" s="58" t="inlineStr">
        <is>
          <t>Owner</t>
        </is>
      </c>
      <c r="D86" s="58" t="inlineStr">
        <is>
          <t>can bind</t>
        </is>
      </c>
      <c r="E86" s="58" t="inlineStr">
        <is>
          <t>EMP-1076</t>
        </is>
      </c>
      <c r="F86" s="58" t="inlineStr">
        <is>
          <t>Fillmore Industries</t>
        </is>
      </c>
      <c r="G86" s="58">
        <f>IFERROR(INDEX('Employer Master'!$L$5:$L$99,MATCH(E86,'Employer Master'!$A$5:$A$99,0)),"")</f>
        <v/>
      </c>
      <c r="H86" s="58" t="n">
        <v>1</v>
      </c>
    </row>
    <row r="87" ht="15" customHeight="1" s="48">
      <c r="A87" s="56" t="inlineStr">
        <is>
          <t>CON-183</t>
        </is>
      </c>
      <c r="B87" s="56" t="inlineStr">
        <is>
          <t>Grace Nasser</t>
        </is>
      </c>
      <c r="C87" s="56" t="inlineStr">
        <is>
          <t>Office Manager</t>
        </is>
      </c>
      <c r="D87" s="56" t="inlineStr">
        <is>
          <t>cannot bind</t>
        </is>
      </c>
      <c r="E87" s="56" t="inlineStr">
        <is>
          <t>EMP-1077</t>
        </is>
      </c>
      <c r="F87" s="56" t="inlineStr">
        <is>
          <t>Galt Medical Group</t>
        </is>
      </c>
      <c r="G87" s="56">
        <f>IFERROR(INDEX('Employer Master'!$L$5:$L$99,MATCH(E87,'Employer Master'!$A$5:$A$99,0)),"")</f>
        <v/>
      </c>
      <c r="H87" s="56" t="n">
        <v>1</v>
      </c>
    </row>
    <row r="88" ht="15" customHeight="1" s="48">
      <c r="A88" s="58" t="inlineStr">
        <is>
          <t>CON-184</t>
        </is>
      </c>
      <c r="B88" s="58" t="inlineStr">
        <is>
          <t>Halina Ortega</t>
        </is>
      </c>
      <c r="C88" s="58" t="inlineStr">
        <is>
          <t>Bookkeeper</t>
        </is>
      </c>
      <c r="D88" s="58" t="inlineStr">
        <is>
          <t>cannot bind</t>
        </is>
      </c>
      <c r="E88" s="58" t="inlineStr">
        <is>
          <t>EMP-1078</t>
        </is>
      </c>
      <c r="F88" s="58" t="inlineStr">
        <is>
          <t>Hanford Markets</t>
        </is>
      </c>
      <c r="G88" s="58">
        <f>IFERROR(INDEX('Employer Master'!$L$5:$L$99,MATCH(E88,'Employer Master'!$A$5:$A$99,0)),"")</f>
        <v/>
      </c>
      <c r="H88" s="58" t="n">
        <v>1</v>
      </c>
    </row>
    <row r="89" ht="15" customHeight="1" s="48">
      <c r="A89" s="56" t="inlineStr">
        <is>
          <t>CON-185</t>
        </is>
      </c>
      <c r="B89" s="56" t="inlineStr">
        <is>
          <t>Rosa Ferrara</t>
        </is>
      </c>
      <c r="C89" s="56" t="inlineStr">
        <is>
          <t>Bookkeeper</t>
        </is>
      </c>
      <c r="D89" s="56" t="inlineStr">
        <is>
          <t>cannot bind</t>
        </is>
      </c>
      <c r="E89" s="56" t="inlineStr">
        <is>
          <t>EMP-1079</t>
        </is>
      </c>
      <c r="F89" s="56" t="inlineStr">
        <is>
          <t>Ione Freight</t>
        </is>
      </c>
      <c r="G89" s="56">
        <f>IFERROR(INDEX('Employer Master'!$L$5:$L$99,MATCH(E89,'Employer Master'!$A$5:$A$99,0)),"")</f>
        <v/>
      </c>
      <c r="H89" s="56" t="n">
        <v>1</v>
      </c>
    </row>
    <row r="90" ht="15" customHeight="1" s="48">
      <c r="A90" s="58" t="inlineStr">
        <is>
          <t>CON-186</t>
        </is>
      </c>
      <c r="B90" s="58" t="inlineStr">
        <is>
          <t>Duncan Okonjo</t>
        </is>
      </c>
      <c r="C90" s="58" t="inlineStr">
        <is>
          <t>Owner</t>
        </is>
      </c>
      <c r="D90" s="58" t="inlineStr">
        <is>
          <t>can bind</t>
        </is>
      </c>
      <c r="E90" s="58" t="inlineStr">
        <is>
          <t>EMP-1080</t>
        </is>
      </c>
      <c r="F90" s="58" t="inlineStr">
        <is>
          <t>Jamul Associates</t>
        </is>
      </c>
      <c r="G90" s="58">
        <f>IFERROR(INDEX('Employer Master'!$L$5:$L$99,MATCH(E90,'Employer Master'!$A$5:$A$99,0)),"")</f>
        <v/>
      </c>
      <c r="H90" s="58" t="n">
        <v>1</v>
      </c>
    </row>
    <row r="91" ht="15" customHeight="1" s="48">
      <c r="A91" s="56" t="inlineStr">
        <is>
          <t>CON-187</t>
        </is>
      </c>
      <c r="B91" s="56" t="inlineStr">
        <is>
          <t>Vera Fairweather</t>
        </is>
      </c>
      <c r="C91" s="56" t="inlineStr">
        <is>
          <t>Office Manager</t>
        </is>
      </c>
      <c r="D91" s="56" t="inlineStr">
        <is>
          <t>cannot bind</t>
        </is>
      </c>
      <c r="E91" s="56" t="inlineStr">
        <is>
          <t>EMP-1081</t>
        </is>
      </c>
      <c r="F91" s="56" t="inlineStr">
        <is>
          <t>Keeler Systems</t>
        </is>
      </c>
      <c r="G91" s="56">
        <f>IFERROR(INDEX('Employer Master'!$L$5:$L$99,MATCH(E91,'Employer Master'!$A$5:$A$99,0)),"")</f>
        <v/>
      </c>
      <c r="H91" s="56" t="n">
        <v>1</v>
      </c>
    </row>
    <row r="92" ht="15" customHeight="1" s="48">
      <c r="A92" s="58" t="inlineStr">
        <is>
          <t>CON-188</t>
        </is>
      </c>
      <c r="B92" s="58" t="inlineStr">
        <is>
          <t>Bianca Bell</t>
        </is>
      </c>
      <c r="C92" s="58" t="inlineStr">
        <is>
          <t>Office Manager</t>
        </is>
      </c>
      <c r="D92" s="58" t="inlineStr">
        <is>
          <t>cannot bind</t>
        </is>
      </c>
      <c r="E92" s="58" t="inlineStr">
        <is>
          <t>EMP-1082</t>
        </is>
      </c>
      <c r="F92" s="58" t="inlineStr">
        <is>
          <t>Lompoc Workforce Partners</t>
        </is>
      </c>
      <c r="G92" s="58">
        <f>IFERROR(INDEX('Employer Master'!$L$5:$L$99,MATCH(E92,'Employer Master'!$A$5:$A$99,0)),"")</f>
        <v/>
      </c>
      <c r="H92" s="58" t="n">
        <v>1</v>
      </c>
    </row>
    <row r="93" ht="15" customHeight="1" s="48">
      <c r="A93" s="56" t="inlineStr">
        <is>
          <t>CON-189</t>
        </is>
      </c>
      <c r="B93" s="56" t="inlineStr">
        <is>
          <t>Yolanda Wexler</t>
        </is>
      </c>
      <c r="C93" s="56" t="inlineStr">
        <is>
          <t>Office Manager</t>
        </is>
      </c>
      <c r="D93" s="56" t="inlineStr">
        <is>
          <t>cannot bind</t>
        </is>
      </c>
      <c r="E93" s="56" t="inlineStr">
        <is>
          <t>EMP-1083</t>
        </is>
      </c>
      <c r="F93" s="56" t="inlineStr">
        <is>
          <t>Manteca Restaurant Group</t>
        </is>
      </c>
      <c r="G93" s="56">
        <f>IFERROR(INDEX('Employer Master'!$L$5:$L$99,MATCH(E93,'Employer Master'!$A$5:$A$99,0)),"")</f>
        <v/>
      </c>
      <c r="H93" s="56" t="n">
        <v>1</v>
      </c>
    </row>
    <row r="94" ht="15" customHeight="1" s="48">
      <c r="A94" s="58" t="inlineStr">
        <is>
          <t>CON-190</t>
        </is>
      </c>
      <c r="B94" s="58" t="inlineStr">
        <is>
          <t>Wilhelmina Fairweather</t>
        </is>
      </c>
      <c r="C94" s="58" t="inlineStr">
        <is>
          <t>Bookkeeper</t>
        </is>
      </c>
      <c r="D94" s="58" t="inlineStr">
        <is>
          <t>cannot bind</t>
        </is>
      </c>
      <c r="E94" s="58" t="inlineStr">
        <is>
          <t>EMP-1084</t>
        </is>
      </c>
      <c r="F94" s="58" t="inlineStr">
        <is>
          <t>Needles Mechanical</t>
        </is>
      </c>
      <c r="G94" s="58">
        <f>IFERROR(INDEX('Employer Master'!$L$5:$L$99,MATCH(E94,'Employer Master'!$A$5:$A$99,0)),"")</f>
        <v/>
      </c>
      <c r="H94" s="58" t="n">
        <v>1</v>
      </c>
    </row>
    <row r="95" ht="15" customHeight="1" s="48">
      <c r="A95" s="56" t="inlineStr">
        <is>
          <t>CON-191</t>
        </is>
      </c>
      <c r="B95" s="56" t="inlineStr">
        <is>
          <t>Wendell Guzman</t>
        </is>
      </c>
      <c r="C95" s="56" t="inlineStr">
        <is>
          <t>Bookkeeper</t>
        </is>
      </c>
      <c r="D95" s="56" t="inlineStr">
        <is>
          <t>cannot bind</t>
        </is>
      </c>
      <c r="E95" s="56" t="inlineStr">
        <is>
          <t>EMP-1085</t>
        </is>
      </c>
      <c r="F95" s="56" t="inlineStr">
        <is>
          <t>Olema Precision Tooling</t>
        </is>
      </c>
      <c r="G95" s="56">
        <f>IFERROR(INDEX('Employer Master'!$L$5:$L$99,MATCH(E95,'Employer Master'!$A$5:$A$99,0)),"")</f>
        <v/>
      </c>
      <c r="H95" s="56" t="n">
        <v>1</v>
      </c>
    </row>
    <row r="96" ht="15" customHeight="1" s="48">
      <c r="A96" s="58" t="inlineStr">
        <is>
          <t>CON-192</t>
        </is>
      </c>
      <c r="B96" s="58" t="inlineStr">
        <is>
          <t>Ingrid Baptiste</t>
        </is>
      </c>
      <c r="C96" s="58" t="inlineStr">
        <is>
          <t>Office Manager</t>
        </is>
      </c>
      <c r="D96" s="58" t="inlineStr">
        <is>
          <t>cannot bind</t>
        </is>
      </c>
      <c r="E96" s="58" t="inlineStr">
        <is>
          <t>EMP-1086</t>
        </is>
      </c>
      <c r="F96" s="58" t="inlineStr">
        <is>
          <t>Piru Home Care</t>
        </is>
      </c>
      <c r="G96" s="58">
        <f>IFERROR(INDEX('Employer Master'!$L$5:$L$99,MATCH(E96,'Employer Master'!$A$5:$A$99,0)),"")</f>
        <v/>
      </c>
      <c r="H96" s="58" t="n">
        <v>1</v>
      </c>
    </row>
    <row r="97" ht="15" customHeight="1" s="48">
      <c r="A97" s="56" t="inlineStr">
        <is>
          <t>CON-193</t>
        </is>
      </c>
      <c r="B97" s="56" t="inlineStr">
        <is>
          <t>Jonah Fontaine</t>
        </is>
      </c>
      <c r="C97" s="56" t="inlineStr">
        <is>
          <t>Owner</t>
        </is>
      </c>
      <c r="D97" s="56" t="inlineStr">
        <is>
          <t>can bind</t>
        </is>
      </c>
      <c r="E97" s="56" t="inlineStr">
        <is>
          <t>EMP-1087</t>
        </is>
      </c>
      <c r="F97" s="56" t="inlineStr">
        <is>
          <t>Quincy Retail Group</t>
        </is>
      </c>
      <c r="G97" s="56">
        <f>IFERROR(INDEX('Employer Master'!$L$5:$L$99,MATCH(E97,'Employer Master'!$A$5:$A$99,0)),"")</f>
        <v/>
      </c>
      <c r="H97" s="56" t="n">
        <v>1</v>
      </c>
    </row>
    <row r="98" ht="15" customHeight="1" s="48">
      <c r="A98" s="58" t="inlineStr">
        <is>
          <t>CON-194</t>
        </is>
      </c>
      <c r="B98" s="58" t="inlineStr">
        <is>
          <t>Tamsin Cruz</t>
        </is>
      </c>
      <c r="C98" s="58" t="inlineStr">
        <is>
          <t>Owner</t>
        </is>
      </c>
      <c r="D98" s="58" t="inlineStr">
        <is>
          <t>can bind</t>
        </is>
      </c>
      <c r="E98" s="58" t="inlineStr">
        <is>
          <t>EMP-1088</t>
        </is>
      </c>
      <c r="F98" s="58" t="inlineStr">
        <is>
          <t>Rialto Logistics</t>
        </is>
      </c>
      <c r="G98" s="58">
        <f>IFERROR(INDEX('Employer Master'!$L$5:$L$99,MATCH(E98,'Employer Master'!$A$5:$A$99,0)),"")</f>
        <v/>
      </c>
      <c r="H98" s="58" t="n">
        <v>1</v>
      </c>
    </row>
    <row r="99" ht="15" customHeight="1" s="48">
      <c r="A99" s="56" t="inlineStr">
        <is>
          <t>CON-195</t>
        </is>
      </c>
      <c r="B99" s="56" t="inlineStr">
        <is>
          <t>Nadira Bonaventura</t>
        </is>
      </c>
      <c r="C99" s="56" t="inlineStr">
        <is>
          <t>Bookkeeper</t>
        </is>
      </c>
      <c r="D99" s="56" t="inlineStr">
        <is>
          <t>cannot bind</t>
        </is>
      </c>
      <c r="E99" s="56" t="inlineStr">
        <is>
          <t>EMP-1089</t>
        </is>
      </c>
      <c r="F99" s="56" t="inlineStr">
        <is>
          <t>Soledad Advisors</t>
        </is>
      </c>
      <c r="G99" s="56">
        <f>IFERROR(INDEX('Employer Master'!$L$5:$L$99,MATCH(E99,'Employer Master'!$A$5:$A$99,0)),"")</f>
        <v/>
      </c>
      <c r="H99" s="56" t="n">
        <v>1</v>
      </c>
    </row>
    <row r="100" ht="15" customHeight="1" s="48">
      <c r="A100" s="58" t="inlineStr">
        <is>
          <t>CON-196</t>
        </is>
      </c>
      <c r="B100" s="58" t="inlineStr">
        <is>
          <t>Rowan Valdez</t>
        </is>
      </c>
      <c r="C100" s="58" t="inlineStr">
        <is>
          <t>Bookkeeper</t>
        </is>
      </c>
      <c r="D100" s="58" t="inlineStr">
        <is>
          <t>cannot bind</t>
        </is>
      </c>
      <c r="E100" s="58" t="inlineStr">
        <is>
          <t>EMP-1090</t>
        </is>
      </c>
      <c r="F100" s="58" t="inlineStr">
        <is>
          <t>Tehachapi Data Group</t>
        </is>
      </c>
      <c r="G100" s="58">
        <f>IFERROR(INDEX('Employer Master'!$L$5:$L$99,MATCH(E100,'Employer Master'!$A$5:$A$99,0)),"")</f>
        <v/>
      </c>
      <c r="H100" s="58" t="n">
        <v>1</v>
      </c>
    </row>
    <row r="101" ht="15" customHeight="1" s="48">
      <c r="A101" s="56" t="inlineStr">
        <is>
          <t>CON-197</t>
        </is>
      </c>
      <c r="B101" s="56" t="inlineStr">
        <is>
          <t>Nadia Cruz</t>
        </is>
      </c>
      <c r="C101" s="56" t="inlineStr">
        <is>
          <t>Bookkeeper</t>
        </is>
      </c>
      <c r="D101" s="56" t="inlineStr">
        <is>
          <t>cannot bind</t>
        </is>
      </c>
      <c r="E101" s="56" t="inlineStr">
        <is>
          <t>EMP-1091</t>
        </is>
      </c>
      <c r="F101" s="56" t="inlineStr">
        <is>
          <t>Upland Personnel Group</t>
        </is>
      </c>
      <c r="G101" s="56">
        <f>IFERROR(INDEX('Employer Master'!$L$5:$L$99,MATCH(E101,'Employer Master'!$A$5:$A$99,0)),"")</f>
        <v/>
      </c>
      <c r="H101" s="56" t="n">
        <v>1</v>
      </c>
    </row>
    <row r="102" ht="15" customHeight="1" s="48">
      <c r="A102" s="58" t="inlineStr">
        <is>
          <t>CON-198</t>
        </is>
      </c>
      <c r="B102" s="58" t="inlineStr">
        <is>
          <t>Harold Roux</t>
        </is>
      </c>
      <c r="C102" s="58" t="inlineStr">
        <is>
          <t>Owner</t>
        </is>
      </c>
      <c r="D102" s="58" t="inlineStr">
        <is>
          <t>can bind</t>
        </is>
      </c>
      <c r="E102" s="58" t="inlineStr">
        <is>
          <t>EMP-1092</t>
        </is>
      </c>
      <c r="F102" s="58" t="inlineStr">
        <is>
          <t>Visalia Restaurant Group</t>
        </is>
      </c>
      <c r="G102" s="58">
        <f>IFERROR(INDEX('Employer Master'!$L$5:$L$99,MATCH(E102,'Employer Master'!$A$5:$A$99,0)),"")</f>
        <v/>
      </c>
      <c r="H102" s="58" t="n">
        <v>1</v>
      </c>
    </row>
    <row r="103" ht="15" customHeight="1" s="48">
      <c r="A103" s="56" t="inlineStr">
        <is>
          <t>CON-199</t>
        </is>
      </c>
      <c r="B103" s="56" t="inlineStr">
        <is>
          <t>Yannick Whitmore</t>
        </is>
      </c>
      <c r="C103" s="56" t="inlineStr">
        <is>
          <t>Office Manager</t>
        </is>
      </c>
      <c r="D103" s="56" t="inlineStr">
        <is>
          <t>cannot bind</t>
        </is>
      </c>
      <c r="E103" s="56" t="inlineStr">
        <is>
          <t>EMP-1093</t>
        </is>
      </c>
      <c r="F103" s="56" t="inlineStr">
        <is>
          <t>Weimar Builders</t>
        </is>
      </c>
      <c r="G103" s="56">
        <f>IFERROR(INDEX('Employer Master'!$L$5:$L$99,MATCH(E103,'Employer Master'!$A$5:$A$99,0)),"")</f>
        <v/>
      </c>
      <c r="H103" s="56" t="n">
        <v>1</v>
      </c>
    </row>
    <row r="104" ht="15" customHeight="1" s="48">
      <c r="A104" s="58" t="inlineStr">
        <is>
          <t>CON-200</t>
        </is>
      </c>
      <c r="B104" s="58" t="inlineStr">
        <is>
          <t>Uma Foster</t>
        </is>
      </c>
      <c r="C104" s="58" t="inlineStr">
        <is>
          <t>Owner</t>
        </is>
      </c>
      <c r="D104" s="58" t="inlineStr">
        <is>
          <t>can bind</t>
        </is>
      </c>
      <c r="E104" s="58" t="inlineStr">
        <is>
          <t>EMP-1094</t>
        </is>
      </c>
      <c r="F104" s="58" t="inlineStr">
        <is>
          <t>Yountville Manufacturing</t>
        </is>
      </c>
      <c r="G104" s="58">
        <f>IFERROR(INDEX('Employer Master'!$L$5:$L$99,MATCH(E104,'Employer Master'!$A$5:$A$99,0)),"")</f>
        <v/>
      </c>
      <c r="H104" s="58" t="n">
        <v>1</v>
      </c>
    </row>
    <row r="105" ht="15" customHeight="1" s="48">
      <c r="A105" s="56" t="inlineStr">
        <is>
          <t>CON-201</t>
        </is>
      </c>
      <c r="B105" s="56" t="inlineStr">
        <is>
          <t>Bram Mbeki</t>
        </is>
      </c>
      <c r="C105" s="56" t="inlineStr">
        <is>
          <t>Bookkeeper</t>
        </is>
      </c>
      <c r="D105" s="56" t="inlineStr">
        <is>
          <t>cannot bind</t>
        </is>
      </c>
      <c r="E105" s="56" t="inlineStr">
        <is>
          <t>EMP-1095</t>
        </is>
      </c>
      <c r="F105" s="56" t="inlineStr">
        <is>
          <t>Zamora Medical Group</t>
        </is>
      </c>
      <c r="G105" s="56">
        <f>IFERROR(INDEX('Employer Master'!$L$5:$L$99,MATCH(E105,'Employer Master'!$A$5:$A$99,0)),"")</f>
        <v/>
      </c>
      <c r="H105" s="56" t="n">
        <v>1</v>
      </c>
    </row>
    <row r="106" ht="15" customHeight="1" s="48">
      <c r="A106" s="60" t="inlineStr">
        <is>
          <t>TOTAL</t>
        </is>
      </c>
      <c r="H106" s="62">
        <f>SUM(H5:H105)</f>
        <v/>
      </c>
    </row>
    <row r="108" ht="15" customHeight="1" s="48">
      <c r="A108" s="60" t="inlineStr">
        <is>
          <t>CHECK</t>
        </is>
      </c>
      <c r="B108" s="67">
        <f>IF(H106=210,"OK — 210 employer calls","VARIANCE: "&amp;TEXT(H106-210,"+0;-0"))</f>
        <v/>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J3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47" min="1" max="1"/>
    <col width="20" customWidth="1" style="47" min="2" max="2"/>
    <col width="26" customWidth="1" style="47" min="3" max="3"/>
    <col width="12" customWidth="1" style="47" min="4" max="4"/>
    <col width="13" customWidth="1" style="47" min="5" max="5"/>
    <col width="15" customWidth="1" style="47" min="6" max="6"/>
    <col width="13" customWidth="1" style="47" min="7" max="9"/>
    <col width="36" customWidth="1" style="47" min="10" max="10"/>
  </cols>
  <sheetData>
    <row r="1" ht="21.75" customHeight="1" s="48">
      <c r="A1" s="53" t="inlineStr">
        <is>
          <t>Broker master — 30 agencies</t>
        </is>
      </c>
    </row>
    <row r="2" ht="74.25" customHeight="1" s="48">
      <c r="A2" s="54" t="inlineStr">
        <is>
          <t>Book size comes from Choice's broker records and never from call counts, and that single decision is what makes the small-broker finding possible: dividing attributed calls by book size surfaces the three-group agency that raw volume can never show. The design is deliberate — the brokers highest by raw count are large-book and unremarkable per group, while the highest by rate have books under six. Two brokers are included as controls with small books and no adverse signal, so that a small book alone does not predict the finding. At 600 calls the three adverse small-book agencies carry ten attributed calls each, which is enough to name them credibly but still not enough to quote a precise multiple.</t>
        </is>
      </c>
    </row>
    <row r="3" ht="6" customHeight="1" s="48"/>
    <row r="4" ht="31.5" customHeight="1" s="48">
      <c r="A4" s="55" t="inlineStr">
        <is>
          <t>Broker ID</t>
        </is>
      </c>
      <c r="B4" s="55" t="inlineStr">
        <is>
          <t>Broker</t>
        </is>
      </c>
      <c r="C4" s="55" t="inlineStr">
        <is>
          <t>Agency</t>
        </is>
      </c>
      <c r="D4" s="55" t="inlineStr">
        <is>
          <t>Groups in book</t>
        </is>
      </c>
      <c r="E4" s="55" t="inlineStr">
        <is>
          <t>Groups in corpus</t>
        </is>
      </c>
      <c r="F4" s="55" t="inlineStr">
        <is>
          <t>Region</t>
        </is>
      </c>
      <c r="G4" s="55" t="inlineStr">
        <is>
          <t>Attributed calls</t>
        </is>
      </c>
      <c r="H4" s="55" t="inlineStr">
        <is>
          <t>Complaints per group</t>
        </is>
      </c>
      <c r="I4" s="55" t="inlineStr">
        <is>
          <t>vs channel median</t>
        </is>
      </c>
      <c r="J4" s="55" t="inlineStr">
        <is>
          <t>Signal profile</t>
        </is>
      </c>
    </row>
    <row r="5" ht="15" customHeight="1" s="48">
      <c r="A5" s="56" t="inlineStr">
        <is>
          <t>BRK-01</t>
        </is>
      </c>
      <c r="B5" s="56" t="inlineStr">
        <is>
          <t>Anthony Salerno</t>
        </is>
      </c>
      <c r="C5" s="56" t="inlineStr">
        <is>
          <t>Salerno Benefits Group</t>
        </is>
      </c>
      <c r="D5" s="56" t="n">
        <v>3</v>
      </c>
      <c r="E5" s="56">
        <f>COUNTIF('Employer Master'!$L$5:$L$99,A5)</f>
        <v/>
      </c>
      <c r="F5" s="56" t="inlineStr">
        <is>
          <t>Orange County</t>
        </is>
      </c>
      <c r="G5" s="56" t="n">
        <v>10</v>
      </c>
      <c r="H5" s="77">
        <f>IFERROR(G5/D5,0)</f>
        <v/>
      </c>
      <c r="I5" s="78">
        <f>IFERROR(H5/MEDIAN($H$5:$H$34),0)</f>
        <v/>
      </c>
      <c r="J5" s="57" t="inlineStr">
        <is>
          <t>Adverse — responsiveness</t>
        </is>
      </c>
    </row>
    <row r="6" ht="23.25" customHeight="1" s="48">
      <c r="A6" s="58" t="inlineStr">
        <is>
          <t>BRK-02</t>
        </is>
      </c>
      <c r="B6" s="58" t="inlineStr">
        <is>
          <t>Marcus Trent</t>
        </is>
      </c>
      <c r="C6" s="58" t="inlineStr">
        <is>
          <t>Trent &amp; Associates</t>
        </is>
      </c>
      <c r="D6" s="58" t="n">
        <v>4</v>
      </c>
      <c r="E6" s="58">
        <f>COUNTIF('Employer Master'!$L$5:$L$99,A6)</f>
        <v/>
      </c>
      <c r="F6" s="58" t="inlineStr">
        <is>
          <t>Los Angeles</t>
        </is>
      </c>
      <c r="G6" s="58" t="n">
        <v>10</v>
      </c>
      <c r="H6" s="79">
        <f>IFERROR(G6/D6,0)</f>
        <v/>
      </c>
      <c r="I6" s="80">
        <f>IFERROR(H6/MEDIAN($H$5:$H$34),0)</f>
        <v/>
      </c>
      <c r="J6" s="59" t="inlineStr">
        <is>
          <t>Adverse — misrepresentation at point of sale</t>
        </is>
      </c>
    </row>
    <row r="7" ht="15" customHeight="1" s="48">
      <c r="A7" s="56" t="inlineStr">
        <is>
          <t>BRK-03</t>
        </is>
      </c>
      <c r="B7" s="56" t="inlineStr">
        <is>
          <t>Denise Whitfield</t>
        </is>
      </c>
      <c r="C7" s="56" t="inlineStr">
        <is>
          <t>Whitfield Benefits</t>
        </is>
      </c>
      <c r="D7" s="56" t="n">
        <v>5</v>
      </c>
      <c r="E7" s="56">
        <f>COUNTIF('Employer Master'!$L$5:$L$99,A7)</f>
        <v/>
      </c>
      <c r="F7" s="56" t="inlineStr">
        <is>
          <t>San Diego</t>
        </is>
      </c>
      <c r="G7" s="56" t="n">
        <v>10</v>
      </c>
      <c r="H7" s="77">
        <f>IFERROR(G7/D7,0)</f>
        <v/>
      </c>
      <c r="I7" s="78">
        <f>IFERROR(H7/MEDIAN($H$5:$H$34),0)</f>
        <v/>
      </c>
      <c r="J7" s="57" t="inlineStr">
        <is>
          <t>Adverse — execution and disclosure</t>
        </is>
      </c>
    </row>
    <row r="8" ht="15" customHeight="1" s="48">
      <c r="A8" s="58" t="inlineStr">
        <is>
          <t>BRK-04</t>
        </is>
      </c>
      <c r="B8" s="58" t="inlineStr">
        <is>
          <t>Rafael Ortega</t>
        </is>
      </c>
      <c r="C8" s="58" t="inlineStr">
        <is>
          <t>Ortega Insurance Services</t>
        </is>
      </c>
      <c r="D8" s="58" t="n">
        <v>7</v>
      </c>
      <c r="E8" s="58">
        <f>COUNTIF('Employer Master'!$L$5:$L$99,A8)</f>
        <v/>
      </c>
      <c r="F8" s="58" t="inlineStr">
        <is>
          <t>Inland Empire</t>
        </is>
      </c>
      <c r="G8" s="58" t="n">
        <v>3</v>
      </c>
      <c r="H8" s="79">
        <f>IFERROR(G8/D8,0)</f>
        <v/>
      </c>
      <c r="I8" s="80">
        <f>IFERROR(H8/MEDIAN($H$5:$H$34),0)</f>
        <v/>
      </c>
      <c r="J8" s="59" t="inlineStr">
        <is>
          <t>Watch</t>
        </is>
      </c>
    </row>
    <row r="9" ht="15" customHeight="1" s="48">
      <c r="A9" s="56" t="inlineStr">
        <is>
          <t>BRK-05</t>
        </is>
      </c>
      <c r="B9" s="56" t="inlineStr">
        <is>
          <t>Karen Lindqvist</t>
        </is>
      </c>
      <c r="C9" s="56" t="inlineStr">
        <is>
          <t>Lindqvist Group</t>
        </is>
      </c>
      <c r="D9" s="56" t="n">
        <v>9</v>
      </c>
      <c r="E9" s="56">
        <f>COUNTIF('Employer Master'!$L$5:$L$99,A9)</f>
        <v/>
      </c>
      <c r="F9" s="56" t="inlineStr">
        <is>
          <t>Bay Area</t>
        </is>
      </c>
      <c r="G9" s="56" t="n">
        <v>3</v>
      </c>
      <c r="H9" s="77">
        <f>IFERROR(G9/D9,0)</f>
        <v/>
      </c>
      <c r="I9" s="78">
        <f>IFERROR(H9/MEDIAN($H$5:$H$34),0)</f>
        <v/>
      </c>
      <c r="J9" s="57" t="inlineStr">
        <is>
          <t>Watch</t>
        </is>
      </c>
    </row>
    <row r="10" ht="15" customHeight="1" s="48">
      <c r="A10" s="58" t="inlineStr">
        <is>
          <t>BRK-06</t>
        </is>
      </c>
      <c r="B10" s="58" t="inlineStr">
        <is>
          <t>Patricia Nunez</t>
        </is>
      </c>
      <c r="C10" s="58" t="inlineStr">
        <is>
          <t>Nunez Benefit Advisors</t>
        </is>
      </c>
      <c r="D10" s="58" t="n">
        <v>22</v>
      </c>
      <c r="E10" s="58">
        <f>COUNTIF('Employer Master'!$L$5:$L$99,A10)</f>
        <v/>
      </c>
      <c r="F10" s="58" t="inlineStr">
        <is>
          <t>Orange County</t>
        </is>
      </c>
      <c r="G10" s="58" t="n">
        <v>5</v>
      </c>
      <c r="H10" s="79">
        <f>IFERROR(G10/D10,0)</f>
        <v/>
      </c>
      <c r="I10" s="80">
        <f>IFERROR(H10/MEDIAN($H$5:$H$34),0)</f>
        <v/>
      </c>
      <c r="J10" s="59" t="inlineStr">
        <is>
          <t>Positive — clients arrive informed</t>
        </is>
      </c>
    </row>
    <row r="11" ht="15" customHeight="1" s="48">
      <c r="A11" s="56" t="inlineStr">
        <is>
          <t>BRK-07</t>
        </is>
      </c>
      <c r="B11" s="56" t="inlineStr">
        <is>
          <t>Gerald Ohm</t>
        </is>
      </c>
      <c r="C11" s="56" t="inlineStr">
        <is>
          <t>Ohm &amp; Partners</t>
        </is>
      </c>
      <c r="D11" s="56" t="n">
        <v>34</v>
      </c>
      <c r="E11" s="56">
        <f>COUNTIF('Employer Master'!$L$5:$L$99,A11)</f>
        <v/>
      </c>
      <c r="F11" s="56" t="inlineStr">
        <is>
          <t>Los Angeles</t>
        </is>
      </c>
      <c r="G11" s="56" t="n">
        <v>9</v>
      </c>
      <c r="H11" s="77">
        <f>IFERROR(G11/D11,0)</f>
        <v/>
      </c>
      <c r="I11" s="78">
        <f>IFERROR(H11/MEDIAN($H$5:$H$34),0)</f>
        <v/>
      </c>
      <c r="J11" s="57" t="inlineStr">
        <is>
          <t>Neutral — high volume, low rate</t>
        </is>
      </c>
    </row>
    <row r="12" ht="15" customHeight="1" s="48">
      <c r="A12" s="58" t="inlineStr">
        <is>
          <t>BRK-08</t>
        </is>
      </c>
      <c r="B12" s="58" t="inlineStr">
        <is>
          <t>Lucia Moreno</t>
        </is>
      </c>
      <c r="C12" s="58" t="inlineStr">
        <is>
          <t>Moreno Benefits</t>
        </is>
      </c>
      <c r="D12" s="58" t="n">
        <v>41</v>
      </c>
      <c r="E12" s="58">
        <f>COUNTIF('Employer Master'!$L$5:$L$99,A12)</f>
        <v/>
      </c>
      <c r="F12" s="58" t="inlineStr">
        <is>
          <t>Central Valley</t>
        </is>
      </c>
      <c r="G12" s="58" t="n">
        <v>11</v>
      </c>
      <c r="H12" s="79">
        <f>IFERROR(G12/D12,0)</f>
        <v/>
      </c>
      <c r="I12" s="80">
        <f>IFERROR(H12/MEDIAN($H$5:$H$34),0)</f>
        <v/>
      </c>
      <c r="J12" s="59" t="inlineStr">
        <is>
          <t>Neutral — high volume, low rate</t>
        </is>
      </c>
    </row>
    <row r="13" ht="23.25" customHeight="1" s="48">
      <c r="A13" s="56" t="inlineStr">
        <is>
          <t>BRK-09</t>
        </is>
      </c>
      <c r="B13" s="56" t="inlineStr">
        <is>
          <t>Stephen Vaught</t>
        </is>
      </c>
      <c r="C13" s="56" t="inlineStr">
        <is>
          <t>Vaught Agency</t>
        </is>
      </c>
      <c r="D13" s="56" t="n">
        <v>58</v>
      </c>
      <c r="E13" s="56">
        <f>COUNTIF('Employer Master'!$L$5:$L$99,A13)</f>
        <v/>
      </c>
      <c r="F13" s="56" t="inlineStr">
        <is>
          <t>Los Angeles</t>
        </is>
      </c>
      <c r="G13" s="56" t="n">
        <v>14</v>
      </c>
      <c r="H13" s="77">
        <f>IFERROR(G13/D13,0)</f>
        <v/>
      </c>
      <c r="I13" s="78">
        <f>IFERROR(H13/MEDIAN($H$5:$H$34),0)</f>
        <v/>
      </c>
      <c r="J13" s="57" t="inlineStr">
        <is>
          <t>Neutral — highest raw count, unremarkable rate</t>
        </is>
      </c>
    </row>
    <row r="14" ht="23.25" customHeight="1" s="48">
      <c r="A14" s="58" t="inlineStr">
        <is>
          <t>BRK-10</t>
        </is>
      </c>
      <c r="B14" s="58" t="inlineStr">
        <is>
          <t>Nadine Frost</t>
        </is>
      </c>
      <c r="C14" s="58" t="inlineStr">
        <is>
          <t>Frost Insurance</t>
        </is>
      </c>
      <c r="D14" s="58" t="n">
        <v>67</v>
      </c>
      <c r="E14" s="58">
        <f>COUNTIF('Employer Master'!$L$5:$L$99,A14)</f>
        <v/>
      </c>
      <c r="F14" s="58" t="inlineStr">
        <is>
          <t>Orange County</t>
        </is>
      </c>
      <c r="G14" s="58" t="n">
        <v>12</v>
      </c>
      <c r="H14" s="79">
        <f>IFERROR(G14/D14,0)</f>
        <v/>
      </c>
      <c r="I14" s="80">
        <f>IFERROR(H14/MEDIAN($H$5:$H$34),0)</f>
        <v/>
      </c>
      <c r="J14" s="59" t="inlineStr">
        <is>
          <t>Neutral — second highest raw count, lowest rate</t>
        </is>
      </c>
    </row>
    <row r="15" ht="15" customHeight="1" s="48">
      <c r="A15" s="56" t="inlineStr">
        <is>
          <t>BRK-11</t>
        </is>
      </c>
      <c r="B15" s="56" t="inlineStr">
        <is>
          <t>Omar Haddadi</t>
        </is>
      </c>
      <c r="C15" s="56" t="inlineStr">
        <is>
          <t>Haddadi Group</t>
        </is>
      </c>
      <c r="D15" s="56" t="n">
        <v>12</v>
      </c>
      <c r="E15" s="56">
        <f>COUNTIF('Employer Master'!$L$5:$L$99,A15)</f>
        <v/>
      </c>
      <c r="F15" s="56" t="inlineStr">
        <is>
          <t>San Diego</t>
        </is>
      </c>
      <c r="G15" s="56" t="n">
        <v>1</v>
      </c>
      <c r="H15" s="77">
        <f>IFERROR(G15/D15,0)</f>
        <v/>
      </c>
      <c r="I15" s="78">
        <f>IFERROR(H15/MEDIAN($H$5:$H$34),0)</f>
        <v/>
      </c>
      <c r="J15" s="57" t="inlineStr">
        <is>
          <t>Neutral</t>
        </is>
      </c>
    </row>
    <row r="16" ht="15" customHeight="1" s="48">
      <c r="A16" s="58" t="inlineStr">
        <is>
          <t>BRK-12</t>
        </is>
      </c>
      <c r="B16" s="58" t="inlineStr">
        <is>
          <t>Beth Kowalski</t>
        </is>
      </c>
      <c r="C16" s="58" t="inlineStr">
        <is>
          <t>Kowalski Benefits</t>
        </is>
      </c>
      <c r="D16" s="58" t="n">
        <v>15</v>
      </c>
      <c r="E16" s="58">
        <f>COUNTIF('Employer Master'!$L$5:$L$99,A16)</f>
        <v/>
      </c>
      <c r="F16" s="58" t="inlineStr">
        <is>
          <t>Bay Area</t>
        </is>
      </c>
      <c r="G16" s="58" t="n">
        <v>1</v>
      </c>
      <c r="H16" s="79">
        <f>IFERROR(G16/D16,0)</f>
        <v/>
      </c>
      <c r="I16" s="80">
        <f>IFERROR(H16/MEDIAN($H$5:$H$34),0)</f>
        <v/>
      </c>
      <c r="J16" s="59" t="inlineStr">
        <is>
          <t>Neutral</t>
        </is>
      </c>
    </row>
    <row r="17" ht="15" customHeight="1" s="48">
      <c r="A17" s="56" t="inlineStr">
        <is>
          <t>BRK-13</t>
        </is>
      </c>
      <c r="B17" s="56" t="inlineStr">
        <is>
          <t>Trevor Nash</t>
        </is>
      </c>
      <c r="C17" s="56" t="inlineStr">
        <is>
          <t>Nash Advisory</t>
        </is>
      </c>
      <c r="D17" s="56" t="n">
        <v>18</v>
      </c>
      <c r="E17" s="56">
        <f>COUNTIF('Employer Master'!$L$5:$L$99,A17)</f>
        <v/>
      </c>
      <c r="F17" s="56" t="inlineStr">
        <is>
          <t>Inland Empire</t>
        </is>
      </c>
      <c r="G17" s="56" t="n">
        <v>1</v>
      </c>
      <c r="H17" s="77">
        <f>IFERROR(G17/D17,0)</f>
        <v/>
      </c>
      <c r="I17" s="78">
        <f>IFERROR(H17/MEDIAN($H$5:$H$34),0)</f>
        <v/>
      </c>
      <c r="J17" s="57" t="inlineStr">
        <is>
          <t>Neutral</t>
        </is>
      </c>
    </row>
    <row r="18" ht="15" customHeight="1" s="48">
      <c r="A18" s="58" t="inlineStr">
        <is>
          <t>BRK-14</t>
        </is>
      </c>
      <c r="B18" s="58" t="inlineStr">
        <is>
          <t>Simone Clarke</t>
        </is>
      </c>
      <c r="C18" s="58" t="inlineStr">
        <is>
          <t>Clarke &amp; Co</t>
        </is>
      </c>
      <c r="D18" s="58" t="n">
        <v>7</v>
      </c>
      <c r="E18" s="58">
        <f>COUNTIF('Employer Master'!$L$5:$L$99,A18)</f>
        <v/>
      </c>
      <c r="F18" s="58" t="inlineStr">
        <is>
          <t>Central Valley</t>
        </is>
      </c>
      <c r="G18" s="58" t="n">
        <v>0</v>
      </c>
      <c r="H18" s="79">
        <f>IFERROR(G18/D18,0)</f>
        <v/>
      </c>
      <c r="I18" s="80">
        <f>IFERROR(H18/MEDIAN($H$5:$H$34),0)</f>
        <v/>
      </c>
      <c r="J18" s="59" t="inlineStr">
        <is>
          <t>Neutral</t>
        </is>
      </c>
    </row>
    <row r="19" ht="15" customHeight="1" s="48">
      <c r="A19" s="56" t="inlineStr">
        <is>
          <t>BRK-15</t>
        </is>
      </c>
      <c r="B19" s="56" t="inlineStr">
        <is>
          <t>Hugo Delacroix</t>
        </is>
      </c>
      <c r="C19" s="56" t="inlineStr">
        <is>
          <t>Delacroix Benefits</t>
        </is>
      </c>
      <c r="D19" s="56" t="n">
        <v>11</v>
      </c>
      <c r="E19" s="56">
        <f>COUNTIF('Employer Master'!$L$5:$L$99,A19)</f>
        <v/>
      </c>
      <c r="F19" s="56" t="inlineStr">
        <is>
          <t>Orange County</t>
        </is>
      </c>
      <c r="G19" s="56" t="n">
        <v>0</v>
      </c>
      <c r="H19" s="77">
        <f>IFERROR(G19/D19,0)</f>
        <v/>
      </c>
      <c r="I19" s="78">
        <f>IFERROR(H19/MEDIAN($H$5:$H$34),0)</f>
        <v/>
      </c>
      <c r="J19" s="57" t="inlineStr">
        <is>
          <t>Neutral</t>
        </is>
      </c>
    </row>
    <row r="20" ht="15" customHeight="1" s="48">
      <c r="A20" s="58" t="inlineStr">
        <is>
          <t>BRK-16</t>
        </is>
      </c>
      <c r="B20" s="58" t="inlineStr">
        <is>
          <t>Alina Petrescu</t>
        </is>
      </c>
      <c r="C20" s="58" t="inlineStr">
        <is>
          <t>Petrescu Group</t>
        </is>
      </c>
      <c r="D20" s="58" t="n">
        <v>26</v>
      </c>
      <c r="E20" s="58">
        <f>COUNTIF('Employer Master'!$L$5:$L$99,A20)</f>
        <v/>
      </c>
      <c r="F20" s="58" t="inlineStr">
        <is>
          <t>Los Angeles</t>
        </is>
      </c>
      <c r="G20" s="58" t="n">
        <v>3</v>
      </c>
      <c r="H20" s="79">
        <f>IFERROR(G20/D20,0)</f>
        <v/>
      </c>
      <c r="I20" s="80">
        <f>IFERROR(H20/MEDIAN($H$5:$H$34),0)</f>
        <v/>
      </c>
      <c r="J20" s="59" t="inlineStr">
        <is>
          <t>Neutral</t>
        </is>
      </c>
    </row>
    <row r="21" ht="15" customHeight="1" s="48">
      <c r="A21" s="56" t="inlineStr">
        <is>
          <t>BRK-17</t>
        </is>
      </c>
      <c r="B21" s="56" t="inlineStr">
        <is>
          <t>Dean Whitaker</t>
        </is>
      </c>
      <c r="C21" s="56" t="inlineStr">
        <is>
          <t>Whitaker Insurance</t>
        </is>
      </c>
      <c r="D21" s="56" t="n">
        <v>31</v>
      </c>
      <c r="E21" s="56">
        <f>COUNTIF('Employer Master'!$L$5:$L$99,A21)</f>
        <v/>
      </c>
      <c r="F21" s="56" t="inlineStr">
        <is>
          <t>San Diego</t>
        </is>
      </c>
      <c r="G21" s="56" t="n">
        <v>3</v>
      </c>
      <c r="H21" s="77">
        <f>IFERROR(G21/D21,0)</f>
        <v/>
      </c>
      <c r="I21" s="78">
        <f>IFERROR(H21/MEDIAN($H$5:$H$34),0)</f>
        <v/>
      </c>
      <c r="J21" s="57" t="inlineStr">
        <is>
          <t>Neutral</t>
        </is>
      </c>
    </row>
    <row r="22" ht="15" customHeight="1" s="48">
      <c r="A22" s="58" t="inlineStr">
        <is>
          <t>BRK-18</t>
        </is>
      </c>
      <c r="B22" s="58" t="inlineStr">
        <is>
          <t>Rosa Ybarra</t>
        </is>
      </c>
      <c r="C22" s="58" t="inlineStr">
        <is>
          <t>Ybarra Benefits</t>
        </is>
      </c>
      <c r="D22" s="58" t="n">
        <v>8</v>
      </c>
      <c r="E22" s="58">
        <f>COUNTIF('Employer Master'!$L$5:$L$99,A22)</f>
        <v/>
      </c>
      <c r="F22" s="58" t="inlineStr">
        <is>
          <t>Central Valley</t>
        </is>
      </c>
      <c r="G22" s="58" t="n">
        <v>0</v>
      </c>
      <c r="H22" s="79">
        <f>IFERROR(G22/D22,0)</f>
        <v/>
      </c>
      <c r="I22" s="80">
        <f>IFERROR(H22/MEDIAN($H$5:$H$34),0)</f>
        <v/>
      </c>
      <c r="J22" s="59" t="inlineStr">
        <is>
          <t>Neutral</t>
        </is>
      </c>
    </row>
    <row r="23" ht="15" customHeight="1" s="48">
      <c r="A23" s="56" t="inlineStr">
        <is>
          <t>BRK-19</t>
        </is>
      </c>
      <c r="B23" s="56" t="inlineStr">
        <is>
          <t>Calvin Board</t>
        </is>
      </c>
      <c r="C23" s="56" t="inlineStr">
        <is>
          <t>Board Agency</t>
        </is>
      </c>
      <c r="D23" s="56" t="n">
        <v>13</v>
      </c>
      <c r="E23" s="56">
        <f>COUNTIF('Employer Master'!$L$5:$L$99,A23)</f>
        <v/>
      </c>
      <c r="F23" s="56" t="inlineStr">
        <is>
          <t>Bay Area</t>
        </is>
      </c>
      <c r="G23" s="56" t="n">
        <v>0</v>
      </c>
      <c r="H23" s="77">
        <f>IFERROR(G23/D23,0)</f>
        <v/>
      </c>
      <c r="I23" s="78">
        <f>IFERROR(H23/MEDIAN($H$5:$H$34),0)</f>
        <v/>
      </c>
      <c r="J23" s="57" t="inlineStr">
        <is>
          <t>Neutral</t>
        </is>
      </c>
    </row>
    <row r="24" ht="15" customHeight="1" s="48">
      <c r="A24" s="58" t="inlineStr">
        <is>
          <t>BRK-20</t>
        </is>
      </c>
      <c r="B24" s="58" t="inlineStr">
        <is>
          <t>Meredith Kang</t>
        </is>
      </c>
      <c r="C24" s="58" t="inlineStr">
        <is>
          <t>Kang Benefit Partners</t>
        </is>
      </c>
      <c r="D24" s="58" t="n">
        <v>19</v>
      </c>
      <c r="E24" s="58">
        <f>COUNTIF('Employer Master'!$L$5:$L$99,A24)</f>
        <v/>
      </c>
      <c r="F24" s="58" t="inlineStr">
        <is>
          <t>Orange County</t>
        </is>
      </c>
      <c r="G24" s="58" t="n">
        <v>4</v>
      </c>
      <c r="H24" s="79">
        <f>IFERROR(G24/D24,0)</f>
        <v/>
      </c>
      <c r="I24" s="80">
        <f>IFERROR(H24/MEDIAN($H$5:$H$34),0)</f>
        <v/>
      </c>
      <c r="J24" s="59" t="inlineStr">
        <is>
          <t>Positive</t>
        </is>
      </c>
    </row>
    <row r="25" ht="15" customHeight="1" s="48">
      <c r="A25" s="56" t="inlineStr">
        <is>
          <t>BRK-21</t>
        </is>
      </c>
      <c r="B25" s="56" t="inlineStr">
        <is>
          <t>Felix Arriaga</t>
        </is>
      </c>
      <c r="C25" s="56" t="inlineStr">
        <is>
          <t>Arriaga Group</t>
        </is>
      </c>
      <c r="D25" s="56" t="n">
        <v>24</v>
      </c>
      <c r="E25" s="56">
        <f>COUNTIF('Employer Master'!$L$5:$L$99,A25)</f>
        <v/>
      </c>
      <c r="F25" s="56" t="inlineStr">
        <is>
          <t>Inland Empire</t>
        </is>
      </c>
      <c r="G25" s="56" t="n">
        <v>2</v>
      </c>
      <c r="H25" s="77">
        <f>IFERROR(G25/D25,0)</f>
        <v/>
      </c>
      <c r="I25" s="78">
        <f>IFERROR(H25/MEDIAN($H$5:$H$34),0)</f>
        <v/>
      </c>
      <c r="J25" s="57" t="inlineStr">
        <is>
          <t>Neutral</t>
        </is>
      </c>
    </row>
    <row r="26" ht="15" customHeight="1" s="48">
      <c r="A26" s="58" t="inlineStr">
        <is>
          <t>BRK-22</t>
        </is>
      </c>
      <c r="B26" s="58" t="inlineStr">
        <is>
          <t>Joan Petrie</t>
        </is>
      </c>
      <c r="C26" s="58" t="inlineStr">
        <is>
          <t>Petrie Insurance</t>
        </is>
      </c>
      <c r="D26" s="58" t="n">
        <v>5</v>
      </c>
      <c r="E26" s="58">
        <f>COUNTIF('Employer Master'!$L$5:$L$99,A26)</f>
        <v/>
      </c>
      <c r="F26" s="58" t="inlineStr">
        <is>
          <t>Los Angeles</t>
        </is>
      </c>
      <c r="G26" s="58" t="n">
        <v>0</v>
      </c>
      <c r="H26" s="79">
        <f>IFERROR(G26/D26,0)</f>
        <v/>
      </c>
      <c r="I26" s="80">
        <f>IFERROR(H26/MEDIAN($H$5:$H$34),0)</f>
        <v/>
      </c>
      <c r="J26" s="59" t="inlineStr">
        <is>
          <t>Neutral — control, small book, no signal</t>
        </is>
      </c>
    </row>
    <row r="27" ht="15" customHeight="1" s="48">
      <c r="A27" s="56" t="inlineStr">
        <is>
          <t>BRK-23</t>
        </is>
      </c>
      <c r="B27" s="56" t="inlineStr">
        <is>
          <t>Ivan Sokolov</t>
        </is>
      </c>
      <c r="C27" s="56" t="inlineStr">
        <is>
          <t>Sokolov Advisors</t>
        </is>
      </c>
      <c r="D27" s="56" t="n">
        <v>3</v>
      </c>
      <c r="E27" s="56">
        <f>COUNTIF('Employer Master'!$L$5:$L$99,A27)</f>
        <v/>
      </c>
      <c r="F27" s="56" t="inlineStr">
        <is>
          <t>Bay Area</t>
        </is>
      </c>
      <c r="G27" s="56" t="n">
        <v>0</v>
      </c>
      <c r="H27" s="77">
        <f>IFERROR(G27/D27,0)</f>
        <v/>
      </c>
      <c r="I27" s="78">
        <f>IFERROR(H27/MEDIAN($H$5:$H$34),0)</f>
        <v/>
      </c>
      <c r="J27" s="57" t="inlineStr">
        <is>
          <t>Neutral — control, small book, no signal</t>
        </is>
      </c>
    </row>
    <row r="28" ht="15" customHeight="1" s="48">
      <c r="A28" s="58" t="inlineStr">
        <is>
          <t>BRK-24</t>
        </is>
      </c>
      <c r="B28" s="58" t="inlineStr">
        <is>
          <t>Priscilla Yee</t>
        </is>
      </c>
      <c r="C28" s="58" t="inlineStr">
        <is>
          <t>Yee Benefits</t>
        </is>
      </c>
      <c r="D28" s="58" t="n">
        <v>29</v>
      </c>
      <c r="E28" s="58">
        <f>COUNTIF('Employer Master'!$L$5:$L$99,A28)</f>
        <v/>
      </c>
      <c r="F28" s="58" t="inlineStr">
        <is>
          <t>San Diego</t>
        </is>
      </c>
      <c r="G28" s="58" t="n">
        <v>4</v>
      </c>
      <c r="H28" s="79">
        <f>IFERROR(G28/D28,0)</f>
        <v/>
      </c>
      <c r="I28" s="80">
        <f>IFERROR(H28/MEDIAN($H$5:$H$34),0)</f>
        <v/>
      </c>
      <c r="J28" s="59" t="inlineStr">
        <is>
          <t>Positive</t>
        </is>
      </c>
    </row>
    <row r="29" ht="15" customHeight="1" s="48">
      <c r="A29" s="56" t="inlineStr">
        <is>
          <t>BRK-25</t>
        </is>
      </c>
      <c r="B29" s="56" t="inlineStr">
        <is>
          <t>Martin Okoro</t>
        </is>
      </c>
      <c r="C29" s="56" t="inlineStr">
        <is>
          <t>Okoro &amp; Associates</t>
        </is>
      </c>
      <c r="D29" s="56" t="n">
        <v>6</v>
      </c>
      <c r="E29" s="56">
        <f>COUNTIF('Employer Master'!$L$5:$L$99,A29)</f>
        <v/>
      </c>
      <c r="F29" s="56" t="inlineStr">
        <is>
          <t>Central Valley</t>
        </is>
      </c>
      <c r="G29" s="56" t="n">
        <v>0</v>
      </c>
      <c r="H29" s="77">
        <f>IFERROR(G29/D29,0)</f>
        <v/>
      </c>
      <c r="I29" s="78">
        <f>IFERROR(H29/MEDIAN($H$5:$H$34),0)</f>
        <v/>
      </c>
      <c r="J29" s="57" t="inlineStr">
        <is>
          <t>Neutral</t>
        </is>
      </c>
    </row>
    <row r="30" ht="15" customHeight="1" s="48">
      <c r="A30" s="58" t="inlineStr">
        <is>
          <t>BRK-26</t>
        </is>
      </c>
      <c r="B30" s="58" t="inlineStr">
        <is>
          <t>Sylvia Reinhardt</t>
        </is>
      </c>
      <c r="C30" s="58" t="inlineStr">
        <is>
          <t>Reinhardt Benefits</t>
        </is>
      </c>
      <c r="D30" s="58" t="n">
        <v>44</v>
      </c>
      <c r="E30" s="58">
        <f>COUNTIF('Employer Master'!$L$5:$L$99,A30)</f>
        <v/>
      </c>
      <c r="F30" s="58" t="inlineStr">
        <is>
          <t>Los Angeles</t>
        </is>
      </c>
      <c r="G30" s="58" t="n">
        <v>5</v>
      </c>
      <c r="H30" s="79">
        <f>IFERROR(G30/D30,0)</f>
        <v/>
      </c>
      <c r="I30" s="80">
        <f>IFERROR(H30/MEDIAN($H$5:$H$34),0)</f>
        <v/>
      </c>
      <c r="J30" s="59" t="inlineStr">
        <is>
          <t>Neutral</t>
        </is>
      </c>
    </row>
    <row r="31" ht="15" customHeight="1" s="48">
      <c r="A31" s="56" t="inlineStr">
        <is>
          <t>BRK-27</t>
        </is>
      </c>
      <c r="B31" s="56" t="inlineStr">
        <is>
          <t>Gavin Ellery</t>
        </is>
      </c>
      <c r="C31" s="56" t="inlineStr">
        <is>
          <t>Ellery Insurance Group</t>
        </is>
      </c>
      <c r="D31" s="56" t="n">
        <v>16</v>
      </c>
      <c r="E31" s="56">
        <f>COUNTIF('Employer Master'!$L$5:$L$99,A31)</f>
        <v/>
      </c>
      <c r="F31" s="56" t="inlineStr">
        <is>
          <t>Orange County</t>
        </is>
      </c>
      <c r="G31" s="56" t="n">
        <v>0</v>
      </c>
      <c r="H31" s="77">
        <f>IFERROR(G31/D31,0)</f>
        <v/>
      </c>
      <c r="I31" s="78">
        <f>IFERROR(H31/MEDIAN($H$5:$H$34),0)</f>
        <v/>
      </c>
      <c r="J31" s="57" t="inlineStr">
        <is>
          <t>Neutral</t>
        </is>
      </c>
    </row>
    <row r="32" ht="15" customHeight="1" s="48">
      <c r="A32" s="58" t="inlineStr">
        <is>
          <t>BRK-28</t>
        </is>
      </c>
      <c r="B32" s="58" t="inlineStr">
        <is>
          <t>Nora Bellamy</t>
        </is>
      </c>
      <c r="C32" s="58" t="inlineStr">
        <is>
          <t>Bellamy Advisory</t>
        </is>
      </c>
      <c r="D32" s="58" t="n">
        <v>21</v>
      </c>
      <c r="E32" s="58">
        <f>COUNTIF('Employer Master'!$L$5:$L$99,A32)</f>
        <v/>
      </c>
      <c r="F32" s="58" t="inlineStr">
        <is>
          <t>Inland Empire</t>
        </is>
      </c>
      <c r="G32" s="58" t="n">
        <v>2</v>
      </c>
      <c r="H32" s="79">
        <f>IFERROR(G32/D32,0)</f>
        <v/>
      </c>
      <c r="I32" s="80">
        <f>IFERROR(H32/MEDIAN($H$5:$H$34),0)</f>
        <v/>
      </c>
      <c r="J32" s="59" t="inlineStr">
        <is>
          <t>Positive</t>
        </is>
      </c>
    </row>
    <row r="33" ht="15" customHeight="1" s="48">
      <c r="A33" s="56" t="inlineStr">
        <is>
          <t>BRK-29</t>
        </is>
      </c>
      <c r="B33" s="56" t="inlineStr">
        <is>
          <t>Kwame Asante</t>
        </is>
      </c>
      <c r="C33" s="56" t="inlineStr">
        <is>
          <t>Asante Benefit Partners</t>
        </is>
      </c>
      <c r="D33" s="56" t="n">
        <v>10</v>
      </c>
      <c r="E33" s="56">
        <f>COUNTIF('Employer Master'!$L$5:$L$99,A33)</f>
        <v/>
      </c>
      <c r="F33" s="56" t="inlineStr">
        <is>
          <t>San Diego</t>
        </is>
      </c>
      <c r="G33" s="56" t="n">
        <v>0</v>
      </c>
      <c r="H33" s="77">
        <f>IFERROR(G33/D33,0)</f>
        <v/>
      </c>
      <c r="I33" s="78">
        <f>IFERROR(H33/MEDIAN($H$5:$H$34),0)</f>
        <v/>
      </c>
      <c r="J33" s="57" t="inlineStr">
        <is>
          <t>Neutral</t>
        </is>
      </c>
    </row>
    <row r="34" ht="15" customHeight="1" s="48">
      <c r="A34" s="58" t="inlineStr">
        <is>
          <t>BRK-30</t>
        </is>
      </c>
      <c r="B34" s="58" t="inlineStr">
        <is>
          <t>Teresa Falco</t>
        </is>
      </c>
      <c r="C34" s="58" t="inlineStr">
        <is>
          <t>Falco Group</t>
        </is>
      </c>
      <c r="D34" s="58" t="n">
        <v>38</v>
      </c>
      <c r="E34" s="58">
        <f>COUNTIF('Employer Master'!$L$5:$L$99,A34)</f>
        <v/>
      </c>
      <c r="F34" s="58" t="inlineStr">
        <is>
          <t>Bay Area</t>
        </is>
      </c>
      <c r="G34" s="58" t="n">
        <v>4</v>
      </c>
      <c r="H34" s="79">
        <f>IFERROR(G34/D34,0)</f>
        <v/>
      </c>
      <c r="I34" s="80">
        <f>IFERROR(H34/MEDIAN($H$5:$H$34),0)</f>
        <v/>
      </c>
      <c r="J34" s="59" t="inlineStr">
        <is>
          <t>Neutral</t>
        </is>
      </c>
    </row>
    <row r="35" ht="15" customHeight="1" s="48">
      <c r="A35" s="60" t="inlineStr">
        <is>
          <t>TOTAL</t>
        </is>
      </c>
      <c r="D35" s="62">
        <f>SUM(D5:D34)</f>
        <v/>
      </c>
      <c r="E35" s="62">
        <f>SUM(E5:E34)</f>
        <v/>
      </c>
      <c r="G35" s="62">
        <f>SUM(G5:G34)</f>
        <v/>
      </c>
    </row>
    <row r="37" ht="15" customHeight="1" s="48">
      <c r="A37" s="60" t="inlineStr">
        <is>
          <t>CHECK</t>
        </is>
      </c>
      <c r="B37" s="67">
        <f>IF(E35=95,"OK — all 95 employers assigned a broker","VARIANCE: "&amp;TEXT(E35-95,"+0;-0"))</f>
        <v/>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I1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47" min="1" max="1"/>
    <col width="28" customWidth="1" style="47" min="2" max="2"/>
    <col width="13" customWidth="1" style="47" min="3" max="3"/>
    <col width="11" customWidth="1" style="47" min="4" max="4"/>
    <col width="12" customWidth="1" style="47" min="5" max="5"/>
    <col width="11" customWidth="1" style="47" min="6" max="6"/>
    <col width="17" customWidth="1" style="47" min="7" max="7"/>
    <col width="12" customWidth="1" style="47" min="8" max="8"/>
    <col width="50" customWidth="1" style="47" min="9" max="9"/>
  </cols>
  <sheetData>
    <row r="1" ht="21.75" customHeight="1" s="48">
      <c r="A1" s="53" t="inlineStr">
        <is>
          <t>Product lines, carriers and contact rate</t>
        </is>
      </c>
    </row>
    <row r="2" ht="74.25" customHeight="1" s="48">
      <c r="A2" s="54" t="inlineStr">
        <is>
          <t>Lives enrolled are within the 95-group corpus sample, not book-wide, because contact rate must use the same population as the calls — dividing sample calls by book-wide enrolment is the classic denominator error and would be found within minutes. Call share deliberately does not mirror enrolment share, and the gap between them is the insight: life covers roughly one member in twelve and generates about three times the contact rate of dental, which says the line is disproportionately hard to administer rather than that it is popular. Dominant failure modes are cross-referenced to the rule IDs that generate them, so a call reason can always be traced to a published rule.</t>
        </is>
      </c>
    </row>
    <row r="3" ht="6" customHeight="1" s="48"/>
    <row r="4" ht="31.5" customHeight="1" s="48">
      <c r="A4" s="55" t="inlineStr">
        <is>
          <t>Product line</t>
        </is>
      </c>
      <c r="B4" s="55" t="inlineStr">
        <is>
          <t>Carriers</t>
        </is>
      </c>
      <c r="C4" s="55" t="inlineStr">
        <is>
          <t>Lives in sample</t>
        </is>
      </c>
      <c r="D4" s="55" t="inlineStr">
        <is>
          <t>Attach rate</t>
        </is>
      </c>
      <c r="E4" s="55" t="inlineStr">
        <is>
          <t>Planned calls</t>
        </is>
      </c>
      <c r="F4" s="55" t="inlineStr">
        <is>
          <t>Call share</t>
        </is>
      </c>
      <c r="G4" s="55" t="inlineStr">
        <is>
          <t>Contact rate /1,000/yr</t>
        </is>
      </c>
      <c r="H4" s="55" t="inlineStr">
        <is>
          <t>Index vs dental</t>
        </is>
      </c>
      <c r="I4" s="55" t="inlineStr">
        <is>
          <t>Dominant failure modes</t>
        </is>
      </c>
    </row>
    <row r="5" ht="45.75" customHeight="1" s="48">
      <c r="A5" s="56" t="inlineStr">
        <is>
          <t>Dental</t>
        </is>
      </c>
      <c r="B5" s="57" t="inlineStr">
        <is>
          <t>DeltaCare USA (DHMO, CA only); Delta Dental PPO; Ameritas; MetLife</t>
        </is>
      </c>
      <c r="C5" s="68" t="n">
        <v>3661</v>
      </c>
      <c r="D5" s="69">
        <f>IFERROR(C5/'Employer Master'!$F$100,0)</f>
        <v/>
      </c>
      <c r="E5" s="56" t="n">
        <v>270</v>
      </c>
      <c r="F5" s="81">
        <f>IFERROR(E5/$E$10,0)</f>
        <v/>
      </c>
      <c r="G5" s="82">
        <f>IFERROR(E5*(52/12)/C5*1000,0)</f>
        <v/>
      </c>
      <c r="H5" s="78">
        <f>IFERROR(G5/$G$5,0)</f>
        <v/>
      </c>
      <c r="I5" s="57" t="inlineStr">
        <is>
          <t>Major-service waiting periods (C-12) and takeover credit (P-29); annual maximum and network pricing beyond it (C-16); DHMO assigned dentist and specialist referral (C-01, C-02)</t>
        </is>
      </c>
    </row>
    <row r="6" ht="45.75" customHeight="1" s="48">
      <c r="A6" s="58" t="inlineStr">
        <is>
          <t>Vision</t>
        </is>
      </c>
      <c r="B6" s="59" t="inlineStr">
        <is>
          <t>VSP; EyeMed (provided by Ameritas)</t>
        </is>
      </c>
      <c r="C6" s="72" t="n">
        <v>1489</v>
      </c>
      <c r="D6" s="73">
        <f>IFERROR(C6/'Employer Master'!$F$100,0)</f>
        <v/>
      </c>
      <c r="E6" s="58" t="n">
        <v>132</v>
      </c>
      <c r="F6" s="83">
        <f>IFERROR(E6/$E$10,0)</f>
        <v/>
      </c>
      <c r="G6" s="84">
        <f>IFERROR(E6*(52/12)/C6*1000,0)</f>
        <v/>
      </c>
      <c r="H6" s="80">
        <f>IFERROR(G6/$G$5,0)</f>
        <v/>
      </c>
      <c r="I6" s="59" t="inlineStr">
        <is>
          <t>Allowance mistaken for copay (C-22); lens enhancement copays (C-23); glasses-or-contacts in a period (C-24)</t>
        </is>
      </c>
    </row>
    <row r="7" ht="45.75" customHeight="1" s="48">
      <c r="A7" s="56" t="inlineStr">
        <is>
          <t>Life</t>
        </is>
      </c>
      <c r="B7" s="57" t="inlineStr">
        <is>
          <t>Assurity; MetLife</t>
        </is>
      </c>
      <c r="C7" s="68" t="n">
        <v>354</v>
      </c>
      <c r="D7" s="69">
        <f>IFERROR(C7/'Employer Master'!$F$100,0)</f>
        <v/>
      </c>
      <c r="E7" s="56" t="n">
        <v>78</v>
      </c>
      <c r="F7" s="81">
        <f>IFERROR(E7/$E$10,0)</f>
        <v/>
      </c>
      <c r="G7" s="82">
        <f>IFERROR(E7*(52/12)/C7*1000,0)</f>
        <v/>
      </c>
      <c r="H7" s="78">
        <f>IFERROR(G7/$G$5,0)</f>
        <v/>
      </c>
      <c r="I7" s="57" t="inlineStr">
        <is>
          <t>100% participation and 100% employer-paid (P-21, P-22); conversion window on termination (C-34); employer's duty to notify conversion rights (A-44)</t>
        </is>
      </c>
    </row>
    <row r="8" ht="45.75" customHeight="1" s="48">
      <c r="A8" s="58" t="inlineStr">
        <is>
          <t>Chiropractic / Acupuncture</t>
        </is>
      </c>
      <c r="B8" s="59" t="inlineStr">
        <is>
          <t>Landmark</t>
        </is>
      </c>
      <c r="C8" s="72" t="n">
        <v>300</v>
      </c>
      <c r="D8" s="73">
        <f>IFERROR(C8/'Employer Master'!$F$100,0)</f>
        <v/>
      </c>
      <c r="E8" s="58" t="n">
        <v>53</v>
      </c>
      <c r="F8" s="83">
        <f>IFERROR(E8/$E$10,0)</f>
        <v/>
      </c>
      <c r="G8" s="84">
        <f>IFERROR(E8*(52/12)/C8*1000,0)</f>
        <v/>
      </c>
      <c r="H8" s="80">
        <f>IFERROR(G8/$G$5,0)</f>
        <v/>
      </c>
      <c r="I8" s="59" t="inlineStr">
        <is>
          <t>California-only insured plans (C-28); no out-of-network payment at all (C-29); annual visit maximum (C-31)</t>
        </is>
      </c>
    </row>
    <row r="9" ht="45.75" customHeight="1" s="48">
      <c r="A9" s="56" t="inlineStr">
        <is>
          <t>Program-level (no single line)</t>
        </is>
      </c>
      <c r="B9" s="57" t="inlineStr">
        <is>
          <t>n/a</t>
        </is>
      </c>
      <c r="C9" s="68" t="n">
        <v>0</v>
      </c>
      <c r="D9" s="69">
        <f>IFERROR(C9/'Employer Master'!$F$100,0)</f>
        <v/>
      </c>
      <c r="E9" s="56" t="n">
        <v>67</v>
      </c>
      <c r="F9" s="81">
        <f>IFERROR(E9/$E$10,0)</f>
        <v/>
      </c>
      <c r="G9" s="82">
        <f>IFERROR(E9*(52/12)/C9*1000,0)</f>
        <v/>
      </c>
      <c r="H9" s="78">
        <f>IFERROR(G9/$G$5,0)</f>
        <v/>
      </c>
      <c r="I9" s="57" t="inlineStr">
        <is>
          <t>Billing and credits (A-09, A-27); terminations (A-06, A-07); COBRA and Cal-COBRA (A-33 to A-42); ID card routing (P-31); participation (P-18 to P-26)</t>
        </is>
      </c>
    </row>
    <row r="10" ht="15" customHeight="1" s="48">
      <c r="A10" s="60" t="inlineStr">
        <is>
          <t>TOTAL</t>
        </is>
      </c>
      <c r="C10" s="85">
        <f>SUM(C5:C9)</f>
        <v/>
      </c>
      <c r="E10" s="85">
        <f>SUM(E5:E9)</f>
        <v/>
      </c>
    </row>
    <row r="12" ht="15" customHeight="1" s="48">
      <c r="A12" s="60" t="inlineStr">
        <is>
          <t>CHECK</t>
        </is>
      </c>
      <c r="B12" s="67">
        <f>IF(E10=600,"OK — planned calls sum to 600","VARIANCE: "&amp;TEXT(E10-600,"+0;-0"))</f>
        <v/>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G2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47" min="1" max="1"/>
    <col width="22" customWidth="1" style="47" min="2" max="2"/>
    <col width="13" customWidth="1" style="47" min="3" max="4"/>
    <col width="16" customWidth="1" style="47" min="5" max="5"/>
    <col width="14" customWidth="1" style="47" min="6" max="6"/>
    <col width="46" customWidth="1" style="47" min="7" max="7"/>
  </cols>
  <sheetData>
    <row r="1" ht="21.75" customHeight="1" s="48">
      <c r="A1" s="53" t="inlineStr">
        <is>
          <t>Agent roster — 20 agents</t>
        </is>
      </c>
    </row>
    <row r="2" ht="61.5" customHeight="1" s="48">
      <c r="A2" s="54" t="inlineStr">
        <is>
          <t>Twenty agents at thirty calls each, which is exactly the minimum needed to quote an agent-level rate. Variance is within-agent rather than fixed by band, and that matters more than it sounds: if every senior agent scores well on every call the distribution looks engineered and the handle-time finding looks too clean to be true. Strong agents carry poor calls here and weak agents carry good ones. Two agents are modelled as trending across the period, one improving and one declining, so agent trend analysis has something real to find.</t>
        </is>
      </c>
    </row>
    <row r="3" ht="6" customHeight="1" s="48"/>
    <row r="4" ht="31.5" customHeight="1" s="48">
      <c r="A4" s="55" t="inlineStr">
        <is>
          <t>Agent ID</t>
        </is>
      </c>
      <c r="B4" s="55" t="inlineStr">
        <is>
          <t>Agent</t>
        </is>
      </c>
      <c r="C4" s="55" t="inlineStr">
        <is>
          <t>Band</t>
        </is>
      </c>
      <c r="D4" s="55" t="inlineStr">
        <is>
          <t>Planned calls</t>
        </is>
      </c>
      <c r="E4" s="55" t="inlineStr">
        <is>
          <t>Expected mean score</t>
        </is>
      </c>
      <c r="F4" s="55" t="inlineStr">
        <is>
          <t>Score variance (±)</t>
        </is>
      </c>
      <c r="G4" s="55" t="inlineStr">
        <is>
          <t>Dominant pattern</t>
        </is>
      </c>
    </row>
    <row r="5" ht="15" customHeight="1" s="48">
      <c r="A5" s="56" t="inlineStr">
        <is>
          <t>AGT-01</t>
        </is>
      </c>
      <c r="B5" s="56" t="inlineStr">
        <is>
          <t>Sarah Whitlock</t>
        </is>
      </c>
      <c r="C5" s="56" t="inlineStr">
        <is>
          <t>Senior</t>
        </is>
      </c>
      <c r="D5" s="56" t="n">
        <v>32</v>
      </c>
      <c r="E5" s="56" t="n">
        <v>88</v>
      </c>
      <c r="F5" s="56" t="n">
        <v>7</v>
      </c>
      <c r="G5" s="57" t="inlineStr">
        <is>
          <t>Strong — consistent</t>
        </is>
      </c>
    </row>
    <row r="6" ht="15" customHeight="1" s="48">
      <c r="A6" s="58" t="inlineStr">
        <is>
          <t>AGT-02</t>
        </is>
      </c>
      <c r="B6" s="58" t="inlineStr">
        <is>
          <t>Carlos Mendez</t>
        </is>
      </c>
      <c r="C6" s="58" t="inlineStr">
        <is>
          <t>Senior</t>
        </is>
      </c>
      <c r="D6" s="58" t="n">
        <v>31</v>
      </c>
      <c r="E6" s="58" t="n">
        <v>88</v>
      </c>
      <c r="F6" s="58" t="n">
        <v>7</v>
      </c>
      <c r="G6" s="59" t="inlineStr">
        <is>
          <t>Strong — occasional lapse under volume</t>
        </is>
      </c>
    </row>
    <row r="7" ht="15" customHeight="1" s="48">
      <c r="A7" s="56" t="inlineStr">
        <is>
          <t>AGT-03</t>
        </is>
      </c>
      <c r="B7" s="56" t="inlineStr">
        <is>
          <t>Danielle Park</t>
        </is>
      </c>
      <c r="C7" s="56" t="inlineStr">
        <is>
          <t>Senior</t>
        </is>
      </c>
      <c r="D7" s="56" t="n">
        <v>31</v>
      </c>
      <c r="E7" s="56" t="n">
        <v>88</v>
      </c>
      <c r="F7" s="56" t="n">
        <v>7</v>
      </c>
      <c r="G7" s="57" t="inlineStr">
        <is>
          <t>Strong</t>
        </is>
      </c>
    </row>
    <row r="8" ht="15" customHeight="1" s="48">
      <c r="A8" s="58" t="inlineStr">
        <is>
          <t>AGT-04</t>
        </is>
      </c>
      <c r="B8" s="58" t="inlineStr">
        <is>
          <t>Priya Anand</t>
        </is>
      </c>
      <c r="C8" s="58" t="inlineStr">
        <is>
          <t>Senior</t>
        </is>
      </c>
      <c r="D8" s="58" t="n">
        <v>30</v>
      </c>
      <c r="E8" s="58" t="n">
        <v>88</v>
      </c>
      <c r="F8" s="58" t="n">
        <v>7</v>
      </c>
      <c r="G8" s="59" t="inlineStr">
        <is>
          <t>Strong — weaker on life and COBRA</t>
        </is>
      </c>
    </row>
    <row r="9" ht="15" customHeight="1" s="48">
      <c r="A9" s="56" t="inlineStr">
        <is>
          <t>AGT-05</t>
        </is>
      </c>
      <c r="B9" s="56" t="inlineStr">
        <is>
          <t>Adaeze Nwosu</t>
        </is>
      </c>
      <c r="C9" s="56" t="inlineStr">
        <is>
          <t>Senior</t>
        </is>
      </c>
      <c r="D9" s="56" t="n">
        <v>30</v>
      </c>
      <c r="E9" s="56" t="n">
        <v>88</v>
      </c>
      <c r="F9" s="56" t="n">
        <v>7</v>
      </c>
      <c r="G9" s="57" t="inlineStr">
        <is>
          <t>Strong — best on employer administration</t>
        </is>
      </c>
    </row>
    <row r="10" ht="15" customHeight="1" s="48">
      <c r="A10" s="58" t="inlineStr">
        <is>
          <t>AGT-06</t>
        </is>
      </c>
      <c r="B10" s="58" t="inlineStr">
        <is>
          <t>Michael Osei</t>
        </is>
      </c>
      <c r="C10" s="58" t="inlineStr">
        <is>
          <t>Mid</t>
        </is>
      </c>
      <c r="D10" s="58" t="n">
        <v>31</v>
      </c>
      <c r="E10" s="58" t="n">
        <v>76</v>
      </c>
      <c r="F10" s="58" t="n">
        <v>11</v>
      </c>
      <c r="G10" s="59" t="inlineStr">
        <is>
          <t>Mixed — accurate, low ownership</t>
        </is>
      </c>
    </row>
    <row r="11" ht="15" customHeight="1" s="48">
      <c r="A11" s="56" t="inlineStr">
        <is>
          <t>AGT-07</t>
        </is>
      </c>
      <c r="B11" s="56" t="inlineStr">
        <is>
          <t>Linda Braithwaite</t>
        </is>
      </c>
      <c r="C11" s="56" t="inlineStr">
        <is>
          <t>Mid</t>
        </is>
      </c>
      <c r="D11" s="56" t="n">
        <v>31</v>
      </c>
      <c r="E11" s="56" t="n">
        <v>76</v>
      </c>
      <c r="F11" s="56" t="n">
        <v>11</v>
      </c>
      <c r="G11" s="57" t="inlineStr">
        <is>
          <t>Mixed — honest, slow to escalate</t>
        </is>
      </c>
    </row>
    <row r="12" ht="15" customHeight="1" s="48">
      <c r="A12" s="58" t="inlineStr">
        <is>
          <t>AGT-08</t>
        </is>
      </c>
      <c r="B12" s="58" t="inlineStr">
        <is>
          <t>Nicole Trang</t>
        </is>
      </c>
      <c r="C12" s="58" t="inlineStr">
        <is>
          <t>Mid</t>
        </is>
      </c>
      <c r="D12" s="58" t="n">
        <v>30</v>
      </c>
      <c r="E12" s="58" t="n">
        <v>76</v>
      </c>
      <c r="F12" s="58" t="n">
        <v>11</v>
      </c>
      <c r="G12" s="59" t="inlineStr">
        <is>
          <t>Mixed</t>
        </is>
      </c>
    </row>
    <row r="13" ht="15" customHeight="1" s="48">
      <c r="A13" s="56" t="inlineStr">
        <is>
          <t>AGT-09</t>
        </is>
      </c>
      <c r="B13" s="56" t="inlineStr">
        <is>
          <t>James Okonjo</t>
        </is>
      </c>
      <c r="C13" s="56" t="inlineStr">
        <is>
          <t>Mid</t>
        </is>
      </c>
      <c r="D13" s="56" t="n">
        <v>30</v>
      </c>
      <c r="E13" s="56" t="n">
        <v>76</v>
      </c>
      <c r="F13" s="56" t="n">
        <v>11</v>
      </c>
      <c r="G13" s="57" t="inlineStr">
        <is>
          <t>Mixed — strong on billing, weak on product rules</t>
        </is>
      </c>
    </row>
    <row r="14" ht="15" customHeight="1" s="48">
      <c r="A14" s="58" t="inlineStr">
        <is>
          <t>AGT-10</t>
        </is>
      </c>
      <c r="B14" s="58" t="inlineStr">
        <is>
          <t>Tony Ferraro</t>
        </is>
      </c>
      <c r="C14" s="58" t="inlineStr">
        <is>
          <t>Mid</t>
        </is>
      </c>
      <c r="D14" s="58" t="n">
        <v>30</v>
      </c>
      <c r="E14" s="58" t="n">
        <v>76</v>
      </c>
      <c r="F14" s="58" t="n">
        <v>11</v>
      </c>
      <c r="G14" s="59" t="inlineStr">
        <is>
          <t>Mixed — circular calls</t>
        </is>
      </c>
    </row>
    <row r="15" ht="15" customHeight="1" s="48">
      <c r="A15" s="56" t="inlineStr">
        <is>
          <t>AGT-11</t>
        </is>
      </c>
      <c r="B15" s="56" t="inlineStr">
        <is>
          <t>Grace Adeyemi</t>
        </is>
      </c>
      <c r="C15" s="56" t="inlineStr">
        <is>
          <t>Mid</t>
        </is>
      </c>
      <c r="D15" s="56" t="n">
        <v>30</v>
      </c>
      <c r="E15" s="56" t="n">
        <v>76</v>
      </c>
      <c r="F15" s="56" t="n">
        <v>11</v>
      </c>
      <c r="G15" s="57" t="inlineStr">
        <is>
          <t>Mixed — improving across the period</t>
        </is>
      </c>
    </row>
    <row r="16" ht="15" customHeight="1" s="48">
      <c r="A16" s="58" t="inlineStr">
        <is>
          <t>AGT-12</t>
        </is>
      </c>
      <c r="B16" s="58" t="inlineStr">
        <is>
          <t>Hugo Marchetti</t>
        </is>
      </c>
      <c r="C16" s="58" t="inlineStr">
        <is>
          <t>Mid</t>
        </is>
      </c>
      <c r="D16" s="58" t="n">
        <v>30</v>
      </c>
      <c r="E16" s="58" t="n">
        <v>76</v>
      </c>
      <c r="F16" s="58" t="n">
        <v>11</v>
      </c>
      <c r="G16" s="59" t="inlineStr">
        <is>
          <t>Mixed — strong on carrier rules, weak on billing</t>
        </is>
      </c>
    </row>
    <row r="17" ht="15" customHeight="1" s="48">
      <c r="A17" s="56" t="inlineStr">
        <is>
          <t>AGT-13</t>
        </is>
      </c>
      <c r="B17" s="56" t="inlineStr">
        <is>
          <t>Kayla Brennan</t>
        </is>
      </c>
      <c r="C17" s="56" t="inlineStr">
        <is>
          <t>Developing</t>
        </is>
      </c>
      <c r="D17" s="56" t="n">
        <v>30</v>
      </c>
      <c r="E17" s="56" t="n">
        <v>61</v>
      </c>
      <c r="F17" s="56" t="n">
        <v>14</v>
      </c>
      <c r="G17" s="57" t="inlineStr">
        <is>
          <t>Weak — brush-off archetype</t>
        </is>
      </c>
    </row>
    <row r="18" ht="15" customHeight="1" s="48">
      <c r="A18" s="58" t="inlineStr">
        <is>
          <t>AGT-14</t>
        </is>
      </c>
      <c r="B18" s="58" t="inlineStr">
        <is>
          <t>Brad Nolan</t>
        </is>
      </c>
      <c r="C18" s="58" t="inlineStr">
        <is>
          <t>Developing</t>
        </is>
      </c>
      <c r="D18" s="58" t="n">
        <v>30</v>
      </c>
      <c r="E18" s="58" t="n">
        <v>61</v>
      </c>
      <c r="F18" s="58" t="n">
        <v>14</v>
      </c>
      <c r="G18" s="59" t="inlineStr">
        <is>
          <t>Weak — brush-off, disclosure lapses</t>
        </is>
      </c>
    </row>
    <row r="19" ht="15" customHeight="1" s="48">
      <c r="A19" s="56" t="inlineStr">
        <is>
          <t>AGT-15</t>
        </is>
      </c>
      <c r="B19" s="56" t="inlineStr">
        <is>
          <t>Tiffany Rowe</t>
        </is>
      </c>
      <c r="C19" s="56" t="inlineStr">
        <is>
          <t>Developing</t>
        </is>
      </c>
      <c r="D19" s="56" t="n">
        <v>30</v>
      </c>
      <c r="E19" s="56" t="n">
        <v>61</v>
      </c>
      <c r="F19" s="56" t="n">
        <v>14</v>
      </c>
      <c r="G19" s="57" t="inlineStr">
        <is>
          <t>Weak — false confidence on product rules</t>
        </is>
      </c>
    </row>
    <row r="20" ht="15" customHeight="1" s="48">
      <c r="A20" s="58" t="inlineStr">
        <is>
          <t>AGT-16</t>
        </is>
      </c>
      <c r="B20" s="58" t="inlineStr">
        <is>
          <t>Ryan Castellano</t>
        </is>
      </c>
      <c r="C20" s="58" t="inlineStr">
        <is>
          <t>Developing</t>
        </is>
      </c>
      <c r="D20" s="58" t="n">
        <v>29</v>
      </c>
      <c r="E20" s="58" t="n">
        <v>61</v>
      </c>
      <c r="F20" s="58" t="n">
        <v>14</v>
      </c>
      <c r="G20" s="59" t="inlineStr">
        <is>
          <t>Weak — refuses escalation</t>
        </is>
      </c>
    </row>
    <row r="21" ht="15" customHeight="1" s="48">
      <c r="A21" s="56" t="inlineStr">
        <is>
          <t>AGT-17</t>
        </is>
      </c>
      <c r="B21" s="56" t="inlineStr">
        <is>
          <t>Deon Marsh</t>
        </is>
      </c>
      <c r="C21" s="56" t="inlineStr">
        <is>
          <t>Developing</t>
        </is>
      </c>
      <c r="D21" s="56" t="n">
        <v>29</v>
      </c>
      <c r="E21" s="56" t="n">
        <v>61</v>
      </c>
      <c r="F21" s="56" t="n">
        <v>14</v>
      </c>
      <c r="G21" s="57" t="inlineStr">
        <is>
          <t>Weak — circular, long AHT</t>
        </is>
      </c>
    </row>
    <row r="22" ht="15" customHeight="1" s="48">
      <c r="A22" s="58" t="inlineStr">
        <is>
          <t>AGT-18</t>
        </is>
      </c>
      <c r="B22" s="58" t="inlineStr">
        <is>
          <t>Elena Sokoloff</t>
        </is>
      </c>
      <c r="C22" s="58" t="inlineStr">
        <is>
          <t>Developing</t>
        </is>
      </c>
      <c r="D22" s="58" t="n">
        <v>29</v>
      </c>
      <c r="E22" s="58" t="n">
        <v>61</v>
      </c>
      <c r="F22" s="58" t="n">
        <v>14</v>
      </c>
      <c r="G22" s="59" t="inlineStr">
        <is>
          <t>Weak — declining across the period</t>
        </is>
      </c>
    </row>
    <row r="23" ht="15" customHeight="1" s="48">
      <c r="A23" s="56" t="inlineStr">
        <is>
          <t>AGT-19</t>
        </is>
      </c>
      <c r="B23" s="56" t="inlineStr">
        <is>
          <t>Farrah Bhatti</t>
        </is>
      </c>
      <c r="C23" s="56" t="inlineStr">
        <is>
          <t>Developing</t>
        </is>
      </c>
      <c r="D23" s="56" t="n">
        <v>29</v>
      </c>
      <c r="E23" s="56" t="n">
        <v>61</v>
      </c>
      <c r="F23" s="56" t="n">
        <v>14</v>
      </c>
      <c r="G23" s="57" t="inlineStr">
        <is>
          <t>Weak — verification lapses</t>
        </is>
      </c>
    </row>
    <row r="24" ht="15" customHeight="1" s="48">
      <c r="A24" s="58" t="inlineStr">
        <is>
          <t>AGT-20</t>
        </is>
      </c>
      <c r="B24" s="58" t="inlineStr">
        <is>
          <t>Otto Lindgren</t>
        </is>
      </c>
      <c r="C24" s="58" t="inlineStr">
        <is>
          <t>Developing</t>
        </is>
      </c>
      <c r="D24" s="58" t="n">
        <v>28</v>
      </c>
      <c r="E24" s="58" t="n">
        <v>61</v>
      </c>
      <c r="F24" s="58" t="n">
        <v>14</v>
      </c>
      <c r="G24" s="59" t="inlineStr">
        <is>
          <t>Weak — misses escalation triggers</t>
        </is>
      </c>
    </row>
    <row r="25" ht="15" customHeight="1" s="48">
      <c r="A25" s="60" t="inlineStr">
        <is>
          <t>TOTAL</t>
        </is>
      </c>
      <c r="D25" s="62">
        <f>SUM(D5:D24)</f>
        <v/>
      </c>
    </row>
    <row r="27" ht="15" customHeight="1" s="48">
      <c r="A27" s="60" t="inlineStr">
        <is>
          <t>CHECK</t>
        </is>
      </c>
      <c r="B27" s="67">
        <f>IF(D25=600,"OK — planned calls sum to 600","VARIANCE: "&amp;TEXT(D25-600,"+0;-0"))</f>
        <v/>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47" min="1" max="1"/>
    <col width="42" customWidth="1" style="47" min="2" max="2"/>
    <col width="13" customWidth="1" style="47" min="3" max="3"/>
    <col width="10" customWidth="1" style="47" min="4" max="4"/>
    <col width="16" customWidth="1" style="47" min="5" max="5"/>
    <col width="50" customWidth="1" style="47" min="6" max="6"/>
  </cols>
  <sheetData>
    <row r="1" ht="21.75" customHeight="1" s="48">
      <c r="A1" s="53" t="inlineStr">
        <is>
          <t>Distribution targets</t>
        </is>
      </c>
    </row>
    <row r="2" ht="86.25" customHeight="1" s="48">
      <c r="A2" s="54" t="inlineStr">
        <is>
          <t>The counts the transcripts must actually hit. Amber cells are the levers; everything else derives from them, and the check row confirms that caller mix, outcomes and archetypes each still sum to 600. Four sections are new or materially enlarged at this sample size: control exceptions now carry three types each above the rate-quotable threshold, escalation is broken out by trigger type with a floor on the top three, knowledge failures carry a minimum on the top rule so the ranked-articles output is defensible, and process gaps appear for the first time. The archetype mix is unchanged and still matters most — competent-but-constrained at 17% is the bucket that was almost entirely missing from earlier corpora and is a large share of real volume.</t>
        </is>
      </c>
    </row>
    <row r="3" ht="6" customHeight="1" s="48"/>
    <row r="4" ht="31.5" customHeight="1" s="48">
      <c r="A4" s="55" t="inlineStr">
        <is>
          <t>Section</t>
        </is>
      </c>
      <c r="B4" s="55" t="inlineStr">
        <is>
          <t>Target</t>
        </is>
      </c>
      <c r="C4" s="55" t="inlineStr">
        <is>
          <t>Share / value</t>
        </is>
      </c>
      <c r="D4" s="55" t="inlineStr">
        <is>
          <t>Calls</t>
        </is>
      </c>
      <c r="E4" s="55" t="inlineStr">
        <is>
          <t>Supports entry</t>
        </is>
      </c>
      <c r="F4" s="55" t="inlineStr">
        <is>
          <t>Note</t>
        </is>
      </c>
    </row>
    <row r="5" ht="23.25" customHeight="1" s="48">
      <c r="A5" s="56" t="inlineStr">
        <is>
          <t>CALLER MIX</t>
        </is>
      </c>
      <c r="B5" s="57" t="inlineStr">
        <is>
          <t>Member-initiated</t>
        </is>
      </c>
      <c r="C5" s="86" t="n">
        <v>0.65</v>
      </c>
      <c r="D5" s="56">
        <f>ROUND(C5*600,0)</f>
        <v/>
      </c>
      <c r="E5" s="56" t="inlineStr">
        <is>
          <t>all</t>
        </is>
      </c>
      <c r="F5" s="57" t="inlineStr">
        <is>
          <t>Members carry product-line, carrier-rule and knowledge-failure signal</t>
        </is>
      </c>
    </row>
    <row r="6" ht="15" customHeight="1" s="48">
      <c r="A6" s="58" t="n"/>
      <c r="B6" s="59" t="inlineStr">
        <is>
          <t>Employer-initiated</t>
        </is>
      </c>
      <c r="C6" s="86" t="n">
        <v>0.35</v>
      </c>
      <c r="D6" s="58">
        <f>ROUND(C6*600,0)</f>
        <v/>
      </c>
      <c r="E6" s="58" t="inlineStr">
        <is>
          <t>1, 4, 5, 10</t>
        </is>
      </c>
      <c r="F6" s="59" t="inlineStr">
        <is>
          <t>Employer calls run longer and carry the administration layer</t>
        </is>
      </c>
    </row>
    <row r="7" ht="15" customHeight="1" s="48">
      <c r="A7" s="56" t="inlineStr">
        <is>
          <t>OUTCOMES</t>
        </is>
      </c>
      <c r="B7" s="57" t="inlineStr">
        <is>
          <t>Resolved</t>
        </is>
      </c>
      <c r="C7" s="86" t="n">
        <v>0.62</v>
      </c>
      <c r="D7" s="56">
        <f>ROUND(C7*600,0)</f>
        <v/>
      </c>
      <c r="E7" s="56" t="inlineStr">
        <is>
          <t>—</t>
        </is>
      </c>
      <c r="F7" s="57" t="n"/>
    </row>
    <row r="8" ht="15" customHeight="1" s="48">
      <c r="A8" s="58" t="n"/>
      <c r="B8" s="59" t="inlineStr">
        <is>
          <t>Partially resolved</t>
        </is>
      </c>
      <c r="C8" s="86" t="n">
        <v>0.12</v>
      </c>
      <c r="D8" s="58">
        <f>ROUND(C8*600,0)</f>
        <v/>
      </c>
      <c r="E8" s="58" t="inlineStr">
        <is>
          <t>—</t>
        </is>
      </c>
      <c r="F8" s="59" t="inlineStr">
        <is>
          <t>In the FCR denominator, never the numerator</t>
        </is>
      </c>
    </row>
    <row r="9" ht="15" customHeight="1" s="48">
      <c r="A9" s="56" t="n"/>
      <c r="B9" s="57" t="inlineStr">
        <is>
          <t>Escalated</t>
        </is>
      </c>
      <c r="C9" s="86" t="n">
        <v>0.05</v>
      </c>
      <c r="D9" s="56">
        <f>ROUND(C9*600,0)</f>
        <v/>
      </c>
      <c r="E9" s="56" t="inlineStr">
        <is>
          <t>6</t>
        </is>
      </c>
      <c r="F9" s="57" t="inlineStr">
        <is>
          <t>30 calls</t>
        </is>
      </c>
    </row>
    <row r="10" ht="15" customHeight="1" s="48">
      <c r="A10" s="58" t="n"/>
      <c r="B10" s="59" t="inlineStr">
        <is>
          <t>Unresolved</t>
        </is>
      </c>
      <c r="C10" s="86" t="n">
        <v>0.21</v>
      </c>
      <c r="D10" s="58">
        <f>ROUND(C10*600,0)</f>
        <v/>
      </c>
      <c r="E10" s="58" t="inlineStr">
        <is>
          <t>4, 9</t>
        </is>
      </c>
      <c r="F10" s="59" t="inlineStr">
        <is>
          <t>126 calls — the denominator of the failure-driven repeat rate</t>
        </is>
      </c>
    </row>
    <row r="11" ht="15" customHeight="1" s="48">
      <c r="A11" s="56" t="inlineStr">
        <is>
          <t>CALL ARCHETYPE</t>
        </is>
      </c>
      <c r="B11" s="57" t="inlineStr">
        <is>
          <t>Competent and resolved</t>
        </is>
      </c>
      <c r="C11" s="86" t="n">
        <v>0.48</v>
      </c>
      <c r="D11" s="56">
        <f>ROUND(C11*600,0)</f>
        <v/>
      </c>
      <c r="E11" s="56" t="inlineStr">
        <is>
          <t>—</t>
        </is>
      </c>
      <c r="F11" s="57" t="n"/>
    </row>
    <row r="12" ht="23.25" customHeight="1" s="48">
      <c r="A12" s="58" t="n"/>
      <c r="B12" s="59" t="inlineStr">
        <is>
          <t>Competent but constrained — policy blocks the outcome</t>
        </is>
      </c>
      <c r="C12" s="86" t="n">
        <v>0.17</v>
      </c>
      <c r="D12" s="58">
        <f>ROUND(C12*600,0)</f>
        <v/>
      </c>
      <c r="E12" s="58" t="inlineStr">
        <is>
          <t>—</t>
        </is>
      </c>
      <c r="F12" s="59" t="inlineStr">
        <is>
          <t>Agent does everything right, caller still unhappy</t>
        </is>
      </c>
    </row>
    <row r="13" ht="23.25" customHeight="1" s="48">
      <c r="A13" s="56" t="n"/>
      <c r="B13" s="57" t="inlineStr">
        <is>
          <t>Circular — long, agent keeps checking, lands nowhere</t>
        </is>
      </c>
      <c r="C13" s="86" t="n">
        <v>0.14</v>
      </c>
      <c r="D13" s="56">
        <f>ROUND(C13*600,0)</f>
        <v/>
      </c>
      <c r="E13" s="56" t="inlineStr">
        <is>
          <t>—</t>
        </is>
      </c>
      <c r="F13" s="57" t="inlineStr">
        <is>
          <t>Long AHT and a poor score; stops the AHT/quality inversion looking engineered</t>
        </is>
      </c>
    </row>
    <row r="14" ht="15" customHeight="1" s="48">
      <c r="A14" s="58" t="n"/>
      <c r="B14" s="59" t="inlineStr">
        <is>
          <t>Brush-off — short, closed, procedurally correct</t>
        </is>
      </c>
      <c r="C14" s="86" t="n">
        <v>0.13</v>
      </c>
      <c r="D14" s="58">
        <f>ROUND(C14*600,0)</f>
        <v/>
      </c>
      <c r="E14" s="58" t="inlineStr">
        <is>
          <t>—</t>
        </is>
      </c>
      <c r="F14" s="59" t="inlineStr">
        <is>
          <t>A third of poor calls, not all of them</t>
        </is>
      </c>
    </row>
    <row r="15" ht="15" customHeight="1" s="48">
      <c r="A15" s="56" t="n"/>
      <c r="B15" s="57" t="inlineStr">
        <is>
          <t>Escalated or handed off correctly</t>
        </is>
      </c>
      <c r="C15" s="86" t="n">
        <v>0.08</v>
      </c>
      <c r="D15" s="56">
        <f>ROUND(C15*600,0)</f>
        <v/>
      </c>
      <c r="E15" s="56" t="inlineStr">
        <is>
          <t>6</t>
        </is>
      </c>
      <c r="F15" s="57" t="n"/>
    </row>
    <row r="16" ht="15" customHeight="1" s="48">
      <c r="A16" s="58" t="inlineStr">
        <is>
          <t>COMPLIANCE</t>
        </is>
      </c>
      <c r="B16" s="59" t="inlineStr">
        <is>
          <t>No recording disclosure</t>
        </is>
      </c>
      <c r="C16" s="73" t="n"/>
      <c r="D16" s="87" t="n">
        <v>36</v>
      </c>
      <c r="E16" s="58" t="inlineStr">
        <is>
          <t>14</t>
        </is>
      </c>
      <c r="F16" s="59" t="inlineStr">
        <is>
          <t>6% — rate-quotable</t>
        </is>
      </c>
    </row>
    <row r="17" ht="15" customHeight="1" s="48">
      <c r="A17" s="56" t="n"/>
      <c r="B17" s="57" t="inlineStr">
        <is>
          <t>Detail disclosed before verification</t>
        </is>
      </c>
      <c r="C17" s="69" t="n"/>
      <c r="D17" s="87" t="n">
        <v>30</v>
      </c>
      <c r="E17" s="56" t="inlineStr">
        <is>
          <t>14</t>
        </is>
      </c>
      <c r="F17" s="57" t="inlineStr">
        <is>
          <t>5% — now rate-quotable, was count-only at 360</t>
        </is>
      </c>
    </row>
    <row r="18" ht="15" customHeight="1" s="48">
      <c r="A18" s="58" t="n"/>
      <c r="B18" s="59" t="inlineStr">
        <is>
          <t>Required benefit disclosure omitted</t>
        </is>
      </c>
      <c r="C18" s="73" t="n"/>
      <c r="D18" s="87" t="n">
        <v>21</v>
      </c>
      <c r="E18" s="58" t="inlineStr">
        <is>
          <t>14</t>
        </is>
      </c>
      <c r="F18" s="59" t="inlineStr">
        <is>
          <t>3.5% — count and rank only</t>
        </is>
      </c>
    </row>
    <row r="19" ht="15" customHeight="1" s="48">
      <c r="A19" s="56" t="inlineStr">
        <is>
          <t>ESCALATION</t>
        </is>
      </c>
      <c r="B19" s="57" t="inlineStr">
        <is>
          <t>Triggered (denominator)</t>
        </is>
      </c>
      <c r="C19" s="69" t="n"/>
      <c r="D19" s="87" t="n">
        <v>72</v>
      </c>
      <c r="E19" s="56" t="inlineStr">
        <is>
          <t>6</t>
        </is>
      </c>
      <c r="F19" s="57" t="n"/>
    </row>
    <row r="20" ht="15" customHeight="1" s="48">
      <c r="A20" s="58" t="n"/>
      <c r="B20" s="59" t="inlineStr">
        <is>
          <t>— handled correctly</t>
        </is>
      </c>
      <c r="C20" s="73" t="n"/>
      <c r="D20" s="87" t="n">
        <v>30</v>
      </c>
      <c r="E20" s="58" t="inlineStr">
        <is>
          <t>6</t>
        </is>
      </c>
      <c r="F20" s="59" t="n"/>
    </row>
    <row r="21" ht="15" customHeight="1" s="48">
      <c r="A21" s="56" t="n"/>
      <c r="B21" s="57" t="inlineStr">
        <is>
          <t>— refused with no alternative</t>
        </is>
      </c>
      <c r="C21" s="69" t="n"/>
      <c r="D21" s="87" t="n">
        <v>42</v>
      </c>
      <c r="E21" s="56" t="inlineStr">
        <is>
          <t>6</t>
        </is>
      </c>
      <c r="F21" s="57" t="inlineStr">
        <is>
          <t>58% refusal rate</t>
        </is>
      </c>
    </row>
    <row r="22" ht="23.25" customHeight="1" s="48">
      <c r="A22" s="58" t="n"/>
      <c r="B22" s="59" t="inlineStr">
        <is>
          <t>— top 3 trigger types, minimum each</t>
        </is>
      </c>
      <c r="C22" s="73" t="n"/>
      <c r="D22" s="87" t="n">
        <v>15</v>
      </c>
      <c r="E22" s="58" t="inlineStr">
        <is>
          <t>6</t>
        </is>
      </c>
      <c r="F22" s="59" t="inlineStr">
        <is>
          <t>Trigger types 4–8 are named with counts, never quoted as rates</t>
        </is>
      </c>
    </row>
    <row r="23" ht="15" customHeight="1" s="48">
      <c r="A23" s="56" t="inlineStr">
        <is>
          <t>REPEAT CONTACT</t>
        </is>
      </c>
      <c r="B23" s="57" t="inlineStr">
        <is>
          <t>Distinct callers with 2+ calls</t>
        </is>
      </c>
      <c r="C23" s="69" t="n"/>
      <c r="D23" s="87" t="n">
        <v>107</v>
      </c>
      <c r="E23" s="56" t="inlineStr">
        <is>
          <t>4</t>
        </is>
      </c>
      <c r="F23" s="57" t="n"/>
    </row>
    <row r="24" ht="15" customHeight="1" s="48">
      <c r="A24" s="58" t="n"/>
      <c r="B24" s="59" t="inlineStr">
        <is>
          <t>Failure-driven repeats within 14 days</t>
        </is>
      </c>
      <c r="C24" s="73" t="n"/>
      <c r="D24" s="87" t="n">
        <v>48</v>
      </c>
      <c r="E24" s="58" t="inlineStr">
        <is>
          <t>4, 9</t>
        </is>
      </c>
      <c r="F24" s="59" t="inlineStr">
        <is>
          <t>38% of the 126 unresolved calls</t>
        </is>
      </c>
    </row>
    <row r="25" ht="15" customHeight="1" s="48">
      <c r="A25" s="56" t="inlineStr">
        <is>
          <t>KNOWLEDGE</t>
        </is>
      </c>
      <c r="B25" s="57" t="inlineStr">
        <is>
          <t>Knowledge failures total</t>
        </is>
      </c>
      <c r="C25" s="69" t="n"/>
      <c r="D25" s="87" t="n">
        <v>72</v>
      </c>
      <c r="E25" s="56" t="inlineStr">
        <is>
          <t>16</t>
        </is>
      </c>
      <c r="F25" s="57" t="inlineStr">
        <is>
          <t>12% of calls</t>
        </is>
      </c>
    </row>
    <row r="26" ht="15" customHeight="1" s="48">
      <c r="A26" s="58" t="n"/>
      <c r="B26" s="59" t="inlineStr">
        <is>
          <t>— top rule_id, minimum</t>
        </is>
      </c>
      <c r="C26" s="73" t="n"/>
      <c r="D26" s="87" t="n">
        <v>15</v>
      </c>
      <c r="E26" s="58" t="inlineStr">
        <is>
          <t>16</t>
        </is>
      </c>
      <c r="F26" s="59" t="inlineStr">
        <is>
          <t>Top five rules carry ~60% of failures</t>
        </is>
      </c>
    </row>
    <row r="27" ht="15" customHeight="1" s="48">
      <c r="A27" s="56" t="inlineStr">
        <is>
          <t>PROCESS GAPS</t>
        </is>
      </c>
      <c r="B27" s="57" t="inlineStr">
        <is>
          <t>process_gap proposals</t>
        </is>
      </c>
      <c r="C27" s="69" t="n"/>
      <c r="D27" s="87" t="n">
        <v>54</v>
      </c>
      <c r="E27" s="56" t="inlineStr">
        <is>
          <t>17</t>
        </is>
      </c>
      <c r="F27" s="57" t="inlineStr">
        <is>
          <t>9% of calls</t>
        </is>
      </c>
    </row>
    <row r="28" ht="15" customHeight="1" s="48">
      <c r="A28" s="58" t="n"/>
      <c r="B28" s="59" t="inlineStr">
        <is>
          <t>— top touchpoint, minimum</t>
        </is>
      </c>
      <c r="C28" s="73" t="n"/>
      <c r="D28" s="87" t="n">
        <v>12</v>
      </c>
      <c r="E28" s="58" t="inlineStr">
        <is>
          <t>17</t>
        </is>
      </c>
      <c r="F28" s="59" t="n"/>
    </row>
    <row r="29" ht="15" customHeight="1" s="48">
      <c r="A29" s="56" t="inlineStr">
        <is>
          <t>BROKER</t>
        </is>
      </c>
      <c r="B29" s="57" t="inlineStr">
        <is>
          <t>Calls naming a broker aloud</t>
        </is>
      </c>
      <c r="C29" s="69" t="n"/>
      <c r="D29" s="87" t="n">
        <v>117</v>
      </c>
      <c r="E29" s="56" t="inlineStr">
        <is>
          <t>18</t>
        </is>
      </c>
      <c r="F29" s="57" t="inlineStr">
        <is>
          <t>Minimum 12 in every rolling 4-week block</t>
        </is>
      </c>
    </row>
    <row r="30" ht="15" customHeight="1" s="48">
      <c r="A30" s="58" t="n"/>
      <c r="B30" s="59" t="inlineStr">
        <is>
          <t>— adverse, small-book (BRK-01/02/03)</t>
        </is>
      </c>
      <c r="C30" s="73" t="n"/>
      <c r="D30" s="87" t="n">
        <v>30</v>
      </c>
      <c r="E30" s="58" t="inlineStr">
        <is>
          <t>18</t>
        </is>
      </c>
      <c r="F30" s="59" t="inlineStr">
        <is>
          <t>10 each — the invisible-broker finding</t>
        </is>
      </c>
    </row>
    <row r="31" ht="15" customHeight="1" s="48">
      <c r="A31" s="56" t="n"/>
      <c r="B31" s="57" t="inlineStr">
        <is>
          <t>— positive attribution</t>
        </is>
      </c>
      <c r="C31" s="69" t="n"/>
      <c r="D31" s="87" t="n">
        <v>15</v>
      </c>
      <c r="E31" s="56" t="inlineStr">
        <is>
          <t>18</t>
        </is>
      </c>
      <c r="F31" s="57" t="n"/>
    </row>
    <row r="32" ht="15" customHeight="1" s="48">
      <c r="A32" s="58" t="inlineStr">
        <is>
          <t>COMMERCIAL</t>
        </is>
      </c>
      <c r="B32" s="59" t="inlineStr">
        <is>
          <t>Expansion intent, unrouted</t>
        </is>
      </c>
      <c r="C32" s="73" t="n"/>
      <c r="D32" s="87" t="n">
        <v>30</v>
      </c>
      <c r="E32" s="58" t="inlineStr">
        <is>
          <t>10</t>
        </is>
      </c>
      <c r="F32" s="59" t="n"/>
    </row>
    <row r="33" ht="15" customHeight="1" s="48">
      <c r="A33" s="56" t="n"/>
      <c r="B33" s="57" t="inlineStr">
        <is>
          <t>Market-test or exit language, verbatim</t>
        </is>
      </c>
      <c r="C33" s="69" t="n"/>
      <c r="D33" s="87" t="n">
        <v>24</v>
      </c>
      <c r="E33" s="56" t="inlineStr">
        <is>
          <t>11</t>
        </is>
      </c>
      <c r="F33" s="57" t="n"/>
    </row>
    <row r="34" ht="15" customHeight="1" s="48">
      <c r="A34" s="58" t="inlineStr">
        <is>
          <t>REFERENCE</t>
        </is>
      </c>
      <c r="B34" s="59" t="inlineStr">
        <is>
          <t>Annual premium per enrolled life ($)</t>
        </is>
      </c>
      <c r="C34" s="88" t="n">
        <v>486</v>
      </c>
      <c r="D34" s="58" t="n"/>
      <c r="E34" s="58" t="inlineStr">
        <is>
          <t>3</t>
        </is>
      </c>
      <c r="F34" s="59" t="inlineStr">
        <is>
          <t>Lever used by Employer Master</t>
        </is>
      </c>
    </row>
    <row r="36" ht="15" customHeight="1" s="48">
      <c r="A36" s="60" t="inlineStr">
        <is>
          <t>CHECK</t>
        </is>
      </c>
      <c r="B36" s="67">
        <f>IF(AND(SUM(D5:D6)=600,SUM(D7:D10)=600,SUM(D11:D15)=600),"OK — caller mix, outcomes and archetypes each sum to 600","VARIANCE — check mix rows")</f>
        <v/>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outlinePr summaryBelow="1" summaryRight="1"/>
    <pageSetUpPr/>
  </sheetPr>
  <dimension ref="A1:X10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style="48" min="1" max="1"/>
    <col width="17" customWidth="1" style="48" min="2" max="2"/>
    <col width="7" customWidth="1" style="48" min="3" max="3"/>
    <col width="12" customWidth="1" style="48" min="4" max="4"/>
    <col width="13" customWidth="1" style="48" min="5" max="5"/>
    <col width="20" customWidth="1" style="48" min="6" max="6"/>
    <col width="20" customWidth="1" style="48" min="7" max="7"/>
    <col width="19" customWidth="1" style="48" min="8" max="8"/>
    <col width="12" customWidth="1" style="48" min="9" max="9"/>
    <col width="16" customWidth="1" style="48" min="10" max="10"/>
    <col width="20" customWidth="1" style="48" min="11" max="11"/>
    <col width="17" customWidth="1" style="48" min="12" max="12"/>
    <col width="7" customWidth="1" style="48" min="13" max="13"/>
    <col width="8" customWidth="1" style="48" min="14" max="14"/>
    <col width="26" customWidth="1" style="48" min="15" max="15"/>
    <col width="17" customWidth="1" style="48" min="16" max="16"/>
    <col width="40" customWidth="1" style="48" min="17" max="17"/>
    <col width="40" customWidth="1" style="48" min="18" max="18"/>
    <col width="26" customWidth="1" style="48" min="19" max="19"/>
    <col width="44" customWidth="1" style="48" min="20" max="20"/>
    <col width="22" customWidth="1" style="48" min="21" max="21"/>
    <col width="44" customWidth="1" style="48" min="22" max="22"/>
    <col width="20" customWidth="1" style="48" min="23" max="23"/>
    <col width="26" customWidth="1" style="48" min="24" max="24"/>
  </cols>
  <sheetData>
    <row r="1" ht="22" customHeight="1" s="48">
      <c r="A1" s="89" t="inlineStr">
        <is>
          <t>Transcript tracker — written to date</t>
        </is>
      </c>
    </row>
    <row r="2" ht="62" customHeight="1" s="48">
      <c r="A2" s="90" t="inlineStr">
        <is>
          <t>One row per transcript written, in call order, with the tags that matter for coverage. This is the register the team works from: it says what exists, what each call exercises, and — read alongside Batch Coverage — what the next batch has to correct. Employer, industry, broker of record and group size are deliberately absent because they join from caller_ref through the Member Master and Employer Contacts sheets; repeating them here would create two versions of the same fact. Append new batches below row 104 and the Batch Coverage formulas pick them up automatically.</t>
        </is>
      </c>
    </row>
    <row r="3" ht="6" customHeight="1" s="48"/>
    <row r="4" ht="32" customHeight="1" s="48">
      <c r="A4" s="91" t="inlineStr">
        <is>
          <t>Call ID</t>
        </is>
      </c>
      <c r="B4" s="91" t="inlineStr">
        <is>
          <t>Date / time</t>
        </is>
      </c>
      <c r="C4" s="91" t="inlineStr">
        <is>
          <t>Batch</t>
        </is>
      </c>
      <c r="D4" s="91" t="inlineStr">
        <is>
          <t>Caller type</t>
        </is>
      </c>
      <c r="E4" s="91" t="inlineStr">
        <is>
          <t>caller_ref</t>
        </is>
      </c>
      <c r="F4" s="91" t="inlineStr">
        <is>
          <t>Caller name</t>
        </is>
      </c>
      <c r="G4" s="91" t="inlineStr">
        <is>
          <t>Agent</t>
        </is>
      </c>
      <c r="H4" s="91" t="inlineStr">
        <is>
          <t>Category</t>
        </is>
      </c>
      <c r="I4" s="91" t="inlineStr">
        <is>
          <t>Product line</t>
        </is>
      </c>
      <c r="J4" s="91" t="inlineStr">
        <is>
          <t>Rule refs</t>
        </is>
      </c>
      <c r="K4" s="91" t="inlineStr">
        <is>
          <t>Touchpoint</t>
        </is>
      </c>
      <c r="L4" s="91" t="inlineStr">
        <is>
          <t>Outcome</t>
        </is>
      </c>
      <c r="M4" s="91" t="inlineStr">
        <is>
          <t>Score</t>
        </is>
      </c>
      <c r="N4" s="91" t="inlineStr">
        <is>
          <t>AHT (s)</t>
        </is>
      </c>
      <c r="O4" s="91" t="inlineStr">
        <is>
          <t>Archetype</t>
        </is>
      </c>
      <c r="P4" s="91" t="inlineStr">
        <is>
          <t>Complaint</t>
        </is>
      </c>
      <c r="Q4" s="91" t="inlineStr">
        <is>
          <t>Signals</t>
        </is>
      </c>
      <c r="R4" s="91" t="inlineStr">
        <is>
          <t>Escalation</t>
        </is>
      </c>
      <c r="S4" s="91" t="inlineStr">
        <is>
          <t>Control exceptions</t>
        </is>
      </c>
      <c r="T4" s="91" t="inlineStr">
        <is>
          <t>Knowledge failure</t>
        </is>
      </c>
      <c r="U4" s="91" t="inlineStr">
        <is>
          <t>Intent</t>
        </is>
      </c>
      <c r="V4" s="91" t="inlineStr">
        <is>
          <t>Process gap</t>
        </is>
      </c>
      <c r="W4" s="91" t="inlineStr">
        <is>
          <t>Broker named</t>
        </is>
      </c>
      <c r="X4" s="91" t="inlineStr">
        <is>
          <t>Repeat of</t>
        </is>
      </c>
    </row>
    <row r="5" ht="30" customHeight="1" s="48">
      <c r="A5" s="92" t="inlineStr">
        <is>
          <t>C-0001</t>
        </is>
      </c>
      <c r="B5" s="92" t="inlineStr">
        <is>
          <t>Mon 06 Jul 2026 09:14</t>
        </is>
      </c>
      <c r="C5" s="92" t="inlineStr">
        <is>
          <t>B1</t>
        </is>
      </c>
      <c r="D5" s="92" t="inlineStr">
        <is>
          <t>MEMBER</t>
        </is>
      </c>
      <c r="E5" s="92" t="inlineStr">
        <is>
          <t>CB-7700205</t>
        </is>
      </c>
      <c r="F5" s="92" t="inlineStr">
        <is>
          <t>Leon Castellano</t>
        </is>
      </c>
      <c r="G5" s="93" t="inlineStr">
        <is>
          <t>AGT-01|Sarah Whitlock</t>
        </is>
      </c>
      <c r="H5" s="92" t="inlineStr">
        <is>
          <t>Claims &amp; EOB</t>
        </is>
      </c>
      <c r="I5" s="92" t="inlineStr">
        <is>
          <t>dental</t>
        </is>
      </c>
      <c r="J5" s="93" t="inlineStr">
        <is>
          <t>C-12, P-14</t>
        </is>
      </c>
      <c r="K5" s="93" t="inlineStr">
        <is>
          <t>denial_letter_eob</t>
        </is>
      </c>
      <c r="L5" s="92" t="inlineStr">
        <is>
          <t>RESOLVED</t>
        </is>
      </c>
      <c r="M5" s="92" t="n">
        <v>91</v>
      </c>
      <c r="N5" s="92" t="n">
        <v>380</v>
      </c>
      <c r="O5" s="93" t="inlineStr">
        <is>
          <t>Competent and resolved</t>
        </is>
      </c>
      <c r="P5" s="92" t="inlineStr">
        <is>
          <t>present|CHOICE</t>
        </is>
      </c>
      <c r="Q5" s="93" t="inlineStr">
        <is>
          <t>member_communication_gap|MEDIUM|Member Communications</t>
        </is>
      </c>
      <c r="R5" s="93" t="inlineStr">
        <is>
          <t>triggered false</t>
        </is>
      </c>
      <c r="S5" s="93" t="inlineStr"/>
      <c r="T5" s="93" t="inlineStr">
        <is>
          <t>present|C-12|major-service waiting period is a plan feature, separate from the employer's new-hire period</t>
        </is>
      </c>
      <c r="U5" s="92" t="inlineStr"/>
      <c r="V5" s="93" t="inlineStr">
        <is>
          <t>present|denial letter should name the waiting period and the eligibility date|denial_letter_eob|AGENT|UNVALIDATED</t>
        </is>
      </c>
      <c r="W5" s="92" t="inlineStr"/>
      <c r="X5" s="93" t="inlineStr"/>
    </row>
    <row r="6" ht="30" customHeight="1" s="48">
      <c r="A6" s="94" t="inlineStr">
        <is>
          <t>C-0002</t>
        </is>
      </c>
      <c r="B6" s="94" t="inlineStr">
        <is>
          <t>Mon 06 Jul 2026 10:41</t>
        </is>
      </c>
      <c r="C6" s="94" t="inlineStr">
        <is>
          <t>B1</t>
        </is>
      </c>
      <c r="D6" s="94" t="inlineStr">
        <is>
          <t>MEMBER</t>
        </is>
      </c>
      <c r="E6" s="94" t="inlineStr">
        <is>
          <t>CB-7700170</t>
        </is>
      </c>
      <c r="F6" s="94" t="inlineStr">
        <is>
          <t>Vidal Castellano</t>
        </is>
      </c>
      <c r="G6" s="95" t="inlineStr">
        <is>
          <t>AGT-14|Brad Nolan</t>
        </is>
      </c>
      <c r="H6" s="94" t="inlineStr">
        <is>
          <t>Enrollment &amp; ID Cards</t>
        </is>
      </c>
      <c r="I6" s="94" t="inlineStr">
        <is>
          <t>dental</t>
        </is>
      </c>
      <c r="J6" s="95" t="inlineStr">
        <is>
          <t>P-31</t>
        </is>
      </c>
      <c r="K6" s="95" t="inlineStr">
        <is>
          <t>id_card_mailer</t>
        </is>
      </c>
      <c r="L6" s="94" t="inlineStr">
        <is>
          <t>UNRESOLVED</t>
        </is>
      </c>
      <c r="M6" s="94" t="n">
        <v>44</v>
      </c>
      <c r="N6" s="94" t="n">
        <v>245</v>
      </c>
      <c r="O6" s="95" t="inlineStr">
        <is>
          <t>Brush-off</t>
        </is>
      </c>
      <c r="P6" s="94" t="inlineStr">
        <is>
          <t>present|CHOICE</t>
        </is>
      </c>
      <c r="Q6" s="95" t="inlineStr">
        <is>
          <t>process_breakdown|HIGH|Operations; compliance_disclosure_missing|HIGH|Compliance</t>
        </is>
      </c>
      <c r="R6" s="95" t="inlineStr">
        <is>
          <t>triggered false</t>
        </is>
      </c>
      <c r="S6" s="95" t="inlineStr">
        <is>
          <t>no_recording_disclosure</t>
        </is>
      </c>
      <c r="T6" s="95" t="inlineStr">
        <is>
          <t>present|P-31|cards route to the employer for this carrier, not direct to the member</t>
        </is>
      </c>
      <c r="U6" s="94" t="inlineStr"/>
      <c r="V6" s="95" t="inlineStr"/>
      <c r="W6" s="94" t="inlineStr"/>
      <c r="X6" s="95" t="inlineStr"/>
    </row>
    <row r="7" ht="30" customHeight="1" s="48">
      <c r="A7" s="92" t="inlineStr">
        <is>
          <t>C-0003</t>
        </is>
      </c>
      <c r="B7" s="92" t="inlineStr">
        <is>
          <t>Mon 06 Jul 2026 13:22</t>
        </is>
      </c>
      <c r="C7" s="92" t="inlineStr">
        <is>
          <t>B1</t>
        </is>
      </c>
      <c r="D7" s="92" t="inlineStr">
        <is>
          <t>EMPLOYER</t>
        </is>
      </c>
      <c r="E7" s="92" t="inlineStr">
        <is>
          <t>CON-137</t>
        </is>
      </c>
      <c r="F7" s="92" t="inlineStr">
        <is>
          <t>Sandra Villalobos</t>
        </is>
      </c>
      <c r="G7" s="93" t="inlineStr">
        <is>
          <t>AGT-05|Adaeze Nwosu</t>
        </is>
      </c>
      <c r="H7" s="92" t="inlineStr">
        <is>
          <t>Billing &amp; Premium</t>
        </is>
      </c>
      <c r="I7" s="92" t="inlineStr">
        <is>
          <t>program</t>
        </is>
      </c>
      <c r="J7" s="93" t="inlineStr">
        <is>
          <t>A-27, A-45</t>
        </is>
      </c>
      <c r="K7" s="93" t="inlineStr">
        <is>
          <t>invoice_statement</t>
        </is>
      </c>
      <c r="L7" s="92" t="inlineStr">
        <is>
          <t>RESOLVED</t>
        </is>
      </c>
      <c r="M7" s="92" t="n">
        <v>88</v>
      </c>
      <c r="N7" s="92" t="n">
        <v>468</v>
      </c>
      <c r="O7" s="93" t="inlineStr">
        <is>
          <t>Competent and resolved</t>
        </is>
      </c>
      <c r="P7" s="92" t="inlineStr">
        <is>
          <t>absent</t>
        </is>
      </c>
      <c r="Q7" s="93" t="inlineStr"/>
      <c r="R7" s="93" t="inlineStr">
        <is>
          <t>triggered false</t>
        </is>
      </c>
      <c r="S7" s="93" t="inlineStr"/>
      <c r="T7" s="93" t="inlineStr"/>
      <c r="U7" s="92" t="inlineStr"/>
      <c r="V7" s="93" t="inlineStr">
        <is>
          <t>present|change codes on the statement should be expanded in plain English|invoice_statement|CALLER|UNVALIDATED</t>
        </is>
      </c>
      <c r="W7" s="92" t="inlineStr"/>
      <c r="X7" s="93" t="inlineStr"/>
    </row>
    <row r="8" ht="30" customHeight="1" s="48">
      <c r="A8" s="94" t="inlineStr">
        <is>
          <t>C-0004</t>
        </is>
      </c>
      <c r="B8" s="94" t="inlineStr">
        <is>
          <t>Tue 07 Jul 2026 09:02</t>
        </is>
      </c>
      <c r="C8" s="94" t="inlineStr">
        <is>
          <t>B1</t>
        </is>
      </c>
      <c r="D8" s="94" t="inlineStr">
        <is>
          <t>MEMBER</t>
        </is>
      </c>
      <c r="E8" s="94" t="inlineStr">
        <is>
          <t>CB-7700211</t>
        </is>
      </c>
      <c r="F8" s="94" t="inlineStr">
        <is>
          <t>Mateo Nkemdi</t>
        </is>
      </c>
      <c r="G8" s="95" t="inlineStr">
        <is>
          <t>AGT-13|Kayla Brennan</t>
        </is>
      </c>
      <c r="H8" s="94" t="inlineStr">
        <is>
          <t>Coverage &amp; Benefits</t>
        </is>
      </c>
      <c r="I8" s="94" t="inlineStr">
        <is>
          <t>dental</t>
        </is>
      </c>
      <c r="J8" s="95" t="inlineStr">
        <is>
          <t>—</t>
        </is>
      </c>
      <c r="K8" s="95" t="inlineStr">
        <is>
          <t>—</t>
        </is>
      </c>
      <c r="L8" s="94" t="inlineStr">
        <is>
          <t>RESOLVED</t>
        </is>
      </c>
      <c r="M8" s="94" t="n">
        <v>70</v>
      </c>
      <c r="N8" s="94" t="n">
        <v>192</v>
      </c>
      <c r="O8" s="95" t="inlineStr">
        <is>
          <t>Competent and resolved</t>
        </is>
      </c>
      <c r="P8" s="94" t="inlineStr">
        <is>
          <t>absent</t>
        </is>
      </c>
      <c r="Q8" s="95" t="inlineStr"/>
      <c r="R8" s="95" t="inlineStr">
        <is>
          <t>triggered false</t>
        </is>
      </c>
      <c r="S8" s="95" t="inlineStr"/>
      <c r="T8" s="95" t="inlineStr"/>
      <c r="U8" s="94" t="inlineStr"/>
      <c r="V8" s="95" t="inlineStr"/>
      <c r="W8" s="94" t="inlineStr"/>
      <c r="X8" s="95" t="inlineStr"/>
    </row>
    <row r="9" ht="30" customHeight="1" s="48">
      <c r="A9" s="92" t="inlineStr">
        <is>
          <t>C-0005</t>
        </is>
      </c>
      <c r="B9" s="92" t="inlineStr">
        <is>
          <t>Tue 07 Jul 2026 11:30</t>
        </is>
      </c>
      <c r="C9" s="92" t="inlineStr">
        <is>
          <t>B1</t>
        </is>
      </c>
      <c r="D9" s="92" t="inlineStr">
        <is>
          <t>MEMBER</t>
        </is>
      </c>
      <c r="E9" s="92" t="inlineStr">
        <is>
          <t>CB-7700035</t>
        </is>
      </c>
      <c r="F9" s="92" t="inlineStr">
        <is>
          <t>Ewan Haverford</t>
        </is>
      </c>
      <c r="G9" s="93" t="inlineStr">
        <is>
          <t>AGT-10|Tony Ferraro</t>
        </is>
      </c>
      <c r="H9" s="92" t="inlineStr">
        <is>
          <t>Coverage &amp; Benefits</t>
        </is>
      </c>
      <c r="I9" s="92" t="inlineStr">
        <is>
          <t>vision</t>
        </is>
      </c>
      <c r="J9" s="93" t="inlineStr">
        <is>
          <t>C-22</t>
        </is>
      </c>
      <c r="K9" s="93" t="inlineStr">
        <is>
          <t>agent_conversation</t>
        </is>
      </c>
      <c r="L9" s="92" t="inlineStr">
        <is>
          <t>UNRESOLVED</t>
        </is>
      </c>
      <c r="M9" s="92" t="n">
        <v>51</v>
      </c>
      <c r="N9" s="92" t="n">
        <v>722</v>
      </c>
      <c r="O9" s="93" t="inlineStr">
        <is>
          <t>Circular</t>
        </is>
      </c>
      <c r="P9" s="92" t="inlineStr">
        <is>
          <t>present|CHOICE</t>
        </is>
      </c>
      <c r="Q9" s="93" t="inlineStr">
        <is>
          <t>knowledge_error|MEDIUM|Knowledge Management</t>
        </is>
      </c>
      <c r="R9" s="93" t="inlineStr">
        <is>
          <t>triggered false</t>
        </is>
      </c>
      <c r="S9" s="93" t="inlineStr"/>
      <c r="T9" s="93" t="inlineStr">
        <is>
          <t>present|C-22|the frame allowance is a budget, not a copay; the member pays the balance above it</t>
        </is>
      </c>
      <c r="U9" s="92" t="inlineStr"/>
      <c r="V9" s="93" t="inlineStr"/>
      <c r="W9" s="92" t="inlineStr"/>
      <c r="X9" s="93" t="inlineStr"/>
    </row>
    <row r="10" ht="30" customHeight="1" s="48">
      <c r="A10" s="94" t="inlineStr">
        <is>
          <t>C-0006</t>
        </is>
      </c>
      <c r="B10" s="94" t="inlineStr">
        <is>
          <t>Tue 07 Jul 2026 14:55</t>
        </is>
      </c>
      <c r="C10" s="94" t="inlineStr">
        <is>
          <t>B1</t>
        </is>
      </c>
      <c r="D10" s="94" t="inlineStr">
        <is>
          <t>EMPLOYER</t>
        </is>
      </c>
      <c r="E10" s="94" t="inlineStr">
        <is>
          <t>CON-139</t>
        </is>
      </c>
      <c r="F10" s="94" t="inlineStr">
        <is>
          <t>Saoirse Venkatesh</t>
        </is>
      </c>
      <c r="G10" s="95" t="inlineStr">
        <is>
          <t>AGT-03|Danielle Park</t>
        </is>
      </c>
      <c r="H10" s="94" t="inlineStr">
        <is>
          <t>Enrollment &amp; ID Cards</t>
        </is>
      </c>
      <c r="I10" s="94" t="inlineStr">
        <is>
          <t>program</t>
        </is>
      </c>
      <c r="J10" s="95" t="inlineStr">
        <is>
          <t>A-11, A-20</t>
        </is>
      </c>
      <c r="K10" s="95" t="inlineStr">
        <is>
          <t>employer_portal</t>
        </is>
      </c>
      <c r="L10" s="94" t="inlineStr">
        <is>
          <t>PARTIALLY RESOLVED</t>
        </is>
      </c>
      <c r="M10" s="94" t="n">
        <v>82</v>
      </c>
      <c r="N10" s="94" t="n">
        <v>510</v>
      </c>
      <c r="O10" s="95" t="inlineStr">
        <is>
          <t>Competent but constrained</t>
        </is>
      </c>
      <c r="P10" s="94" t="inlineStr">
        <is>
          <t>absent</t>
        </is>
      </c>
      <c r="Q10" s="95" t="inlineStr">
        <is>
          <t>member_communication_gap|MEDIUM|Member Communications</t>
        </is>
      </c>
      <c r="R10" s="95" t="inlineStr">
        <is>
          <t>triggered false</t>
        </is>
      </c>
      <c r="S10" s="95" t="inlineStr"/>
      <c r="T10" s="95" t="inlineStr"/>
      <c r="U10" s="94" t="inlineStr"/>
      <c r="V10" s="95" t="inlineStr"/>
      <c r="W10" s="94" t="inlineStr"/>
      <c r="X10" s="95" t="inlineStr"/>
    </row>
    <row r="11" ht="30" customHeight="1" s="48">
      <c r="A11" s="92" t="inlineStr">
        <is>
          <t>C-0007</t>
        </is>
      </c>
      <c r="B11" s="92" t="inlineStr">
        <is>
          <t>Wed 08 Jul 2026 10:10</t>
        </is>
      </c>
      <c r="C11" s="92" t="inlineStr">
        <is>
          <t>B1</t>
        </is>
      </c>
      <c r="D11" s="92" t="inlineStr">
        <is>
          <t>MEMBER</t>
        </is>
      </c>
      <c r="E11" s="92" t="inlineStr">
        <is>
          <t>CB-7700217</t>
        </is>
      </c>
      <c r="F11" s="92" t="inlineStr">
        <is>
          <t>Jonah Nkemdi</t>
        </is>
      </c>
      <c r="G11" s="93" t="inlineStr">
        <is>
          <t>AGT-15|Tiffany Rowe</t>
        </is>
      </c>
      <c r="H11" s="92" t="inlineStr">
        <is>
          <t>Claims &amp; EOB</t>
        </is>
      </c>
      <c r="I11" s="92" t="inlineStr">
        <is>
          <t>dental</t>
        </is>
      </c>
      <c r="J11" s="93" t="inlineStr">
        <is>
          <t>—</t>
        </is>
      </c>
      <c r="K11" s="93" t="inlineStr">
        <is>
          <t>—</t>
        </is>
      </c>
      <c r="L11" s="92" t="inlineStr">
        <is>
          <t>RESOLVED</t>
        </is>
      </c>
      <c r="M11" s="92" t="n">
        <v>56</v>
      </c>
      <c r="N11" s="92" t="n">
        <v>344</v>
      </c>
      <c r="O11" s="93" t="inlineStr">
        <is>
          <t>Competent and resolved</t>
        </is>
      </c>
      <c r="P11" s="92" t="inlineStr">
        <is>
          <t>absent</t>
        </is>
      </c>
      <c r="Q11" s="93" t="inlineStr">
        <is>
          <t>verification_failure|CRITICAL|Compliance</t>
        </is>
      </c>
      <c r="R11" s="93" t="inlineStr">
        <is>
          <t>triggered false</t>
        </is>
      </c>
      <c r="S11" s="93" t="inlineStr">
        <is>
          <t>disclosure_before_verification</t>
        </is>
      </c>
      <c r="T11" s="93" t="inlineStr"/>
      <c r="U11" s="92" t="inlineStr"/>
      <c r="V11" s="93" t="inlineStr"/>
      <c r="W11" s="92" t="inlineStr"/>
      <c r="X11" s="93" t="inlineStr"/>
    </row>
    <row r="12" ht="30" customHeight="1" s="48">
      <c r="A12" s="94" t="inlineStr">
        <is>
          <t>C-0008</t>
        </is>
      </c>
      <c r="B12" s="94" t="inlineStr">
        <is>
          <t>Wed 08 Jul 2026 13:48</t>
        </is>
      </c>
      <c r="C12" s="94" t="inlineStr">
        <is>
          <t>B1</t>
        </is>
      </c>
      <c r="D12" s="94" t="inlineStr">
        <is>
          <t>EMPLOYER</t>
        </is>
      </c>
      <c r="E12" s="94" t="inlineStr">
        <is>
          <t>CON-101</t>
        </is>
      </c>
      <c r="F12" s="94" t="inlineStr">
        <is>
          <t>Quentin Thibault</t>
        </is>
      </c>
      <c r="G12" s="95" t="inlineStr">
        <is>
          <t>AGT-02|Carlos Mendez</t>
        </is>
      </c>
      <c r="H12" s="94" t="inlineStr">
        <is>
          <t>Billing &amp; Premium</t>
        </is>
      </c>
      <c r="I12" s="94" t="inlineStr">
        <is>
          <t>program</t>
        </is>
      </c>
      <c r="J12" s="95" t="inlineStr">
        <is>
          <t>A-06, A-07, A-09</t>
        </is>
      </c>
      <c r="K12" s="95" t="inlineStr">
        <is>
          <t>invoice_statement</t>
        </is>
      </c>
      <c r="L12" s="94" t="inlineStr">
        <is>
          <t>ESCALATED</t>
        </is>
      </c>
      <c r="M12" s="94" t="n">
        <v>89</v>
      </c>
      <c r="N12" s="94" t="n">
        <v>555</v>
      </c>
      <c r="O12" s="95" t="inlineStr">
        <is>
          <t>Escalated or handed off correctly</t>
        </is>
      </c>
      <c r="P12" s="94" t="inlineStr">
        <is>
          <t>present|BROKER</t>
        </is>
      </c>
      <c r="Q12" s="95" t="inlineStr">
        <is>
          <t>broker_conduct_adverse|HIGH|Broker Relations; billing_defect|HIGH|Operations / Finance; process_breakdown|HIGH|Operations</t>
        </is>
      </c>
      <c r="R12" s="95" t="inlineStr">
        <is>
          <t>triggered true|broker_conduct_adverse|requested_by_caller false|handled true</t>
        </is>
      </c>
      <c r="S12" s="95" t="inlineStr"/>
      <c r="T12" s="95" t="inlineStr"/>
      <c r="U12" s="94" t="inlineStr"/>
      <c r="V12" s="95" t="inlineStr"/>
      <c r="W12" s="94" t="inlineStr">
        <is>
          <t>present|BRK-02|ADVERSE</t>
        </is>
      </c>
      <c r="X12" s="95" t="inlineStr"/>
    </row>
    <row r="13" ht="30" customHeight="1" s="48">
      <c r="A13" s="92" t="inlineStr">
        <is>
          <t>C-0009</t>
        </is>
      </c>
      <c r="B13" s="92" t="inlineStr">
        <is>
          <t>Thu 09 Jul 2026 08:50</t>
        </is>
      </c>
      <c r="C13" s="92" t="inlineStr">
        <is>
          <t>B1</t>
        </is>
      </c>
      <c r="D13" s="92" t="inlineStr">
        <is>
          <t>MEMBER</t>
        </is>
      </c>
      <c r="E13" s="92" t="inlineStr">
        <is>
          <t>CB-7700219</t>
        </is>
      </c>
      <c r="F13" s="92" t="inlineStr">
        <is>
          <t>Osric Raman</t>
        </is>
      </c>
      <c r="G13" s="93" t="inlineStr">
        <is>
          <t>AGT-08|Nicole Trang</t>
        </is>
      </c>
      <c r="H13" s="92" t="inlineStr">
        <is>
          <t>Provider Network</t>
        </is>
      </c>
      <c r="I13" s="92" t="inlineStr">
        <is>
          <t>dental</t>
        </is>
      </c>
      <c r="J13" s="93" t="inlineStr">
        <is>
          <t>C-01</t>
        </is>
      </c>
      <c r="K13" s="93" t="inlineStr">
        <is>
          <t>welcome_pack</t>
        </is>
      </c>
      <c r="L13" s="92" t="inlineStr">
        <is>
          <t>RESOLVED</t>
        </is>
      </c>
      <c r="M13" s="92" t="n">
        <v>79</v>
      </c>
      <c r="N13" s="92" t="n">
        <v>270</v>
      </c>
      <c r="O13" s="93" t="inlineStr">
        <is>
          <t>Competent and resolved</t>
        </is>
      </c>
      <c r="P13" s="92" t="inlineStr">
        <is>
          <t>absent</t>
        </is>
      </c>
      <c r="Q13" s="93" t="inlineStr"/>
      <c r="R13" s="93" t="inlineStr">
        <is>
          <t>triggered false</t>
        </is>
      </c>
      <c r="S13" s="93" t="inlineStr"/>
      <c r="T13" s="93" t="inlineStr"/>
      <c r="U13" s="92" t="inlineStr"/>
      <c r="V13" s="93" t="inlineStr"/>
      <c r="W13" s="92" t="inlineStr"/>
      <c r="X13" s="93" t="inlineStr"/>
    </row>
    <row r="14" ht="30" customHeight="1" s="48">
      <c r="A14" s="94" t="inlineStr">
        <is>
          <t>C-0010</t>
        </is>
      </c>
      <c r="B14" s="94" t="inlineStr">
        <is>
          <t>Thu 09 Jul 2026 15:20</t>
        </is>
      </c>
      <c r="C14" s="94" t="inlineStr">
        <is>
          <t>B1</t>
        </is>
      </c>
      <c r="D14" s="94" t="inlineStr">
        <is>
          <t>MEMBER</t>
        </is>
      </c>
      <c r="E14" s="94" t="inlineStr">
        <is>
          <t>CB-7700183</t>
        </is>
      </c>
      <c r="F14" s="94" t="inlineStr">
        <is>
          <t>Grace Ruiz</t>
        </is>
      </c>
      <c r="G14" s="95" t="inlineStr">
        <is>
          <t>AGT-16|Ryan Castellano</t>
        </is>
      </c>
      <c r="H14" s="94" t="inlineStr">
        <is>
          <t>Claims &amp; EOB</t>
        </is>
      </c>
      <c r="I14" s="94" t="inlineStr">
        <is>
          <t>dental</t>
        </is>
      </c>
      <c r="J14" s="95" t="inlineStr">
        <is>
          <t>—</t>
        </is>
      </c>
      <c r="K14" s="95" t="inlineStr">
        <is>
          <t>agent_conversation</t>
        </is>
      </c>
      <c r="L14" s="94" t="inlineStr">
        <is>
          <t>UNRESOLVED</t>
        </is>
      </c>
      <c r="M14" s="94" t="n">
        <v>47</v>
      </c>
      <c r="N14" s="94" t="n">
        <v>365</v>
      </c>
      <c r="O14" s="95" t="inlineStr">
        <is>
          <t>Brush-off</t>
        </is>
      </c>
      <c r="P14" s="94" t="inlineStr">
        <is>
          <t>present|CHOICE</t>
        </is>
      </c>
      <c r="Q14" s="95" t="inlineStr">
        <is>
          <t>escalation_missed|HIGH|Operations</t>
        </is>
      </c>
      <c r="R14" s="95" t="inlineStr">
        <is>
          <t>triggered true|caller_request|requested_by_caller true|handled false</t>
        </is>
      </c>
      <c r="S14" s="95" t="inlineStr"/>
      <c r="T14" s="95" t="inlineStr"/>
      <c r="U14" s="94" t="inlineStr"/>
      <c r="V14" s="95" t="inlineStr"/>
      <c r="W14" s="94" t="inlineStr"/>
      <c r="X14" s="95" t="inlineStr"/>
    </row>
    <row r="15" ht="30" customHeight="1" s="48">
      <c r="A15" s="92" t="inlineStr">
        <is>
          <t>C-0011</t>
        </is>
      </c>
      <c r="B15" s="92" t="inlineStr">
        <is>
          <t>Fri 10 Jul 2026 11:05</t>
        </is>
      </c>
      <c r="C15" s="92" t="inlineStr">
        <is>
          <t>B1</t>
        </is>
      </c>
      <c r="D15" s="92" t="inlineStr">
        <is>
          <t>EMPLOYER</t>
        </is>
      </c>
      <c r="E15" s="92" t="inlineStr">
        <is>
          <t>CON-142</t>
        </is>
      </c>
      <c r="F15" s="92" t="inlineStr">
        <is>
          <t>Imani Hobbs</t>
        </is>
      </c>
      <c r="G15" s="93" t="inlineStr">
        <is>
          <t>AGT-04|Priya Anand</t>
        </is>
      </c>
      <c r="H15" s="92" t="inlineStr">
        <is>
          <t>Enrollment &amp; ID Cards</t>
        </is>
      </c>
      <c r="I15" s="92" t="inlineStr">
        <is>
          <t>program</t>
        </is>
      </c>
      <c r="J15" s="93" t="inlineStr">
        <is>
          <t>A-33, A-34, A-37</t>
        </is>
      </c>
      <c r="K15" s="93" t="inlineStr">
        <is>
          <t>cobra_notice</t>
        </is>
      </c>
      <c r="L15" s="92" t="inlineStr">
        <is>
          <t>RESOLVED</t>
        </is>
      </c>
      <c r="M15" s="92" t="n">
        <v>86</v>
      </c>
      <c r="N15" s="92" t="n">
        <v>442</v>
      </c>
      <c r="O15" s="93" t="inlineStr">
        <is>
          <t>Competent and resolved</t>
        </is>
      </c>
      <c r="P15" s="92" t="inlineStr">
        <is>
          <t>absent</t>
        </is>
      </c>
      <c r="Q15" s="93" t="inlineStr"/>
      <c r="R15" s="93" t="inlineStr">
        <is>
          <t>triggered false</t>
        </is>
      </c>
      <c r="S15" s="93" t="inlineStr"/>
      <c r="T15" s="93" t="inlineStr"/>
      <c r="U15" s="92" t="inlineStr"/>
      <c r="V15" s="93" t="inlineStr"/>
      <c r="W15" s="92" t="inlineStr"/>
      <c r="X15" s="93" t="inlineStr"/>
    </row>
    <row r="16" ht="30" customHeight="1" s="48">
      <c r="A16" s="94" t="inlineStr">
        <is>
          <t>C-0012</t>
        </is>
      </c>
      <c r="B16" s="94" t="inlineStr">
        <is>
          <t>Mon 13 Jul 2026 09:30</t>
        </is>
      </c>
      <c r="C16" s="94" t="inlineStr">
        <is>
          <t>B1</t>
        </is>
      </c>
      <c r="D16" s="94" t="inlineStr">
        <is>
          <t>MEMBER</t>
        </is>
      </c>
      <c r="E16" s="94" t="inlineStr">
        <is>
          <t>CB-7700111</t>
        </is>
      </c>
      <c r="F16" s="94" t="inlineStr">
        <is>
          <t>Ewan Okafor</t>
        </is>
      </c>
      <c r="G16" s="95" t="inlineStr">
        <is>
          <t>AGT-06|Michael Osei</t>
        </is>
      </c>
      <c r="H16" s="94" t="inlineStr">
        <is>
          <t>Coverage &amp; Benefits</t>
        </is>
      </c>
      <c r="I16" s="94" t="inlineStr">
        <is>
          <t>vision</t>
        </is>
      </c>
      <c r="J16" s="95" t="inlineStr">
        <is>
          <t>C-21</t>
        </is>
      </c>
      <c r="K16" s="95" t="inlineStr">
        <is>
          <t>agent_conversation</t>
        </is>
      </c>
      <c r="L16" s="94" t="inlineStr">
        <is>
          <t>RESOLVED</t>
        </is>
      </c>
      <c r="M16" s="94" t="n">
        <v>74</v>
      </c>
      <c r="N16" s="94" t="n">
        <v>310</v>
      </c>
      <c r="O16" s="95" t="inlineStr">
        <is>
          <t>Competent and resolved</t>
        </is>
      </c>
      <c r="P16" s="94" t="inlineStr">
        <is>
          <t>absent</t>
        </is>
      </c>
      <c r="Q16" s="95" t="inlineStr"/>
      <c r="R16" s="95" t="inlineStr">
        <is>
          <t>triggered false</t>
        </is>
      </c>
      <c r="S16" s="95" t="inlineStr"/>
      <c r="T16" s="95" t="inlineStr"/>
      <c r="U16" s="94" t="inlineStr"/>
      <c r="V16" s="95" t="inlineStr"/>
      <c r="W16" s="94" t="inlineStr"/>
      <c r="X16" s="95" t="inlineStr"/>
    </row>
    <row r="17" ht="30" customHeight="1" s="48">
      <c r="A17" s="92" t="inlineStr">
        <is>
          <t>C-0013</t>
        </is>
      </c>
      <c r="B17" s="92" t="inlineStr">
        <is>
          <t>Mon 13 Jul 2026 12:15</t>
        </is>
      </c>
      <c r="C17" s="92" t="inlineStr">
        <is>
          <t>B1</t>
        </is>
      </c>
      <c r="D17" s="92" t="inlineStr">
        <is>
          <t>EMPLOYER</t>
        </is>
      </c>
      <c r="E17" s="92" t="inlineStr">
        <is>
          <t>CON-131</t>
        </is>
      </c>
      <c r="F17" s="92" t="inlineStr">
        <is>
          <t>Caius Villalobos</t>
        </is>
      </c>
      <c r="G17" s="93" t="inlineStr">
        <is>
          <t>AGT-17|Deon Marsh</t>
        </is>
      </c>
      <c r="H17" s="92" t="inlineStr">
        <is>
          <t>Billing &amp; Premium</t>
        </is>
      </c>
      <c r="I17" s="92" t="inlineStr">
        <is>
          <t>program</t>
        </is>
      </c>
      <c r="J17" s="93" t="inlineStr">
        <is>
          <t>A-27, A-28</t>
        </is>
      </c>
      <c r="K17" s="93" t="inlineStr">
        <is>
          <t>invoice_statement</t>
        </is>
      </c>
      <c r="L17" s="92" t="inlineStr">
        <is>
          <t>UNRESOLVED</t>
        </is>
      </c>
      <c r="M17" s="92" t="n">
        <v>49</v>
      </c>
      <c r="N17" s="92" t="n">
        <v>700</v>
      </c>
      <c r="O17" s="93" t="inlineStr">
        <is>
          <t>Circular</t>
        </is>
      </c>
      <c r="P17" s="92" t="inlineStr">
        <is>
          <t>present|CHOICE</t>
        </is>
      </c>
      <c r="Q17" s="93" t="inlineStr">
        <is>
          <t>process_breakdown|HIGH|Operations</t>
        </is>
      </c>
      <c r="R17" s="93" t="inlineStr">
        <is>
          <t>triggered false</t>
        </is>
      </c>
      <c r="S17" s="93" t="inlineStr"/>
      <c r="T17" s="93" t="inlineStr">
        <is>
          <t>present|A-27|statements bill the following month's coverage, not the month just ended</t>
        </is>
      </c>
      <c r="U17" s="92" t="inlineStr"/>
      <c r="V17" s="93" t="inlineStr"/>
      <c r="W17" s="92" t="inlineStr"/>
      <c r="X17" s="93" t="inlineStr"/>
    </row>
    <row r="18" ht="30" customHeight="1" s="48">
      <c r="A18" s="94" t="inlineStr">
        <is>
          <t>C-0014</t>
        </is>
      </c>
      <c r="B18" s="94" t="inlineStr">
        <is>
          <t>Tue 14 Jul 2026 10:00</t>
        </is>
      </c>
      <c r="C18" s="94" t="inlineStr">
        <is>
          <t>B1</t>
        </is>
      </c>
      <c r="D18" s="94" t="inlineStr">
        <is>
          <t>MEMBER</t>
        </is>
      </c>
      <c r="E18" s="94" t="inlineStr">
        <is>
          <t>CB-7700092</t>
        </is>
      </c>
      <c r="F18" s="94" t="inlineStr">
        <is>
          <t>Rasmus Aziz</t>
        </is>
      </c>
      <c r="G18" s="95" t="inlineStr">
        <is>
          <t>AGT-11|Grace Adeyemi</t>
        </is>
      </c>
      <c r="H18" s="94" t="inlineStr">
        <is>
          <t>Life &amp; Beneficiary</t>
        </is>
      </c>
      <c r="I18" s="94" t="inlineStr">
        <is>
          <t>life</t>
        </is>
      </c>
      <c r="J18" s="95" t="inlineStr">
        <is>
          <t>C-37</t>
        </is>
      </c>
      <c r="K18" s="95" t="inlineStr">
        <is>
          <t>agent_conversation</t>
        </is>
      </c>
      <c r="L18" s="94" t="inlineStr">
        <is>
          <t>RESOLVED</t>
        </is>
      </c>
      <c r="M18" s="94" t="n">
        <v>81</v>
      </c>
      <c r="N18" s="94" t="n">
        <v>410</v>
      </c>
      <c r="O18" s="95" t="inlineStr">
        <is>
          <t>Competent and resolved</t>
        </is>
      </c>
      <c r="P18" s="94" t="inlineStr">
        <is>
          <t>absent</t>
        </is>
      </c>
      <c r="Q18" s="95" t="inlineStr"/>
      <c r="R18" s="95" t="inlineStr">
        <is>
          <t>triggered false</t>
        </is>
      </c>
      <c r="S18" s="95" t="inlineStr"/>
      <c r="T18" s="95" t="inlineStr"/>
      <c r="U18" s="94" t="inlineStr"/>
      <c r="V18" s="95" t="inlineStr"/>
      <c r="W18" s="94" t="inlineStr"/>
      <c r="X18" s="95" t="inlineStr"/>
    </row>
    <row r="19" ht="30" customHeight="1" s="48">
      <c r="A19" s="92" t="inlineStr">
        <is>
          <t>C-0015</t>
        </is>
      </c>
      <c r="B19" s="92" t="inlineStr">
        <is>
          <t>Tue 14 Jul 2026 14:35</t>
        </is>
      </c>
      <c r="C19" s="92" t="inlineStr">
        <is>
          <t>B1</t>
        </is>
      </c>
      <c r="D19" s="92" t="inlineStr">
        <is>
          <t>MEMBER</t>
        </is>
      </c>
      <c r="E19" s="92" t="inlineStr">
        <is>
          <t>CB-7700223</t>
        </is>
      </c>
      <c r="F19" s="92" t="inlineStr">
        <is>
          <t>Xiomara Pryor</t>
        </is>
      </c>
      <c r="G19" s="93" t="inlineStr">
        <is>
          <t>AGT-19|Farrah Bhatti</t>
        </is>
      </c>
      <c r="H19" s="92" t="inlineStr">
        <is>
          <t>Coverage &amp; Benefits</t>
        </is>
      </c>
      <c r="I19" s="92" t="inlineStr">
        <is>
          <t>dental</t>
        </is>
      </c>
      <c r="J19" s="93" t="inlineStr">
        <is>
          <t>—</t>
        </is>
      </c>
      <c r="K19" s="93" t="inlineStr">
        <is>
          <t>—</t>
        </is>
      </c>
      <c r="L19" s="92" t="inlineStr">
        <is>
          <t>RESOLVED</t>
        </is>
      </c>
      <c r="M19" s="92" t="n">
        <v>61</v>
      </c>
      <c r="N19" s="92" t="n">
        <v>258</v>
      </c>
      <c r="O19" s="93" t="inlineStr">
        <is>
          <t>Competent and resolved</t>
        </is>
      </c>
      <c r="P19" s="92" t="inlineStr">
        <is>
          <t>absent</t>
        </is>
      </c>
      <c r="Q19" s="93" t="inlineStr">
        <is>
          <t>verification_failure|CRITICAL|Compliance</t>
        </is>
      </c>
      <c r="R19" s="93" t="inlineStr">
        <is>
          <t>triggered false</t>
        </is>
      </c>
      <c r="S19" s="93" t="inlineStr">
        <is>
          <t>disclosure_before_verification</t>
        </is>
      </c>
      <c r="T19" s="93" t="inlineStr"/>
      <c r="U19" s="92" t="inlineStr"/>
      <c r="V19" s="93" t="inlineStr"/>
      <c r="W19" s="92" t="inlineStr"/>
      <c r="X19" s="93" t="inlineStr"/>
    </row>
    <row r="20" ht="30" customHeight="1" s="48">
      <c r="A20" s="94" t="inlineStr">
        <is>
          <t>C-0016</t>
        </is>
      </c>
      <c r="B20" s="94" t="inlineStr">
        <is>
          <t>Wed 15 Jul 2026 09:45</t>
        </is>
      </c>
      <c r="C20" s="94" t="inlineStr">
        <is>
          <t>B1</t>
        </is>
      </c>
      <c r="D20" s="94" t="inlineStr">
        <is>
          <t>EMPLOYER</t>
        </is>
      </c>
      <c r="E20" s="94" t="inlineStr">
        <is>
          <t>CON-144</t>
        </is>
      </c>
      <c r="F20" s="94" t="inlineStr">
        <is>
          <t>Perrine Lemoine</t>
        </is>
      </c>
      <c r="G20" s="95" t="inlineStr">
        <is>
          <t>AGT-07|Linda Braithwaite</t>
        </is>
      </c>
      <c r="H20" s="94" t="inlineStr">
        <is>
          <t>Billing &amp; Premium</t>
        </is>
      </c>
      <c r="I20" s="94" t="inlineStr">
        <is>
          <t>program</t>
        </is>
      </c>
      <c r="J20" s="95" t="inlineStr">
        <is>
          <t>P-15, A-22</t>
        </is>
      </c>
      <c r="K20" s="95" t="inlineStr">
        <is>
          <t>renewal_pack</t>
        </is>
      </c>
      <c r="L20" s="94" t="inlineStr">
        <is>
          <t>PARTIALLY RESOLVED</t>
        </is>
      </c>
      <c r="M20" s="94" t="n">
        <v>76</v>
      </c>
      <c r="N20" s="94" t="n">
        <v>492</v>
      </c>
      <c r="O20" s="95" t="inlineStr">
        <is>
          <t>Competent but constrained</t>
        </is>
      </c>
      <c r="P20" s="94" t="inlineStr">
        <is>
          <t>absent</t>
        </is>
      </c>
      <c r="Q20" s="95" t="inlineStr"/>
      <c r="R20" s="95" t="inlineStr">
        <is>
          <t>triggered false</t>
        </is>
      </c>
      <c r="S20" s="95" t="inlineStr"/>
      <c r="T20" s="95" t="inlineStr"/>
      <c r="U20" s="94" t="inlineStr"/>
      <c r="V20" s="95" t="inlineStr"/>
      <c r="W20" s="94" t="inlineStr"/>
      <c r="X20" s="95" t="inlineStr"/>
    </row>
    <row r="21" ht="30" customHeight="1" s="48">
      <c r="A21" s="92" t="inlineStr">
        <is>
          <t>C-0017</t>
        </is>
      </c>
      <c r="B21" s="92" t="inlineStr">
        <is>
          <t>Wed 15 Jul 2026 16:10</t>
        </is>
      </c>
      <c r="C21" s="92" t="inlineStr">
        <is>
          <t>B1</t>
        </is>
      </c>
      <c r="D21" s="92" t="inlineStr">
        <is>
          <t>MEMBER</t>
        </is>
      </c>
      <c r="E21" s="92" t="inlineStr">
        <is>
          <t>CB-7700227</t>
        </is>
      </c>
      <c r="F21" s="92" t="inlineStr">
        <is>
          <t>Steven Winters</t>
        </is>
      </c>
      <c r="G21" s="93" t="inlineStr">
        <is>
          <t>AGT-20|Otto Lindgren</t>
        </is>
      </c>
      <c r="H21" s="92" t="inlineStr">
        <is>
          <t>Coverage &amp; Benefits</t>
        </is>
      </c>
      <c r="I21" s="92" t="inlineStr">
        <is>
          <t>dental</t>
        </is>
      </c>
      <c r="J21" s="93" t="inlineStr">
        <is>
          <t>—</t>
        </is>
      </c>
      <c r="K21" s="93" t="inlineStr">
        <is>
          <t>agent_conversation</t>
        </is>
      </c>
      <c r="L21" s="92" t="inlineStr">
        <is>
          <t>UNRESOLVED</t>
        </is>
      </c>
      <c r="M21" s="92" t="n">
        <v>42</v>
      </c>
      <c r="N21" s="92" t="n">
        <v>220</v>
      </c>
      <c r="O21" s="93" t="inlineStr">
        <is>
          <t>Brush-off</t>
        </is>
      </c>
      <c r="P21" s="92" t="inlineStr">
        <is>
          <t>present|CHOICE</t>
        </is>
      </c>
      <c r="Q21" s="93" t="inlineStr">
        <is>
          <t>escalation_missed|HIGH|Operations</t>
        </is>
      </c>
      <c r="R21" s="93" t="inlineStr">
        <is>
          <t>triggered true|scheduled_care_at_risk|requested_by_caller true|handled false</t>
        </is>
      </c>
      <c r="S21" s="93" t="inlineStr"/>
      <c r="T21" s="93" t="inlineStr"/>
      <c r="U21" s="92" t="inlineStr"/>
      <c r="V21" s="93" t="inlineStr"/>
      <c r="W21" s="92" t="inlineStr"/>
      <c r="X21" s="93" t="inlineStr"/>
    </row>
    <row r="22" ht="30" customHeight="1" s="48">
      <c r="A22" s="94" t="inlineStr">
        <is>
          <t>C-0018</t>
        </is>
      </c>
      <c r="B22" s="94" t="inlineStr">
        <is>
          <t>Thu 16 Jul 2026 10:25</t>
        </is>
      </c>
      <c r="C22" s="94" t="inlineStr">
        <is>
          <t>B1</t>
        </is>
      </c>
      <c r="D22" s="94" t="inlineStr">
        <is>
          <t>EMPLOYER</t>
        </is>
      </c>
      <c r="E22" s="94" t="inlineStr">
        <is>
          <t>CON-146</t>
        </is>
      </c>
      <c r="F22" s="94" t="inlineStr">
        <is>
          <t>Kirsten Kowalczyk</t>
        </is>
      </c>
      <c r="G22" s="95" t="inlineStr">
        <is>
          <t>AGT-09|James Okonjo</t>
        </is>
      </c>
      <c r="H22" s="94" t="inlineStr">
        <is>
          <t>Enrollment &amp; ID Cards</t>
        </is>
      </c>
      <c r="I22" s="94" t="inlineStr">
        <is>
          <t>program</t>
        </is>
      </c>
      <c r="J22" s="95" t="inlineStr">
        <is>
          <t>A-01, A-02</t>
        </is>
      </c>
      <c r="K22" s="95" t="inlineStr">
        <is>
          <t>employer_portal</t>
        </is>
      </c>
      <c r="L22" s="94" t="inlineStr">
        <is>
          <t>RESOLVED</t>
        </is>
      </c>
      <c r="M22" s="94" t="n">
        <v>84</v>
      </c>
      <c r="N22" s="94" t="n">
        <v>422</v>
      </c>
      <c r="O22" s="95" t="inlineStr">
        <is>
          <t>Competent and resolved</t>
        </is>
      </c>
      <c r="P22" s="94" t="inlineStr">
        <is>
          <t>absent</t>
        </is>
      </c>
      <c r="Q22" s="95" t="inlineStr"/>
      <c r="R22" s="95" t="inlineStr">
        <is>
          <t>triggered false</t>
        </is>
      </c>
      <c r="S22" s="95" t="inlineStr"/>
      <c r="T22" s="95" t="inlineStr"/>
      <c r="U22" s="94" t="inlineStr"/>
      <c r="V22" s="95" t="inlineStr"/>
      <c r="W22" s="94" t="inlineStr"/>
      <c r="X22" s="95" t="inlineStr"/>
    </row>
    <row r="23" ht="30" customHeight="1" s="48">
      <c r="A23" s="92" t="inlineStr">
        <is>
          <t>C-0019</t>
        </is>
      </c>
      <c r="B23" s="92" t="inlineStr">
        <is>
          <t>Thu 16 Jul 2026 13:55</t>
        </is>
      </c>
      <c r="C23" s="92" t="inlineStr">
        <is>
          <t>B1</t>
        </is>
      </c>
      <c r="D23" s="92" t="inlineStr">
        <is>
          <t>MEMBER</t>
        </is>
      </c>
      <c r="E23" s="92" t="inlineStr">
        <is>
          <t>CB-7700118</t>
        </is>
      </c>
      <c r="F23" s="92" t="inlineStr">
        <is>
          <t>Vidal Okonkwo</t>
        </is>
      </c>
      <c r="G23" s="93" t="inlineStr">
        <is>
          <t>AGT-12|Hugo Marchetti</t>
        </is>
      </c>
      <c r="H23" s="92" t="inlineStr">
        <is>
          <t>Provider Network</t>
        </is>
      </c>
      <c r="I23" s="92" t="inlineStr">
        <is>
          <t>chiro</t>
        </is>
      </c>
      <c r="J23" s="93" t="inlineStr">
        <is>
          <t>C-30, C-31</t>
        </is>
      </c>
      <c r="K23" s="93" t="inlineStr">
        <is>
          <t>agent_conversation</t>
        </is>
      </c>
      <c r="L23" s="92" t="inlineStr">
        <is>
          <t>RESOLVED</t>
        </is>
      </c>
      <c r="M23" s="92" t="n">
        <v>83</v>
      </c>
      <c r="N23" s="92" t="n">
        <v>355</v>
      </c>
      <c r="O23" s="93" t="inlineStr">
        <is>
          <t>Competent and resolved</t>
        </is>
      </c>
      <c r="P23" s="92" t="inlineStr">
        <is>
          <t>absent</t>
        </is>
      </c>
      <c r="Q23" s="93" t="inlineStr"/>
      <c r="R23" s="93" t="inlineStr">
        <is>
          <t>triggered false</t>
        </is>
      </c>
      <c r="S23" s="93" t="inlineStr"/>
      <c r="T23" s="93" t="inlineStr"/>
      <c r="U23" s="92" t="inlineStr"/>
      <c r="V23" s="93" t="inlineStr"/>
      <c r="W23" s="92" t="inlineStr"/>
      <c r="X23" s="93" t="inlineStr"/>
    </row>
    <row r="24" ht="30" customHeight="1" s="48">
      <c r="A24" s="94" t="inlineStr">
        <is>
          <t>C-0020</t>
        </is>
      </c>
      <c r="B24" s="94" t="inlineStr">
        <is>
          <t>Fri 17 Jul 2026 09:20</t>
        </is>
      </c>
      <c r="C24" s="94" t="inlineStr">
        <is>
          <t>B1</t>
        </is>
      </c>
      <c r="D24" s="94" t="inlineStr">
        <is>
          <t>MEMBER</t>
        </is>
      </c>
      <c r="E24" s="94" t="inlineStr">
        <is>
          <t>CB-7700231</t>
        </is>
      </c>
      <c r="F24" s="94" t="inlineStr">
        <is>
          <t>Nadira Chigozie</t>
        </is>
      </c>
      <c r="G24" s="95" t="inlineStr">
        <is>
          <t>AGT-13|Kayla Brennan</t>
        </is>
      </c>
      <c r="H24" s="94" t="inlineStr">
        <is>
          <t>Coverage &amp; Benefits</t>
        </is>
      </c>
      <c r="I24" s="94" t="inlineStr">
        <is>
          <t>dental</t>
        </is>
      </c>
      <c r="J24" s="95" t="inlineStr">
        <is>
          <t>—</t>
        </is>
      </c>
      <c r="K24" s="95" t="inlineStr">
        <is>
          <t>—</t>
        </is>
      </c>
      <c r="L24" s="94" t="inlineStr">
        <is>
          <t>UNRESOLVED</t>
        </is>
      </c>
      <c r="M24" s="94" t="n">
        <v>53</v>
      </c>
      <c r="N24" s="94" t="n">
        <v>285</v>
      </c>
      <c r="O24" s="95" t="inlineStr">
        <is>
          <t>Brush-off</t>
        </is>
      </c>
      <c r="P24" s="94" t="inlineStr">
        <is>
          <t>present|PROVIDER</t>
        </is>
      </c>
      <c r="Q24" s="95" t="inlineStr"/>
      <c r="R24" s="95" t="inlineStr">
        <is>
          <t>triggered false</t>
        </is>
      </c>
      <c r="S24" s="95" t="inlineStr"/>
      <c r="T24" s="95" t="inlineStr"/>
      <c r="U24" s="94" t="inlineStr"/>
      <c r="V24" s="95" t="inlineStr"/>
      <c r="W24" s="94" t="inlineStr"/>
      <c r="X24" s="95" t="inlineStr"/>
    </row>
    <row r="25" ht="30" customHeight="1" s="48">
      <c r="A25" s="92" t="inlineStr">
        <is>
          <t>C-0021</t>
        </is>
      </c>
      <c r="B25" s="92" t="inlineStr">
        <is>
          <t>Fri 17 Jul 2026 15:40</t>
        </is>
      </c>
      <c r="C25" s="92" t="inlineStr">
        <is>
          <t>B1</t>
        </is>
      </c>
      <c r="D25" s="92" t="inlineStr">
        <is>
          <t>EMPLOYER</t>
        </is>
      </c>
      <c r="E25" s="92" t="inlineStr">
        <is>
          <t>CON-109</t>
        </is>
      </c>
      <c r="F25" s="92" t="inlineStr">
        <is>
          <t>Dmitri Jaramillo</t>
        </is>
      </c>
      <c r="G25" s="93" t="inlineStr">
        <is>
          <t>AGT-01|Sarah Whitlock</t>
        </is>
      </c>
      <c r="H25" s="92" t="inlineStr">
        <is>
          <t>Broker Conduct</t>
        </is>
      </c>
      <c r="I25" s="92" t="inlineStr">
        <is>
          <t>program</t>
        </is>
      </c>
      <c r="J25" s="93" t="inlineStr">
        <is>
          <t>P-21, P-22</t>
        </is>
      </c>
      <c r="K25" s="93" t="inlineStr">
        <is>
          <t>enrolment_meeting</t>
        </is>
      </c>
      <c r="L25" s="92" t="inlineStr">
        <is>
          <t>ESCALATED</t>
        </is>
      </c>
      <c r="M25" s="92" t="n">
        <v>90</v>
      </c>
      <c r="N25" s="92" t="n">
        <v>630</v>
      </c>
      <c r="O25" s="93" t="inlineStr">
        <is>
          <t>Escalated or handed off correctly</t>
        </is>
      </c>
      <c r="P25" s="92" t="inlineStr">
        <is>
          <t>present|BROKER</t>
        </is>
      </c>
      <c r="Q25" s="93" t="inlineStr">
        <is>
          <t>broker_conduct_adverse|HIGH|Broker Relations; member_communication_gap|MEDIUM|Member Communications</t>
        </is>
      </c>
      <c r="R25" s="93" t="inlineStr">
        <is>
          <t>triggered true|broker_conduct_adverse|requested_by_caller false|handled true</t>
        </is>
      </c>
      <c r="S25" s="93" t="inlineStr"/>
      <c r="T25" s="93" t="inlineStr">
        <is>
          <t>present|P-21|life is employer-sponsored only, 100% participation, 100% employer-paid — there is no employee election</t>
        </is>
      </c>
      <c r="U25" s="92" t="inlineStr"/>
      <c r="V25" s="93" t="inlineStr"/>
      <c r="W25" s="92" t="inlineStr">
        <is>
          <t>present|BRK-01|ADVERSE</t>
        </is>
      </c>
      <c r="X25" s="93" t="inlineStr"/>
    </row>
    <row r="26" ht="30" customHeight="1" s="48">
      <c r="A26" s="94" t="inlineStr">
        <is>
          <t>C-0022</t>
        </is>
      </c>
      <c r="B26" s="94" t="inlineStr">
        <is>
          <t>Mon 20 Jul 2026 08:55</t>
        </is>
      </c>
      <c r="C26" s="94" t="inlineStr">
        <is>
          <t>B1</t>
        </is>
      </c>
      <c r="D26" s="94" t="inlineStr">
        <is>
          <t>MEMBER</t>
        </is>
      </c>
      <c r="E26" s="94" t="inlineStr">
        <is>
          <t>CB-7700232</t>
        </is>
      </c>
      <c r="F26" s="94" t="inlineStr">
        <is>
          <t>Osric Ishikawa</t>
        </is>
      </c>
      <c r="G26" s="95" t="inlineStr">
        <is>
          <t>AGT-06|Michael Osei</t>
        </is>
      </c>
      <c r="H26" s="94" t="inlineStr">
        <is>
          <t>Claims &amp; EOB</t>
        </is>
      </c>
      <c r="I26" s="94" t="inlineStr">
        <is>
          <t>dental</t>
        </is>
      </c>
      <c r="J26" s="95" t="inlineStr">
        <is>
          <t>C-16</t>
        </is>
      </c>
      <c r="K26" s="95" t="inlineStr">
        <is>
          <t>denial_letter_eob</t>
        </is>
      </c>
      <c r="L26" s="94" t="inlineStr">
        <is>
          <t>RESOLVED</t>
        </is>
      </c>
      <c r="M26" s="94" t="n">
        <v>77</v>
      </c>
      <c r="N26" s="94" t="n">
        <v>330</v>
      </c>
      <c r="O26" s="95" t="inlineStr">
        <is>
          <t>Competent and resolved</t>
        </is>
      </c>
      <c r="P26" s="94" t="inlineStr">
        <is>
          <t>absent</t>
        </is>
      </c>
      <c r="Q26" s="95" t="inlineStr">
        <is>
          <t>member_communication_gap|MEDIUM|Member Communications</t>
        </is>
      </c>
      <c r="R26" s="95" t="inlineStr">
        <is>
          <t>triggered false</t>
        </is>
      </c>
      <c r="S26" s="95" t="inlineStr"/>
      <c r="T26" s="95" t="inlineStr"/>
      <c r="U26" s="94" t="inlineStr"/>
      <c r="V26" s="95" t="inlineStr">
        <is>
          <t>present|EOB should state that network pricing continues after the maximum is exhausted|denial_letter_eob|AGENT|UNVALIDATED</t>
        </is>
      </c>
      <c r="W26" s="94" t="inlineStr"/>
      <c r="X26" s="95" t="inlineStr"/>
    </row>
    <row r="27" ht="30" customHeight="1" s="48">
      <c r="A27" s="92" t="inlineStr">
        <is>
          <t>C-0023</t>
        </is>
      </c>
      <c r="B27" s="92" t="inlineStr">
        <is>
          <t>Mon 20 Jul 2026 11:50</t>
        </is>
      </c>
      <c r="C27" s="92" t="inlineStr">
        <is>
          <t>B1</t>
        </is>
      </c>
      <c r="D27" s="92" t="inlineStr">
        <is>
          <t>MEMBER</t>
        </is>
      </c>
      <c r="E27" s="92" t="inlineStr">
        <is>
          <t>CB-7700233</t>
        </is>
      </c>
      <c r="F27" s="92" t="inlineStr">
        <is>
          <t>Kamal Nasser</t>
        </is>
      </c>
      <c r="G27" s="93" t="inlineStr">
        <is>
          <t>AGT-18|Elena Sokoloff</t>
        </is>
      </c>
      <c r="H27" s="92" t="inlineStr">
        <is>
          <t>Coverage &amp; Benefits</t>
        </is>
      </c>
      <c r="I27" s="92" t="inlineStr">
        <is>
          <t>dental</t>
        </is>
      </c>
      <c r="J27" s="93" t="inlineStr">
        <is>
          <t>A-15</t>
        </is>
      </c>
      <c r="K27" s="93" t="inlineStr">
        <is>
          <t>agent_conversation</t>
        </is>
      </c>
      <c r="L27" s="92" t="inlineStr">
        <is>
          <t>PARTIALLY RESOLVED</t>
        </is>
      </c>
      <c r="M27" s="92" t="n">
        <v>64</v>
      </c>
      <c r="N27" s="92" t="n">
        <v>375</v>
      </c>
      <c r="O27" s="93" t="inlineStr">
        <is>
          <t>Competent but constrained</t>
        </is>
      </c>
      <c r="P27" s="92" t="inlineStr">
        <is>
          <t>present|CHOICE</t>
        </is>
      </c>
      <c r="Q27" s="93" t="inlineStr">
        <is>
          <t>member_communication_gap|MEDIUM|Member Communications</t>
        </is>
      </c>
      <c r="R27" s="93" t="inlineStr">
        <is>
          <t>triggered false</t>
        </is>
      </c>
      <c r="S27" s="93" t="inlineStr"/>
      <c r="T27" s="93" t="inlineStr"/>
      <c r="U27" s="92" t="inlineStr"/>
      <c r="V27" s="93" t="inlineStr"/>
      <c r="W27" s="92" t="inlineStr"/>
      <c r="X27" s="93" t="inlineStr"/>
    </row>
    <row r="28" ht="30" customHeight="1" s="48">
      <c r="A28" s="94" t="inlineStr">
        <is>
          <t>C-0024</t>
        </is>
      </c>
      <c r="B28" s="94" t="inlineStr">
        <is>
          <t>Tue 21 Jul 2026 10:35</t>
        </is>
      </c>
      <c r="C28" s="94" t="inlineStr">
        <is>
          <t>B1</t>
        </is>
      </c>
      <c r="D28" s="94" t="inlineStr">
        <is>
          <t>MEMBER</t>
        </is>
      </c>
      <c r="E28" s="94" t="inlineStr">
        <is>
          <t>CB-7700234</t>
        </is>
      </c>
      <c r="F28" s="94" t="inlineStr">
        <is>
          <t>Xiomara Boyd</t>
        </is>
      </c>
      <c r="G28" s="95" t="inlineStr">
        <is>
          <t>AGT-08|Nicole Trang</t>
        </is>
      </c>
      <c r="H28" s="94" t="inlineStr">
        <is>
          <t>Coverage &amp; Benefits</t>
        </is>
      </c>
      <c r="I28" s="94" t="inlineStr">
        <is>
          <t>dental</t>
        </is>
      </c>
      <c r="J28" s="95" t="inlineStr">
        <is>
          <t>—</t>
        </is>
      </c>
      <c r="K28" s="95" t="inlineStr">
        <is>
          <t>—</t>
        </is>
      </c>
      <c r="L28" s="94" t="inlineStr">
        <is>
          <t>RESOLVED</t>
        </is>
      </c>
      <c r="M28" s="94" t="n">
        <v>72</v>
      </c>
      <c r="N28" s="94" t="n">
        <v>295</v>
      </c>
      <c r="O28" s="95" t="inlineStr">
        <is>
          <t>Competent and resolved</t>
        </is>
      </c>
      <c r="P28" s="94" t="inlineStr">
        <is>
          <t>absent</t>
        </is>
      </c>
      <c r="Q28" s="95" t="inlineStr"/>
      <c r="R28" s="95" t="inlineStr">
        <is>
          <t>triggered false</t>
        </is>
      </c>
      <c r="S28" s="95" t="inlineStr"/>
      <c r="T28" s="95" t="inlineStr"/>
      <c r="U28" s="94" t="inlineStr"/>
      <c r="V28" s="95" t="inlineStr"/>
      <c r="W28" s="94" t="inlineStr"/>
      <c r="X28" s="95" t="inlineStr"/>
    </row>
    <row r="29" ht="30" customHeight="1" s="48">
      <c r="A29" s="92" t="inlineStr">
        <is>
          <t>C-0025</t>
        </is>
      </c>
      <c r="B29" s="92" t="inlineStr">
        <is>
          <t>Tue 21 Jul 2026 14:20</t>
        </is>
      </c>
      <c r="C29" s="92" t="inlineStr">
        <is>
          <t>B1</t>
        </is>
      </c>
      <c r="D29" s="92" t="inlineStr">
        <is>
          <t>EMPLOYER</t>
        </is>
      </c>
      <c r="E29" s="92" t="inlineStr">
        <is>
          <t>CON-151</t>
        </is>
      </c>
      <c r="F29" s="92" t="inlineStr">
        <is>
          <t>Uma Villalobos</t>
        </is>
      </c>
      <c r="G29" s="93" t="inlineStr">
        <is>
          <t>AGT-05|Adaeze Nwosu</t>
        </is>
      </c>
      <c r="H29" s="92" t="inlineStr">
        <is>
          <t>Billing &amp; Premium</t>
        </is>
      </c>
      <c r="I29" s="92" t="inlineStr">
        <is>
          <t>program</t>
        </is>
      </c>
      <c r="J29" s="93" t="inlineStr">
        <is>
          <t>A-05, A-06, A-09</t>
        </is>
      </c>
      <c r="K29" s="93" t="inlineStr">
        <is>
          <t>invoice_statement</t>
        </is>
      </c>
      <c r="L29" s="92" t="inlineStr">
        <is>
          <t>RESOLVED</t>
        </is>
      </c>
      <c r="M29" s="92" t="n">
        <v>87</v>
      </c>
      <c r="N29" s="92" t="n">
        <v>545</v>
      </c>
      <c r="O29" s="93" t="inlineStr">
        <is>
          <t>Competent and resolved</t>
        </is>
      </c>
      <c r="P29" s="92" t="inlineStr">
        <is>
          <t>present|CHOICE</t>
        </is>
      </c>
      <c r="Q29" s="93" t="inlineStr">
        <is>
          <t>billing_defect|HIGH|Operations / Finance</t>
        </is>
      </c>
      <c r="R29" s="93" t="inlineStr">
        <is>
          <t>triggered false</t>
        </is>
      </c>
      <c r="S29" s="93" t="inlineStr"/>
      <c r="T29" s="93" t="inlineStr">
        <is>
          <t>present|A-05|voluntary withdrawals are never processed retroactively</t>
        </is>
      </c>
      <c r="U29" s="92" t="inlineStr"/>
      <c r="V29" s="93" t="inlineStr"/>
      <c r="W29" s="92" t="inlineStr"/>
      <c r="X29" s="93" t="inlineStr"/>
    </row>
    <row r="30" ht="30" customHeight="1" s="48">
      <c r="A30" s="94" t="inlineStr">
        <is>
          <t>C-0026</t>
        </is>
      </c>
      <c r="B30" s="94" t="inlineStr">
        <is>
          <t>Wed 22 Jul 2026 09:15</t>
        </is>
      </c>
      <c r="C30" s="94" t="inlineStr">
        <is>
          <t>B1</t>
        </is>
      </c>
      <c r="D30" s="94" t="inlineStr">
        <is>
          <t>MEMBER</t>
        </is>
      </c>
      <c r="E30" s="94" t="inlineStr">
        <is>
          <t>CB-7700131</t>
        </is>
      </c>
      <c r="F30" s="94" t="inlineStr">
        <is>
          <t>Xiomara Stavros</t>
        </is>
      </c>
      <c r="G30" s="95" t="inlineStr">
        <is>
          <t>AGT-03|Danielle Park</t>
        </is>
      </c>
      <c r="H30" s="94" t="inlineStr">
        <is>
          <t>Provider Network</t>
        </is>
      </c>
      <c r="I30" s="94" t="inlineStr">
        <is>
          <t>vision</t>
        </is>
      </c>
      <c r="J30" s="95" t="inlineStr">
        <is>
          <t>C-25</t>
        </is>
      </c>
      <c r="K30" s="95" t="inlineStr">
        <is>
          <t>agent_conversation</t>
        </is>
      </c>
      <c r="L30" s="94" t="inlineStr">
        <is>
          <t>RESOLVED</t>
        </is>
      </c>
      <c r="M30" s="94" t="n">
        <v>85</v>
      </c>
      <c r="N30" s="94" t="n">
        <v>400</v>
      </c>
      <c r="O30" s="95" t="inlineStr">
        <is>
          <t>Competent and resolved</t>
        </is>
      </c>
      <c r="P30" s="94" t="inlineStr">
        <is>
          <t>absent</t>
        </is>
      </c>
      <c r="Q30" s="95" t="inlineStr"/>
      <c r="R30" s="95" t="inlineStr">
        <is>
          <t>triggered false</t>
        </is>
      </c>
      <c r="S30" s="95" t="inlineStr"/>
      <c r="T30" s="95" t="inlineStr"/>
      <c r="U30" s="94" t="inlineStr"/>
      <c r="V30" s="95" t="inlineStr"/>
      <c r="W30" s="94" t="inlineStr"/>
      <c r="X30" s="95" t="inlineStr"/>
    </row>
    <row r="31" ht="30" customHeight="1" s="48">
      <c r="A31" s="92" t="inlineStr">
        <is>
          <t>C-0027</t>
        </is>
      </c>
      <c r="B31" s="92" t="inlineStr">
        <is>
          <t>Wed 22 Jul 2026 13:05</t>
        </is>
      </c>
      <c r="C31" s="92" t="inlineStr">
        <is>
          <t>B1</t>
        </is>
      </c>
      <c r="D31" s="92" t="inlineStr">
        <is>
          <t>MEMBER</t>
        </is>
      </c>
      <c r="E31" s="92" t="inlineStr">
        <is>
          <t>CB-7700236</t>
        </is>
      </c>
      <c r="F31" s="92" t="inlineStr">
        <is>
          <t>Denise Raman</t>
        </is>
      </c>
      <c r="G31" s="93" t="inlineStr">
        <is>
          <t>AGT-14|Brad Nolan</t>
        </is>
      </c>
      <c r="H31" s="92" t="inlineStr">
        <is>
          <t>Claims &amp; EOB</t>
        </is>
      </c>
      <c r="I31" s="92" t="inlineStr">
        <is>
          <t>dental</t>
        </is>
      </c>
      <c r="J31" s="93" t="inlineStr">
        <is>
          <t>—</t>
        </is>
      </c>
      <c r="K31" s="93" t="inlineStr">
        <is>
          <t>agent_conversation</t>
        </is>
      </c>
      <c r="L31" s="92" t="inlineStr">
        <is>
          <t>UNRESOLVED</t>
        </is>
      </c>
      <c r="M31" s="92" t="n">
        <v>40</v>
      </c>
      <c r="N31" s="92" t="n">
        <v>205</v>
      </c>
      <c r="O31" s="93" t="inlineStr">
        <is>
          <t>Brush-off</t>
        </is>
      </c>
      <c r="P31" s="92" t="inlineStr">
        <is>
          <t>present|CHOICE</t>
        </is>
      </c>
      <c r="Q31" s="93" t="inlineStr">
        <is>
          <t>compliance_disclosure_missing|HIGH|Compliance</t>
        </is>
      </c>
      <c r="R31" s="93" t="inlineStr">
        <is>
          <t>triggered false</t>
        </is>
      </c>
      <c r="S31" s="93" t="inlineStr">
        <is>
          <t>no_recording_disclosure</t>
        </is>
      </c>
      <c r="T31" s="93" t="inlineStr"/>
      <c r="U31" s="92" t="inlineStr"/>
      <c r="V31" s="93" t="inlineStr"/>
      <c r="W31" s="92" t="inlineStr"/>
      <c r="X31" s="93" t="inlineStr"/>
    </row>
    <row r="32" ht="30" customHeight="1" s="48">
      <c r="A32" s="94" t="inlineStr">
        <is>
          <t>C-0028</t>
        </is>
      </c>
      <c r="B32" s="94" t="inlineStr">
        <is>
          <t>Thu 23 Jul 2026 10:45</t>
        </is>
      </c>
      <c r="C32" s="94" t="inlineStr">
        <is>
          <t>B1</t>
        </is>
      </c>
      <c r="D32" s="94" t="inlineStr">
        <is>
          <t>EMPLOYER</t>
        </is>
      </c>
      <c r="E32" s="94" t="inlineStr">
        <is>
          <t>CON-153</t>
        </is>
      </c>
      <c r="F32" s="94" t="inlineStr">
        <is>
          <t>Quentin Reyes</t>
        </is>
      </c>
      <c r="G32" s="95" t="inlineStr">
        <is>
          <t>AGT-02|Carlos Mendez</t>
        </is>
      </c>
      <c r="H32" s="94" t="inlineStr">
        <is>
          <t>Enrollment &amp; ID Cards</t>
        </is>
      </c>
      <c r="I32" s="94" t="inlineStr">
        <is>
          <t>program</t>
        </is>
      </c>
      <c r="J32" s="95" t="inlineStr">
        <is>
          <t>P-30, P-31</t>
        </is>
      </c>
      <c r="K32" s="95" t="inlineStr">
        <is>
          <t>enrolment_form</t>
        </is>
      </c>
      <c r="L32" s="94" t="inlineStr">
        <is>
          <t>RESOLVED</t>
        </is>
      </c>
      <c r="M32" s="94" t="n">
        <v>88</v>
      </c>
      <c r="N32" s="94" t="n">
        <v>535</v>
      </c>
      <c r="O32" s="95" t="inlineStr">
        <is>
          <t>Competent and resolved</t>
        </is>
      </c>
      <c r="P32" s="94" t="inlineStr">
        <is>
          <t>absent</t>
        </is>
      </c>
      <c r="Q32" s="95" t="inlineStr"/>
      <c r="R32" s="95" t="inlineStr">
        <is>
          <t>triggered false</t>
        </is>
      </c>
      <c r="S32" s="95" t="inlineStr"/>
      <c r="T32" s="95" t="inlineStr"/>
      <c r="U32" s="94" t="inlineStr"/>
      <c r="V32" s="95" t="inlineStr"/>
      <c r="W32" s="94" t="inlineStr"/>
      <c r="X32" s="95" t="inlineStr"/>
    </row>
    <row r="33" ht="30" customHeight="1" s="48">
      <c r="A33" s="92" t="inlineStr">
        <is>
          <t>C-0029</t>
        </is>
      </c>
      <c r="B33" s="92" t="inlineStr">
        <is>
          <t>Thu 23 Jul 2026 15:30</t>
        </is>
      </c>
      <c r="C33" s="92" t="inlineStr">
        <is>
          <t>B1</t>
        </is>
      </c>
      <c r="D33" s="92" t="inlineStr">
        <is>
          <t>MEMBER</t>
        </is>
      </c>
      <c r="E33" s="92" t="inlineStr">
        <is>
          <t>CB-7700238</t>
        </is>
      </c>
      <c r="F33" s="92" t="inlineStr">
        <is>
          <t>Hollis Okafor</t>
        </is>
      </c>
      <c r="G33" s="93" t="inlineStr">
        <is>
          <t>AGT-11|Grace Adeyemi</t>
        </is>
      </c>
      <c r="H33" s="92" t="inlineStr">
        <is>
          <t>Coverage &amp; Benefits</t>
        </is>
      </c>
      <c r="I33" s="92" t="inlineStr">
        <is>
          <t>dental</t>
        </is>
      </c>
      <c r="J33" s="93" t="inlineStr">
        <is>
          <t>—</t>
        </is>
      </c>
      <c r="K33" s="93" t="inlineStr">
        <is>
          <t>—</t>
        </is>
      </c>
      <c r="L33" s="92" t="inlineStr">
        <is>
          <t>RESOLVED</t>
        </is>
      </c>
      <c r="M33" s="92" t="n">
        <v>80</v>
      </c>
      <c r="N33" s="92" t="n">
        <v>320</v>
      </c>
      <c r="O33" s="93" t="inlineStr">
        <is>
          <t>Competent and resolved</t>
        </is>
      </c>
      <c r="P33" s="92" t="inlineStr">
        <is>
          <t>absent</t>
        </is>
      </c>
      <c r="Q33" s="93" t="inlineStr"/>
      <c r="R33" s="93" t="inlineStr">
        <is>
          <t>triggered false</t>
        </is>
      </c>
      <c r="S33" s="93" t="inlineStr"/>
      <c r="T33" s="93" t="inlineStr"/>
      <c r="U33" s="92" t="inlineStr"/>
      <c r="V33" s="93" t="inlineStr"/>
      <c r="W33" s="92" t="inlineStr"/>
      <c r="X33" s="93" t="inlineStr"/>
    </row>
    <row r="34" ht="30" customHeight="1" s="48">
      <c r="A34" s="94" t="inlineStr">
        <is>
          <t>C-0030</t>
        </is>
      </c>
      <c r="B34" s="94" t="inlineStr">
        <is>
          <t>Fri 24 Jul 2026 09:40</t>
        </is>
      </c>
      <c r="C34" s="94" t="inlineStr">
        <is>
          <t>B1</t>
        </is>
      </c>
      <c r="D34" s="94" t="inlineStr">
        <is>
          <t>EMPLOYER</t>
        </is>
      </c>
      <c r="E34" s="94" t="inlineStr">
        <is>
          <t>CON-133</t>
        </is>
      </c>
      <c r="F34" s="94" t="inlineStr">
        <is>
          <t>Omar Fontaine</t>
        </is>
      </c>
      <c r="G34" s="95" t="inlineStr">
        <is>
          <t>AGT-17|Deon Marsh</t>
        </is>
      </c>
      <c r="H34" s="94" t="inlineStr">
        <is>
          <t>Enrollment &amp; ID Cards</t>
        </is>
      </c>
      <c r="I34" s="94" t="inlineStr">
        <is>
          <t>program</t>
        </is>
      </c>
      <c r="J34" s="95" t="inlineStr">
        <is>
          <t>A-12, A-13</t>
        </is>
      </c>
      <c r="K34" s="95" t="inlineStr">
        <is>
          <t>employer_portal</t>
        </is>
      </c>
      <c r="L34" s="94" t="inlineStr">
        <is>
          <t>UNRESOLVED</t>
        </is>
      </c>
      <c r="M34" s="94" t="n">
        <v>48</v>
      </c>
      <c r="N34" s="94" t="n">
        <v>675</v>
      </c>
      <c r="O34" s="95" t="inlineStr">
        <is>
          <t>Circular</t>
        </is>
      </c>
      <c r="P34" s="94" t="inlineStr">
        <is>
          <t>present|CHOICE</t>
        </is>
      </c>
      <c r="Q34" s="95" t="inlineStr">
        <is>
          <t>process_breakdown|HIGH|Operations</t>
        </is>
      </c>
      <c r="R34" s="95" t="inlineStr">
        <is>
          <t>triggered false</t>
        </is>
      </c>
      <c r="S34" s="95" t="inlineStr"/>
      <c r="T34" s="95" t="inlineStr"/>
      <c r="U34" s="94" t="inlineStr"/>
      <c r="V34" s="95" t="inlineStr"/>
      <c r="W34" s="94" t="inlineStr"/>
      <c r="X34" s="95" t="inlineStr"/>
    </row>
    <row r="35" ht="30" customHeight="1" s="48">
      <c r="A35" s="92" t="inlineStr">
        <is>
          <t>C-0031</t>
        </is>
      </c>
      <c r="B35" s="92" t="inlineStr">
        <is>
          <t>Fri 24 Jul 2026 14:10</t>
        </is>
      </c>
      <c r="C35" s="92" t="inlineStr">
        <is>
          <t>B1</t>
        </is>
      </c>
      <c r="D35" s="92" t="inlineStr">
        <is>
          <t>MEMBER</t>
        </is>
      </c>
      <c r="E35" s="92" t="inlineStr">
        <is>
          <t>CB-7700143</t>
        </is>
      </c>
      <c r="F35" s="92" t="inlineStr">
        <is>
          <t>Quentin Winters</t>
        </is>
      </c>
      <c r="G35" s="93" t="inlineStr">
        <is>
          <t>AGT-04|Priya Anand</t>
        </is>
      </c>
      <c r="H35" s="92" t="inlineStr">
        <is>
          <t>Life &amp; Beneficiary</t>
        </is>
      </c>
      <c r="I35" s="92" t="inlineStr">
        <is>
          <t>life</t>
        </is>
      </c>
      <c r="J35" s="93" t="inlineStr">
        <is>
          <t>C-34, A-44</t>
        </is>
      </c>
      <c r="K35" s="93" t="inlineStr">
        <is>
          <t>cobra_notice</t>
        </is>
      </c>
      <c r="L35" s="92" t="inlineStr">
        <is>
          <t>RESOLVED</t>
        </is>
      </c>
      <c r="M35" s="92" t="n">
        <v>84</v>
      </c>
      <c r="N35" s="92" t="n">
        <v>365</v>
      </c>
      <c r="O35" s="93" t="inlineStr">
        <is>
          <t>Competent and resolved</t>
        </is>
      </c>
      <c r="P35" s="92" t="inlineStr">
        <is>
          <t>absent</t>
        </is>
      </c>
      <c r="Q35" s="93" t="inlineStr">
        <is>
          <t>member_communication_gap|MEDIUM|Member Communications</t>
        </is>
      </c>
      <c r="R35" s="93" t="inlineStr">
        <is>
          <t>triggered false</t>
        </is>
      </c>
      <c r="S35" s="93" t="inlineStr"/>
      <c r="T35" s="93" t="inlineStr"/>
      <c r="U35" s="92" t="inlineStr"/>
      <c r="V35" s="93" t="inlineStr"/>
      <c r="W35" s="92" t="inlineStr"/>
      <c r="X35" s="93" t="inlineStr"/>
    </row>
    <row r="36" ht="30" customHeight="1" s="48">
      <c r="A36" s="94" t="inlineStr">
        <is>
          <t>C-0032</t>
        </is>
      </c>
      <c r="B36" s="94" t="inlineStr">
        <is>
          <t>Mon 27 Jul 2026 08:40</t>
        </is>
      </c>
      <c r="C36" s="94" t="inlineStr">
        <is>
          <t>B1</t>
        </is>
      </c>
      <c r="D36" s="94" t="inlineStr">
        <is>
          <t>MEMBER</t>
        </is>
      </c>
      <c r="E36" s="94" t="inlineStr">
        <is>
          <t>CB-7700239</t>
        </is>
      </c>
      <c r="F36" s="94" t="inlineStr">
        <is>
          <t>Quincy Ashby</t>
        </is>
      </c>
      <c r="G36" s="95" t="inlineStr">
        <is>
          <t>AGT-13|Kayla Brennan</t>
        </is>
      </c>
      <c r="H36" s="94" t="inlineStr">
        <is>
          <t>Coverage &amp; Benefits</t>
        </is>
      </c>
      <c r="I36" s="94" t="inlineStr">
        <is>
          <t>dental</t>
        </is>
      </c>
      <c r="J36" s="95" t="inlineStr">
        <is>
          <t>—</t>
        </is>
      </c>
      <c r="K36" s="95" t="inlineStr">
        <is>
          <t>—</t>
        </is>
      </c>
      <c r="L36" s="94" t="inlineStr">
        <is>
          <t>RESOLVED</t>
        </is>
      </c>
      <c r="M36" s="94" t="n">
        <v>68</v>
      </c>
      <c r="N36" s="94" t="n">
        <v>290</v>
      </c>
      <c r="O36" s="95" t="inlineStr">
        <is>
          <t>Competent and resolved</t>
        </is>
      </c>
      <c r="P36" s="94" t="inlineStr">
        <is>
          <t>absent</t>
        </is>
      </c>
      <c r="Q36" s="95" t="inlineStr"/>
      <c r="R36" s="95" t="inlineStr">
        <is>
          <t>triggered false</t>
        </is>
      </c>
      <c r="S36" s="95" t="inlineStr"/>
      <c r="T36" s="95" t="inlineStr"/>
      <c r="U36" s="94" t="inlineStr"/>
      <c r="V36" s="95" t="inlineStr"/>
      <c r="W36" s="94" t="inlineStr"/>
      <c r="X36" s="95" t="inlineStr"/>
    </row>
    <row r="37" ht="30" customHeight="1" s="48">
      <c r="A37" s="92" t="inlineStr">
        <is>
          <t>C-0033</t>
        </is>
      </c>
      <c r="B37" s="92" t="inlineStr">
        <is>
          <t>Mon 27 Jul 2026 11:25</t>
        </is>
      </c>
      <c r="C37" s="92" t="inlineStr">
        <is>
          <t>B1</t>
        </is>
      </c>
      <c r="D37" s="92" t="inlineStr">
        <is>
          <t>EMPLOYER</t>
        </is>
      </c>
      <c r="E37" s="92" t="inlineStr">
        <is>
          <t>CON-118</t>
        </is>
      </c>
      <c r="F37" s="92" t="inlineStr">
        <is>
          <t>Derek Kowalczyk</t>
        </is>
      </c>
      <c r="G37" s="93" t="inlineStr">
        <is>
          <t>AGT-07|Linda Braithwaite</t>
        </is>
      </c>
      <c r="H37" s="92" t="inlineStr">
        <is>
          <t>Provider Network</t>
        </is>
      </c>
      <c r="I37" s="92" t="inlineStr">
        <is>
          <t>chiro</t>
        </is>
      </c>
      <c r="J37" s="93" t="inlineStr">
        <is>
          <t>C-28, C-29</t>
        </is>
      </c>
      <c r="K37" s="93" t="inlineStr">
        <is>
          <t>renewal_pack</t>
        </is>
      </c>
      <c r="L37" s="92" t="inlineStr">
        <is>
          <t>PARTIALLY RESOLVED</t>
        </is>
      </c>
      <c r="M37" s="92" t="n">
        <v>75</v>
      </c>
      <c r="N37" s="92" t="n">
        <v>455</v>
      </c>
      <c r="O37" s="93" t="inlineStr">
        <is>
          <t>Competent but constrained</t>
        </is>
      </c>
      <c r="P37" s="92" t="inlineStr">
        <is>
          <t>present|CHOICE</t>
        </is>
      </c>
      <c r="Q37" s="93" t="inlineStr">
        <is>
          <t>network_adequacy|MEDIUM|Product / Network; member_communication_gap|MEDIUM|Member Communications</t>
        </is>
      </c>
      <c r="R37" s="93" t="inlineStr">
        <is>
          <t>triggered false</t>
        </is>
      </c>
      <c r="S37" s="93" t="inlineStr"/>
      <c r="T37" s="93" t="inlineStr"/>
      <c r="U37" s="92" t="inlineStr"/>
      <c r="V37" s="93" t="inlineStr">
        <is>
          <t>present|census-versus-network check should run at quotation for multi-state groups|renewal_pack|AGENT|UNVALIDATED</t>
        </is>
      </c>
      <c r="W37" s="92" t="inlineStr"/>
      <c r="X37" s="93" t="inlineStr"/>
    </row>
    <row r="38" ht="30" customHeight="1" s="48">
      <c r="A38" s="94" t="inlineStr">
        <is>
          <t>C-0034</t>
        </is>
      </c>
      <c r="B38" s="94" t="inlineStr">
        <is>
          <t>Tue 28 Jul 2026 09:55</t>
        </is>
      </c>
      <c r="C38" s="94" t="inlineStr">
        <is>
          <t>B1</t>
        </is>
      </c>
      <c r="D38" s="94" t="inlineStr">
        <is>
          <t>MEMBER</t>
        </is>
      </c>
      <c r="E38" s="94" t="inlineStr">
        <is>
          <t>CB-7700240</t>
        </is>
      </c>
      <c r="F38" s="94" t="inlineStr">
        <is>
          <t>Dmitri Obi</t>
        </is>
      </c>
      <c r="G38" s="95" t="inlineStr">
        <is>
          <t>AGT-09|James Okonjo</t>
        </is>
      </c>
      <c r="H38" s="94" t="inlineStr">
        <is>
          <t>Claims &amp; EOB</t>
        </is>
      </c>
      <c r="I38" s="94" t="inlineStr">
        <is>
          <t>dental</t>
        </is>
      </c>
      <c r="J38" s="95" t="inlineStr">
        <is>
          <t>C-15</t>
        </is>
      </c>
      <c r="K38" s="95" t="inlineStr">
        <is>
          <t>agent_conversation</t>
        </is>
      </c>
      <c r="L38" s="94" t="inlineStr">
        <is>
          <t>RESOLVED</t>
        </is>
      </c>
      <c r="M38" s="94" t="n">
        <v>78</v>
      </c>
      <c r="N38" s="94" t="n">
        <v>340</v>
      </c>
      <c r="O38" s="95" t="inlineStr">
        <is>
          <t>Competent and resolved</t>
        </is>
      </c>
      <c r="P38" s="94" t="inlineStr">
        <is>
          <t>absent</t>
        </is>
      </c>
      <c r="Q38" s="95" t="inlineStr"/>
      <c r="R38" s="95" t="inlineStr">
        <is>
          <t>triggered false</t>
        </is>
      </c>
      <c r="S38" s="95" t="inlineStr"/>
      <c r="T38" s="95" t="inlineStr"/>
      <c r="U38" s="94" t="inlineStr"/>
      <c r="V38" s="95" t="inlineStr"/>
      <c r="W38" s="94" t="inlineStr"/>
      <c r="X38" s="95" t="inlineStr"/>
    </row>
    <row r="39" ht="30" customHeight="1" s="48">
      <c r="A39" s="92" t="inlineStr">
        <is>
          <t>C-0035</t>
        </is>
      </c>
      <c r="B39" s="92" t="inlineStr">
        <is>
          <t>Tue 28 Jul 2026 13:40</t>
        </is>
      </c>
      <c r="C39" s="92" t="inlineStr">
        <is>
          <t>B1</t>
        </is>
      </c>
      <c r="D39" s="92" t="inlineStr">
        <is>
          <t>MEMBER</t>
        </is>
      </c>
      <c r="E39" s="92" t="inlineStr">
        <is>
          <t>CB-7700050</t>
        </is>
      </c>
      <c r="F39" s="92" t="inlineStr">
        <is>
          <t>Jerome Arellano</t>
        </is>
      </c>
      <c r="G39" s="93" t="inlineStr">
        <is>
          <t>AGT-20|Otto Lindgren</t>
        </is>
      </c>
      <c r="H39" s="92" t="inlineStr">
        <is>
          <t>Coverage &amp; Benefits</t>
        </is>
      </c>
      <c r="I39" s="92" t="inlineStr">
        <is>
          <t>vision</t>
        </is>
      </c>
      <c r="J39" s="93" t="inlineStr">
        <is>
          <t>C-24</t>
        </is>
      </c>
      <c r="K39" s="93" t="inlineStr">
        <is>
          <t>agent_conversation</t>
        </is>
      </c>
      <c r="L39" s="92" t="inlineStr">
        <is>
          <t>UNRESOLVED</t>
        </is>
      </c>
      <c r="M39" s="92" t="n">
        <v>45</v>
      </c>
      <c r="N39" s="92" t="n">
        <v>250</v>
      </c>
      <c r="O39" s="93" t="inlineStr">
        <is>
          <t>Brush-off</t>
        </is>
      </c>
      <c r="P39" s="92" t="inlineStr">
        <is>
          <t>present|CHOICE</t>
        </is>
      </c>
      <c r="Q39" s="93" t="inlineStr">
        <is>
          <t>knowledge_error|MEDIUM|Knowledge Management</t>
        </is>
      </c>
      <c r="R39" s="93" t="inlineStr">
        <is>
          <t>triggered false</t>
        </is>
      </c>
      <c r="S39" s="93" t="inlineStr"/>
      <c r="T39" s="93" t="inlineStr">
        <is>
          <t>present|C-24|glasses or contacts in a benefit period, not both</t>
        </is>
      </c>
      <c r="U39" s="92" t="inlineStr"/>
      <c r="V39" s="93" t="inlineStr"/>
      <c r="W39" s="92" t="inlineStr"/>
      <c r="X39" s="93" t="inlineStr"/>
    </row>
    <row r="40" ht="30" customHeight="1" s="48">
      <c r="A40" s="94" t="inlineStr">
        <is>
          <t>C-0036</t>
        </is>
      </c>
      <c r="B40" s="94" t="inlineStr">
        <is>
          <t>Wed 29 Jul 2026 10:05</t>
        </is>
      </c>
      <c r="C40" s="94" t="inlineStr">
        <is>
          <t>B1</t>
        </is>
      </c>
      <c r="D40" s="94" t="inlineStr">
        <is>
          <t>EMPLOYER</t>
        </is>
      </c>
      <c r="E40" s="94" t="inlineStr">
        <is>
          <t>CON-157</t>
        </is>
      </c>
      <c r="F40" s="94" t="inlineStr">
        <is>
          <t>Xavier Fraser</t>
        </is>
      </c>
      <c r="G40" s="95" t="inlineStr">
        <is>
          <t>AGT-01|Sarah Whitlock</t>
        </is>
      </c>
      <c r="H40" s="94" t="inlineStr">
        <is>
          <t>Billing &amp; Premium</t>
        </is>
      </c>
      <c r="I40" s="94" t="inlineStr">
        <is>
          <t>program</t>
        </is>
      </c>
      <c r="J40" s="95" t="inlineStr">
        <is>
          <t>P-33, A-27</t>
        </is>
      </c>
      <c r="K40" s="95" t="inlineStr">
        <is>
          <t>invoice_statement</t>
        </is>
      </c>
      <c r="L40" s="94" t="inlineStr">
        <is>
          <t>RESOLVED</t>
        </is>
      </c>
      <c r="M40" s="94" t="n">
        <v>89</v>
      </c>
      <c r="N40" s="94" t="n">
        <v>570</v>
      </c>
      <c r="O40" s="95" t="inlineStr">
        <is>
          <t>Competent and resolved</t>
        </is>
      </c>
      <c r="P40" s="94" t="inlineStr">
        <is>
          <t>absent</t>
        </is>
      </c>
      <c r="Q40" s="95" t="inlineStr"/>
      <c r="R40" s="95" t="inlineStr">
        <is>
          <t>triggered false</t>
        </is>
      </c>
      <c r="S40" s="95" t="inlineStr"/>
      <c r="T40" s="95" t="inlineStr"/>
      <c r="U40" s="94" t="inlineStr">
        <is>
          <t>expansion|verbatim, turn 15</t>
        </is>
      </c>
      <c r="V40" s="95" t="inlineStr"/>
      <c r="W40" s="94" t="inlineStr"/>
      <c r="X40" s="95" t="inlineStr"/>
    </row>
    <row r="41" ht="30" customHeight="1" s="48">
      <c r="A41" s="92" t="inlineStr">
        <is>
          <t>C-0037</t>
        </is>
      </c>
      <c r="B41" s="92" t="inlineStr">
        <is>
          <t>Wed 29 Jul 2026 15:15</t>
        </is>
      </c>
      <c r="C41" s="92" t="inlineStr">
        <is>
          <t>B1</t>
        </is>
      </c>
      <c r="D41" s="92" t="inlineStr">
        <is>
          <t>MEMBER</t>
        </is>
      </c>
      <c r="E41" s="92" t="inlineStr">
        <is>
          <t>CB-7700242</t>
        </is>
      </c>
      <c r="F41" s="92" t="inlineStr">
        <is>
          <t>Fenna Fontaine</t>
        </is>
      </c>
      <c r="G41" s="93" t="inlineStr">
        <is>
          <t>AGT-12|Hugo Marchetti</t>
        </is>
      </c>
      <c r="H41" s="92" t="inlineStr">
        <is>
          <t>Coverage &amp; Benefits</t>
        </is>
      </c>
      <c r="I41" s="92" t="inlineStr">
        <is>
          <t>dental</t>
        </is>
      </c>
      <c r="J41" s="93" t="inlineStr">
        <is>
          <t>C-08</t>
        </is>
      </c>
      <c r="K41" s="93" t="inlineStr">
        <is>
          <t>agent_conversation</t>
        </is>
      </c>
      <c r="L41" s="92" t="inlineStr">
        <is>
          <t>RESOLVED</t>
        </is>
      </c>
      <c r="M41" s="92" t="n">
        <v>82</v>
      </c>
      <c r="N41" s="92" t="n">
        <v>305</v>
      </c>
      <c r="O41" s="93" t="inlineStr">
        <is>
          <t>Competent and resolved</t>
        </is>
      </c>
      <c r="P41" s="92" t="inlineStr">
        <is>
          <t>absent</t>
        </is>
      </c>
      <c r="Q41" s="93" t="inlineStr"/>
      <c r="R41" s="93" t="inlineStr">
        <is>
          <t>triggered false</t>
        </is>
      </c>
      <c r="S41" s="93" t="inlineStr"/>
      <c r="T41" s="93" t="inlineStr"/>
      <c r="U41" s="92" t="inlineStr"/>
      <c r="V41" s="93" t="inlineStr"/>
      <c r="W41" s="92" t="inlineStr"/>
      <c r="X41" s="93" t="inlineStr"/>
    </row>
    <row r="42" ht="30" customHeight="1" s="48">
      <c r="A42" s="94" t="inlineStr">
        <is>
          <t>C-0038</t>
        </is>
      </c>
      <c r="B42" s="94" t="inlineStr">
        <is>
          <t>Thu 30 Jul 2026 09:20</t>
        </is>
      </c>
      <c r="C42" s="94" t="inlineStr">
        <is>
          <t>B1</t>
        </is>
      </c>
      <c r="D42" s="94" t="inlineStr">
        <is>
          <t>EMPLOYER</t>
        </is>
      </c>
      <c r="E42" s="94" t="inlineStr">
        <is>
          <t>CON-159</t>
        </is>
      </c>
      <c r="F42" s="94" t="inlineStr">
        <is>
          <t>Gustavo Petrova</t>
        </is>
      </c>
      <c r="G42" s="95" t="inlineStr">
        <is>
          <t>AGT-08|Nicole Trang</t>
        </is>
      </c>
      <c r="H42" s="94" t="inlineStr">
        <is>
          <t>Enrollment &amp; ID Cards</t>
        </is>
      </c>
      <c r="I42" s="94" t="inlineStr">
        <is>
          <t>program</t>
        </is>
      </c>
      <c r="J42" s="95" t="inlineStr">
        <is>
          <t>A-04</t>
        </is>
      </c>
      <c r="K42" s="95" t="inlineStr">
        <is>
          <t>employer_portal</t>
        </is>
      </c>
      <c r="L42" s="94" t="inlineStr">
        <is>
          <t>RESOLVED</t>
        </is>
      </c>
      <c r="M42" s="94" t="n">
        <v>80</v>
      </c>
      <c r="N42" s="94" t="n">
        <v>385</v>
      </c>
      <c r="O42" s="95" t="inlineStr">
        <is>
          <t>Competent and resolved</t>
        </is>
      </c>
      <c r="P42" s="94" t="inlineStr">
        <is>
          <t>absent</t>
        </is>
      </c>
      <c r="Q42" s="95" t="inlineStr"/>
      <c r="R42" s="95" t="inlineStr">
        <is>
          <t>triggered false</t>
        </is>
      </c>
      <c r="S42" s="95" t="inlineStr"/>
      <c r="T42" s="95" t="inlineStr"/>
      <c r="U42" s="94" t="inlineStr"/>
      <c r="V42" s="95" t="inlineStr"/>
      <c r="W42" s="94" t="inlineStr"/>
      <c r="X42" s="95" t="inlineStr"/>
    </row>
    <row r="43" ht="30" customHeight="1" s="48">
      <c r="A43" s="92" t="inlineStr">
        <is>
          <t>C-0039</t>
        </is>
      </c>
      <c r="B43" s="92" t="inlineStr">
        <is>
          <t>Thu 30 Jul 2026 14:45</t>
        </is>
      </c>
      <c r="C43" s="92" t="inlineStr">
        <is>
          <t>B1</t>
        </is>
      </c>
      <c r="D43" s="92" t="inlineStr">
        <is>
          <t>MEMBER</t>
        </is>
      </c>
      <c r="E43" s="92" t="inlineStr">
        <is>
          <t>CB-7700244</t>
        </is>
      </c>
      <c r="F43" s="92" t="inlineStr">
        <is>
          <t>Petra Nasser</t>
        </is>
      </c>
      <c r="G43" s="93" t="inlineStr">
        <is>
          <t>AGT-15|Tiffany Rowe</t>
        </is>
      </c>
      <c r="H43" s="92" t="inlineStr">
        <is>
          <t>Coverage &amp; Benefits</t>
        </is>
      </c>
      <c r="I43" s="92" t="inlineStr">
        <is>
          <t>dental</t>
        </is>
      </c>
      <c r="J43" s="93" t="inlineStr">
        <is>
          <t>P-28</t>
        </is>
      </c>
      <c r="K43" s="93" t="inlineStr">
        <is>
          <t>agent_conversation</t>
        </is>
      </c>
      <c r="L43" s="92" t="inlineStr">
        <is>
          <t>UNRESOLVED</t>
        </is>
      </c>
      <c r="M43" s="92" t="n">
        <v>50</v>
      </c>
      <c r="N43" s="92" t="n">
        <v>275</v>
      </c>
      <c r="O43" s="93" t="inlineStr">
        <is>
          <t>Brush-off</t>
        </is>
      </c>
      <c r="P43" s="92" t="inlineStr">
        <is>
          <t>present|CHOICE</t>
        </is>
      </c>
      <c r="Q43" s="93" t="inlineStr">
        <is>
          <t>knowledge_error|MEDIUM|Knowledge Management</t>
        </is>
      </c>
      <c r="R43" s="93" t="inlineStr">
        <is>
          <t>triggered false</t>
        </is>
      </c>
      <c r="S43" s="93" t="inlineStr"/>
      <c r="T43" s="93" t="inlineStr">
        <is>
          <t>present|P-28|orthodontia availability is gated by carrier and group size before any waiting period applies</t>
        </is>
      </c>
      <c r="U43" s="92" t="inlineStr"/>
      <c r="V43" s="93" t="inlineStr"/>
      <c r="W43" s="92" t="inlineStr"/>
      <c r="X43" s="93" t="inlineStr"/>
    </row>
    <row r="44" ht="30" customHeight="1" s="48">
      <c r="A44" s="94" t="inlineStr">
        <is>
          <t>C-0040</t>
        </is>
      </c>
      <c r="B44" s="94" t="inlineStr">
        <is>
          <t>Fri 31 Jul 2026 10:30</t>
        </is>
      </c>
      <c r="C44" s="94" t="inlineStr">
        <is>
          <t>B1</t>
        </is>
      </c>
      <c r="D44" s="94" t="inlineStr">
        <is>
          <t>EMPLOYER</t>
        </is>
      </c>
      <c r="E44" s="94" t="inlineStr">
        <is>
          <t>CON-161</t>
        </is>
      </c>
      <c r="F44" s="94" t="inlineStr">
        <is>
          <t>Pascal Ferrara</t>
        </is>
      </c>
      <c r="G44" s="95" t="inlineStr">
        <is>
          <t>AGT-05|Adaeze Nwosu</t>
        </is>
      </c>
      <c r="H44" s="94" t="inlineStr">
        <is>
          <t>Billing &amp; Premium</t>
        </is>
      </c>
      <c r="I44" s="94" t="inlineStr">
        <is>
          <t>program</t>
        </is>
      </c>
      <c r="J44" s="95" t="inlineStr">
        <is>
          <t>A-28, A-29</t>
        </is>
      </c>
      <c r="K44" s="95" t="inlineStr">
        <is>
          <t>invoice_statement</t>
        </is>
      </c>
      <c r="L44" s="94" t="inlineStr">
        <is>
          <t>ESCALATED</t>
        </is>
      </c>
      <c r="M44" s="94" t="n">
        <v>87</v>
      </c>
      <c r="N44" s="94" t="n">
        <v>620</v>
      </c>
      <c r="O44" s="95" t="inlineStr">
        <is>
          <t>Escalated or handed off correctly</t>
        </is>
      </c>
      <c r="P44" s="94" t="inlineStr">
        <is>
          <t>present|CHOICE</t>
        </is>
      </c>
      <c r="Q44" s="95" t="inlineStr">
        <is>
          <t>billing_defect|HIGH|Operations / Finance; retention_risk|CRITICAL|Account Management</t>
        </is>
      </c>
      <c r="R44" s="95" t="inlineStr">
        <is>
          <t>triggered true|authority_limit|requested_by_caller true|handled true</t>
        </is>
      </c>
      <c r="S44" s="95" t="inlineStr"/>
      <c r="T44" s="95" t="inlineStr"/>
      <c r="U44" s="94" t="inlineStr">
        <is>
          <t>market_test|verbatim, turn 18</t>
        </is>
      </c>
      <c r="V44" s="95" t="inlineStr"/>
      <c r="W44" s="94" t="inlineStr"/>
      <c r="X44" s="95" t="inlineStr"/>
    </row>
    <row r="45" ht="30" customHeight="1" s="48">
      <c r="A45" s="92" t="inlineStr">
        <is>
          <t>C-0041</t>
        </is>
      </c>
      <c r="B45" s="92" t="inlineStr">
        <is>
          <t>Fri 31 Jul 2026 15:50</t>
        </is>
      </c>
      <c r="C45" s="92" t="inlineStr">
        <is>
          <t>B1</t>
        </is>
      </c>
      <c r="D45" s="92" t="inlineStr">
        <is>
          <t>MEMBER</t>
        </is>
      </c>
      <c r="E45" s="92" t="inlineStr">
        <is>
          <t>CB-7700246</t>
        </is>
      </c>
      <c r="F45" s="92" t="inlineStr">
        <is>
          <t>Idris Okonkwo</t>
        </is>
      </c>
      <c r="G45" s="93" t="inlineStr">
        <is>
          <t>AGT-06|Michael Osei</t>
        </is>
      </c>
      <c r="H45" s="92" t="inlineStr">
        <is>
          <t>Coverage &amp; Benefits</t>
        </is>
      </c>
      <c r="I45" s="92" t="inlineStr">
        <is>
          <t>dental</t>
        </is>
      </c>
      <c r="J45" s="93" t="inlineStr">
        <is>
          <t>—</t>
        </is>
      </c>
      <c r="K45" s="93" t="inlineStr">
        <is>
          <t>—</t>
        </is>
      </c>
      <c r="L45" s="92" t="inlineStr">
        <is>
          <t>RESOLVED</t>
        </is>
      </c>
      <c r="M45" s="92" t="n">
        <v>73</v>
      </c>
      <c r="N45" s="92" t="n">
        <v>235</v>
      </c>
      <c r="O45" s="93" t="inlineStr">
        <is>
          <t>Competent and resolved</t>
        </is>
      </c>
      <c r="P45" s="92" t="inlineStr">
        <is>
          <t>absent</t>
        </is>
      </c>
      <c r="Q45" s="93" t="inlineStr"/>
      <c r="R45" s="93" t="inlineStr">
        <is>
          <t>triggered false</t>
        </is>
      </c>
      <c r="S45" s="93" t="inlineStr"/>
      <c r="T45" s="93" t="inlineStr"/>
      <c r="U45" s="92" t="inlineStr"/>
      <c r="V45" s="93" t="inlineStr"/>
      <c r="W45" s="92" t="inlineStr"/>
      <c r="X45" s="93" t="inlineStr"/>
    </row>
    <row r="46" ht="30" customHeight="1" s="48">
      <c r="A46" s="94" t="inlineStr">
        <is>
          <t>C-0042</t>
        </is>
      </c>
      <c r="B46" s="94" t="inlineStr">
        <is>
          <t>Mon 03 Aug 2026 09:10</t>
        </is>
      </c>
      <c r="C46" s="94" t="inlineStr">
        <is>
          <t>B1</t>
        </is>
      </c>
      <c r="D46" s="94" t="inlineStr">
        <is>
          <t>MEMBER</t>
        </is>
      </c>
      <c r="E46" s="94" t="inlineStr">
        <is>
          <t>CB-7700247</t>
        </is>
      </c>
      <c r="F46" s="94" t="inlineStr">
        <is>
          <t>Gustavo Nasser</t>
        </is>
      </c>
      <c r="G46" s="95" t="inlineStr">
        <is>
          <t>AGT-03|Danielle Park</t>
        </is>
      </c>
      <c r="H46" s="94" t="inlineStr">
        <is>
          <t>Provider Network</t>
        </is>
      </c>
      <c r="I46" s="94" t="inlineStr">
        <is>
          <t>dental</t>
        </is>
      </c>
      <c r="J46" s="95" t="inlineStr">
        <is>
          <t>C-02, C-05</t>
        </is>
      </c>
      <c r="K46" s="95" t="inlineStr">
        <is>
          <t>welcome_pack</t>
        </is>
      </c>
      <c r="L46" s="94" t="inlineStr">
        <is>
          <t>RESOLVED</t>
        </is>
      </c>
      <c r="M46" s="94" t="n">
        <v>86</v>
      </c>
      <c r="N46" s="94" t="n">
        <v>465</v>
      </c>
      <c r="O46" s="95" t="inlineStr">
        <is>
          <t>Competent and resolved</t>
        </is>
      </c>
      <c r="P46" s="94" t="inlineStr">
        <is>
          <t>absent</t>
        </is>
      </c>
      <c r="Q46" s="95" t="inlineStr"/>
      <c r="R46" s="95" t="inlineStr">
        <is>
          <t>triggered false</t>
        </is>
      </c>
      <c r="S46" s="95" t="inlineStr"/>
      <c r="T46" s="95" t="inlineStr"/>
      <c r="U46" s="94" t="inlineStr"/>
      <c r="V46" s="95" t="inlineStr"/>
      <c r="W46" s="94" t="inlineStr"/>
      <c r="X46" s="95" t="inlineStr"/>
    </row>
    <row r="47" ht="30" customHeight="1" s="48">
      <c r="A47" s="92" t="inlineStr">
        <is>
          <t>C-0043</t>
        </is>
      </c>
      <c r="B47" s="92" t="inlineStr">
        <is>
          <t>Mon 03 Aug 2026 13:30</t>
        </is>
      </c>
      <c r="C47" s="92" t="inlineStr">
        <is>
          <t>B1</t>
        </is>
      </c>
      <c r="D47" s="92" t="inlineStr">
        <is>
          <t>EMPLOYER</t>
        </is>
      </c>
      <c r="E47" s="92" t="inlineStr">
        <is>
          <t>CON-164</t>
        </is>
      </c>
      <c r="F47" s="92" t="inlineStr">
        <is>
          <t>Lena Nakamura</t>
        </is>
      </c>
      <c r="G47" s="93" t="inlineStr">
        <is>
          <t>AGT-19|Farrah Bhatti</t>
        </is>
      </c>
      <c r="H47" s="92" t="inlineStr">
        <is>
          <t>Billing &amp; Premium</t>
        </is>
      </c>
      <c r="I47" s="92" t="inlineStr">
        <is>
          <t>program</t>
        </is>
      </c>
      <c r="J47" s="93" t="inlineStr">
        <is>
          <t>A-31</t>
        </is>
      </c>
      <c r="K47" s="93" t="inlineStr">
        <is>
          <t>invoice_statement</t>
        </is>
      </c>
      <c r="L47" s="92" t="inlineStr">
        <is>
          <t>RESOLVED</t>
        </is>
      </c>
      <c r="M47" s="92" t="n">
        <v>71</v>
      </c>
      <c r="N47" s="92" t="n">
        <v>315</v>
      </c>
      <c r="O47" s="93" t="inlineStr">
        <is>
          <t>Competent and resolved</t>
        </is>
      </c>
      <c r="P47" s="92" t="inlineStr">
        <is>
          <t>absent</t>
        </is>
      </c>
      <c r="Q47" s="93" t="inlineStr"/>
      <c r="R47" s="93" t="inlineStr">
        <is>
          <t>triggered false</t>
        </is>
      </c>
      <c r="S47" s="93" t="inlineStr"/>
      <c r="T47" s="93" t="inlineStr"/>
      <c r="U47" s="92" t="inlineStr"/>
      <c r="V47" s="93" t="inlineStr">
        <is>
          <t>present|employers repeatedly ask for card or ACH payment|invoice_statement|CALLER|UNVALIDATED</t>
        </is>
      </c>
      <c r="W47" s="92" t="inlineStr"/>
      <c r="X47" s="93" t="inlineStr"/>
    </row>
    <row r="48" ht="30" customHeight="1" s="48">
      <c r="A48" s="94" t="inlineStr">
        <is>
          <t>C-0044</t>
        </is>
      </c>
      <c r="B48" s="94" t="inlineStr">
        <is>
          <t>Tue 04 Aug 2026 10:15</t>
        </is>
      </c>
      <c r="C48" s="94" t="inlineStr">
        <is>
          <t>B1</t>
        </is>
      </c>
      <c r="D48" s="94" t="inlineStr">
        <is>
          <t>MEMBER</t>
        </is>
      </c>
      <c r="E48" s="94" t="inlineStr">
        <is>
          <t>CB-7700137</t>
        </is>
      </c>
      <c r="F48" s="94" t="inlineStr">
        <is>
          <t>Bianca Thibault</t>
        </is>
      </c>
      <c r="G48" s="95" t="inlineStr">
        <is>
          <t>AGT-10|Tony Ferraro</t>
        </is>
      </c>
      <c r="H48" s="94" t="inlineStr">
        <is>
          <t>Claims &amp; EOB</t>
        </is>
      </c>
      <c r="I48" s="94" t="inlineStr">
        <is>
          <t>vision</t>
        </is>
      </c>
      <c r="J48" s="95" t="inlineStr">
        <is>
          <t>—</t>
        </is>
      </c>
      <c r="K48" s="95" t="inlineStr">
        <is>
          <t>agent_conversation</t>
        </is>
      </c>
      <c r="L48" s="94" t="inlineStr">
        <is>
          <t>PARTIALLY RESOLVED</t>
        </is>
      </c>
      <c r="M48" s="94" t="n">
        <v>69</v>
      </c>
      <c r="N48" s="94" t="n">
        <v>390</v>
      </c>
      <c r="O48" s="95" t="inlineStr">
        <is>
          <t>Competent but constrained</t>
        </is>
      </c>
      <c r="P48" s="94" t="inlineStr">
        <is>
          <t>present|CARRIER</t>
        </is>
      </c>
      <c r="Q48" s="95" t="inlineStr"/>
      <c r="R48" s="95" t="inlineStr">
        <is>
          <t>triggered false</t>
        </is>
      </c>
      <c r="S48" s="95" t="inlineStr"/>
      <c r="T48" s="95" t="inlineStr"/>
      <c r="U48" s="94" t="inlineStr"/>
      <c r="V48" s="95" t="inlineStr"/>
      <c r="W48" s="94" t="inlineStr"/>
      <c r="X48" s="95" t="inlineStr"/>
    </row>
    <row r="49" ht="30" customHeight="1" s="48">
      <c r="A49" s="92" t="inlineStr">
        <is>
          <t>C-0045</t>
        </is>
      </c>
      <c r="B49" s="92" t="inlineStr">
        <is>
          <t>Tue 04 Aug 2026 15:05</t>
        </is>
      </c>
      <c r="C49" s="92" t="inlineStr">
        <is>
          <t>B1</t>
        </is>
      </c>
      <c r="D49" s="92" t="inlineStr">
        <is>
          <t>MEMBER</t>
        </is>
      </c>
      <c r="E49" s="92" t="inlineStr">
        <is>
          <t>CB-7700249</t>
        </is>
      </c>
      <c r="F49" s="92" t="inlineStr">
        <is>
          <t>Denise Lindqvist</t>
        </is>
      </c>
      <c r="G49" s="93" t="inlineStr">
        <is>
          <t>AGT-13|Kayla Brennan</t>
        </is>
      </c>
      <c r="H49" s="92" t="inlineStr">
        <is>
          <t>Coverage &amp; Benefits</t>
        </is>
      </c>
      <c r="I49" s="92" t="inlineStr">
        <is>
          <t>dental</t>
        </is>
      </c>
      <c r="J49" s="93" t="inlineStr">
        <is>
          <t>—</t>
        </is>
      </c>
      <c r="K49" s="93" t="inlineStr">
        <is>
          <t>—</t>
        </is>
      </c>
      <c r="L49" s="92" t="inlineStr">
        <is>
          <t>RESOLVED</t>
        </is>
      </c>
      <c r="M49" s="92" t="n">
        <v>66</v>
      </c>
      <c r="N49" s="92" t="n">
        <v>260</v>
      </c>
      <c r="O49" s="93" t="inlineStr">
        <is>
          <t>Competent and resolved</t>
        </is>
      </c>
      <c r="P49" s="92" t="inlineStr">
        <is>
          <t>absent</t>
        </is>
      </c>
      <c r="Q49" s="93" t="inlineStr"/>
      <c r="R49" s="93" t="inlineStr">
        <is>
          <t>triggered false</t>
        </is>
      </c>
      <c r="S49" s="93" t="inlineStr"/>
      <c r="T49" s="93" t="inlineStr"/>
      <c r="U49" s="92" t="inlineStr"/>
      <c r="V49" s="93" t="inlineStr"/>
      <c r="W49" s="92" t="inlineStr"/>
      <c r="X49" s="93" t="inlineStr"/>
    </row>
    <row r="50" ht="30" customHeight="1" s="48">
      <c r="A50" s="94" t="inlineStr">
        <is>
          <t>C-0046</t>
        </is>
      </c>
      <c r="B50" s="94" t="inlineStr">
        <is>
          <t>Wed 05 Aug 2026 09:35</t>
        </is>
      </c>
      <c r="C50" s="94" t="inlineStr">
        <is>
          <t>B1</t>
        </is>
      </c>
      <c r="D50" s="94" t="inlineStr">
        <is>
          <t>EMPLOYER</t>
        </is>
      </c>
      <c r="E50" s="94" t="inlineStr">
        <is>
          <t>CON-166</t>
        </is>
      </c>
      <c r="F50" s="94" t="inlineStr">
        <is>
          <t>Dagny Sorensen</t>
        </is>
      </c>
      <c r="G50" s="95" t="inlineStr">
        <is>
          <t>AGT-02|Carlos Mendez</t>
        </is>
      </c>
      <c r="H50" s="94" t="inlineStr">
        <is>
          <t>Enrollment &amp; ID Cards</t>
        </is>
      </c>
      <c r="I50" s="94" t="inlineStr">
        <is>
          <t>program</t>
        </is>
      </c>
      <c r="J50" s="95" t="inlineStr">
        <is>
          <t>A-18, P-30</t>
        </is>
      </c>
      <c r="K50" s="95" t="inlineStr">
        <is>
          <t>enrolment_form</t>
        </is>
      </c>
      <c r="L50" s="94" t="inlineStr">
        <is>
          <t>RESOLVED</t>
        </is>
      </c>
      <c r="M50" s="94" t="n">
        <v>85</v>
      </c>
      <c r="N50" s="94" t="n">
        <v>485</v>
      </c>
      <c r="O50" s="95" t="inlineStr">
        <is>
          <t>Competent and resolved</t>
        </is>
      </c>
      <c r="P50" s="94" t="inlineStr">
        <is>
          <t>absent</t>
        </is>
      </c>
      <c r="Q50" s="95" t="inlineStr"/>
      <c r="R50" s="95" t="inlineStr">
        <is>
          <t>triggered false</t>
        </is>
      </c>
      <c r="S50" s="95" t="inlineStr"/>
      <c r="T50" s="95" t="inlineStr"/>
      <c r="U50" s="94" t="inlineStr"/>
      <c r="V50" s="95" t="inlineStr"/>
      <c r="W50" s="94" t="inlineStr"/>
      <c r="X50" s="95" t="inlineStr"/>
    </row>
    <row r="51" ht="30" customHeight="1" s="48">
      <c r="A51" s="92" t="inlineStr">
        <is>
          <t>C-0047</t>
        </is>
      </c>
      <c r="B51" s="92" t="inlineStr">
        <is>
          <t>Wed 05 Aug 2026 14:25</t>
        </is>
      </c>
      <c r="C51" s="92" t="inlineStr">
        <is>
          <t>B1</t>
        </is>
      </c>
      <c r="D51" s="92" t="inlineStr">
        <is>
          <t>MEMBER</t>
        </is>
      </c>
      <c r="E51" s="92" t="inlineStr">
        <is>
          <t>CB-7700251</t>
        </is>
      </c>
      <c r="F51" s="92" t="inlineStr">
        <is>
          <t>Pascal Delgado</t>
        </is>
      </c>
      <c r="G51" s="93" t="inlineStr">
        <is>
          <t>AGT-11|Grace Adeyemi</t>
        </is>
      </c>
      <c r="H51" s="92" t="inlineStr">
        <is>
          <t>Coverage &amp; Benefits</t>
        </is>
      </c>
      <c r="I51" s="92" t="inlineStr">
        <is>
          <t>dental</t>
        </is>
      </c>
      <c r="J51" s="93" t="inlineStr">
        <is>
          <t>C-10</t>
        </is>
      </c>
      <c r="K51" s="93" t="inlineStr">
        <is>
          <t>denial_letter_eob</t>
        </is>
      </c>
      <c r="L51" s="92" t="inlineStr">
        <is>
          <t>RESOLVED</t>
        </is>
      </c>
      <c r="M51" s="92" t="n">
        <v>79</v>
      </c>
      <c r="N51" s="92" t="n">
        <v>350</v>
      </c>
      <c r="O51" s="93" t="inlineStr">
        <is>
          <t>Competent and resolved</t>
        </is>
      </c>
      <c r="P51" s="92" t="inlineStr">
        <is>
          <t>present|CHOICE</t>
        </is>
      </c>
      <c r="Q51" s="93" t="inlineStr">
        <is>
          <t>member_communication_gap|MEDIUM|Member Communications</t>
        </is>
      </c>
      <c r="R51" s="93" t="inlineStr">
        <is>
          <t>triggered false</t>
        </is>
      </c>
      <c r="S51" s="93" t="inlineStr"/>
      <c r="T51" s="93" t="inlineStr"/>
      <c r="U51" s="92" t="inlineStr"/>
      <c r="V51" s="93" t="inlineStr"/>
      <c r="W51" s="92" t="inlineStr"/>
      <c r="X51" s="93" t="inlineStr"/>
    </row>
    <row r="52" ht="30" customHeight="1" s="48">
      <c r="A52" s="94" t="inlineStr">
        <is>
          <t>C-0048</t>
        </is>
      </c>
      <c r="B52" s="94" t="inlineStr">
        <is>
          <t>Thu 06 Aug 2026 10:50</t>
        </is>
      </c>
      <c r="C52" s="94" t="inlineStr">
        <is>
          <t>B1</t>
        </is>
      </c>
      <c r="D52" s="94" t="inlineStr">
        <is>
          <t>MEMBER</t>
        </is>
      </c>
      <c r="E52" s="94" t="inlineStr">
        <is>
          <t>CB-7700252</t>
        </is>
      </c>
      <c r="F52" s="94" t="inlineStr">
        <is>
          <t>Tobias Achebe</t>
        </is>
      </c>
      <c r="G52" s="95" t="inlineStr">
        <is>
          <t>AGT-17|Deon Marsh</t>
        </is>
      </c>
      <c r="H52" s="94" t="inlineStr">
        <is>
          <t>Claims &amp; EOB</t>
        </is>
      </c>
      <c r="I52" s="94" t="inlineStr">
        <is>
          <t>dental</t>
        </is>
      </c>
      <c r="J52" s="95" t="inlineStr">
        <is>
          <t>—</t>
        </is>
      </c>
      <c r="K52" s="95" t="inlineStr">
        <is>
          <t>agent_conversation</t>
        </is>
      </c>
      <c r="L52" s="94" t="inlineStr">
        <is>
          <t>UNRESOLVED</t>
        </is>
      </c>
      <c r="M52" s="94" t="n">
        <v>46</v>
      </c>
      <c r="N52" s="94" t="n">
        <v>730</v>
      </c>
      <c r="O52" s="95" t="inlineStr">
        <is>
          <t>Circular</t>
        </is>
      </c>
      <c r="P52" s="94" t="inlineStr">
        <is>
          <t>present|CHOICE</t>
        </is>
      </c>
      <c r="Q52" s="95" t="inlineStr">
        <is>
          <t>escalation_missed|HIGH|Operations</t>
        </is>
      </c>
      <c r="R52" s="95" t="inlineStr">
        <is>
          <t>triggered true|caller_request|requested_by_caller true|handled false</t>
        </is>
      </c>
      <c r="S52" s="95" t="inlineStr"/>
      <c r="T52" s="95" t="inlineStr"/>
      <c r="U52" s="94" t="inlineStr"/>
      <c r="V52" s="95" t="inlineStr"/>
      <c r="W52" s="94" t="inlineStr"/>
      <c r="X52" s="95" t="inlineStr"/>
    </row>
    <row r="53" ht="30" customHeight="1" s="48">
      <c r="A53" s="92" t="inlineStr">
        <is>
          <t>C-0049</t>
        </is>
      </c>
      <c r="B53" s="92" t="inlineStr">
        <is>
          <t>Thu 06 Aug 2026 15:40</t>
        </is>
      </c>
      <c r="C53" s="92" t="inlineStr">
        <is>
          <t>B1</t>
        </is>
      </c>
      <c r="D53" s="92" t="inlineStr">
        <is>
          <t>EMPLOYER</t>
        </is>
      </c>
      <c r="E53" s="92" t="inlineStr">
        <is>
          <t>CON-169</t>
        </is>
      </c>
      <c r="F53" s="92" t="inlineStr">
        <is>
          <t>Sable Hobbs</t>
        </is>
      </c>
      <c r="G53" s="93" t="inlineStr">
        <is>
          <t>AGT-04|Priya Anand</t>
        </is>
      </c>
      <c r="H53" s="92" t="inlineStr">
        <is>
          <t>Enrollment &amp; ID Cards</t>
        </is>
      </c>
      <c r="I53" s="92" t="inlineStr">
        <is>
          <t>program</t>
        </is>
      </c>
      <c r="J53" s="93" t="inlineStr">
        <is>
          <t>A-16, A-17</t>
        </is>
      </c>
      <c r="K53" s="93" t="inlineStr">
        <is>
          <t>cobra_notice</t>
        </is>
      </c>
      <c r="L53" s="92" t="inlineStr">
        <is>
          <t>RESOLVED</t>
        </is>
      </c>
      <c r="M53" s="92" t="n">
        <v>83</v>
      </c>
      <c r="N53" s="92" t="n">
        <v>415</v>
      </c>
      <c r="O53" s="93" t="inlineStr">
        <is>
          <t>Competent and resolved</t>
        </is>
      </c>
      <c r="P53" s="92" t="inlineStr">
        <is>
          <t>absent</t>
        </is>
      </c>
      <c r="Q53" s="93" t="inlineStr"/>
      <c r="R53" s="93" t="inlineStr">
        <is>
          <t>triggered false</t>
        </is>
      </c>
      <c r="S53" s="93" t="inlineStr"/>
      <c r="T53" s="93" t="inlineStr"/>
      <c r="U53" s="92" t="inlineStr"/>
      <c r="V53" s="93" t="inlineStr"/>
      <c r="W53" s="92" t="inlineStr"/>
      <c r="X53" s="93" t="inlineStr"/>
    </row>
    <row r="54" ht="30" customHeight="1" s="48">
      <c r="A54" s="94" t="inlineStr">
        <is>
          <t>C-0050</t>
        </is>
      </c>
      <c r="B54" s="94" t="inlineStr">
        <is>
          <t>Fri 07 Aug 2026 11:20</t>
        </is>
      </c>
      <c r="C54" s="94" t="inlineStr">
        <is>
          <t>B1</t>
        </is>
      </c>
      <c r="D54" s="94" t="inlineStr">
        <is>
          <t>MEMBER</t>
        </is>
      </c>
      <c r="E54" s="94" t="inlineStr">
        <is>
          <t>CB-7700254</t>
        </is>
      </c>
      <c r="F54" s="94" t="inlineStr">
        <is>
          <t>Petra Raman</t>
        </is>
      </c>
      <c r="G54" s="95" t="inlineStr">
        <is>
          <t>AGT-16|Ryan Castellano</t>
        </is>
      </c>
      <c r="H54" s="94" t="inlineStr">
        <is>
          <t>Coverage &amp; Benefits</t>
        </is>
      </c>
      <c r="I54" s="94" t="inlineStr">
        <is>
          <t>dental</t>
        </is>
      </c>
      <c r="J54" s="95" t="inlineStr">
        <is>
          <t>—</t>
        </is>
      </c>
      <c r="K54" s="95" t="inlineStr">
        <is>
          <t>—</t>
        </is>
      </c>
      <c r="L54" s="94" t="inlineStr">
        <is>
          <t>UNRESOLVED</t>
        </is>
      </c>
      <c r="M54" s="94" t="n">
        <v>52</v>
      </c>
      <c r="N54" s="94" t="n">
        <v>280</v>
      </c>
      <c r="O54" s="95" t="inlineStr">
        <is>
          <t>Brush-off</t>
        </is>
      </c>
      <c r="P54" s="94" t="inlineStr">
        <is>
          <t>present|CHOICE</t>
        </is>
      </c>
      <c r="Q54" s="95" t="inlineStr"/>
      <c r="R54" s="95" t="inlineStr">
        <is>
          <t>triggered false</t>
        </is>
      </c>
      <c r="S54" s="95" t="inlineStr"/>
      <c r="T54" s="95" t="inlineStr"/>
      <c r="U54" s="94" t="inlineStr"/>
      <c r="V54" s="95" t="inlineStr"/>
      <c r="W54" s="94" t="inlineStr"/>
      <c r="X54" s="95" t="inlineStr"/>
    </row>
    <row r="55" ht="30" customHeight="1" s="48">
      <c r="A55" s="92" t="inlineStr">
        <is>
          <t>C-0051</t>
        </is>
      </c>
      <c r="B55" s="92" t="inlineStr">
        <is>
          <t>Fri 07 Aug 2026 14:15</t>
        </is>
      </c>
      <c r="C55" s="92" t="inlineStr">
        <is>
          <t>B1</t>
        </is>
      </c>
      <c r="D55" s="92" t="inlineStr">
        <is>
          <t>MEMBER</t>
        </is>
      </c>
      <c r="E55" s="92" t="inlineStr">
        <is>
          <t>CB-7700170</t>
        </is>
      </c>
      <c r="F55" s="92" t="inlineStr">
        <is>
          <t>Vidal Castellano</t>
        </is>
      </c>
      <c r="G55" s="93" t="inlineStr">
        <is>
          <t>AGT-01|Sarah Whitlock</t>
        </is>
      </c>
      <c r="H55" s="92" t="inlineStr">
        <is>
          <t>Enrollment &amp; ID Cards</t>
        </is>
      </c>
      <c r="I55" s="92" t="inlineStr">
        <is>
          <t>dental</t>
        </is>
      </c>
      <c r="J55" s="93" t="inlineStr">
        <is>
          <t>P-31</t>
        </is>
      </c>
      <c r="K55" s="93" t="inlineStr">
        <is>
          <t>id_card_mailer</t>
        </is>
      </c>
      <c r="L55" s="92" t="inlineStr">
        <is>
          <t>RESOLVED</t>
        </is>
      </c>
      <c r="M55" s="92" t="n">
        <v>88</v>
      </c>
      <c r="N55" s="92" t="n">
        <v>430</v>
      </c>
      <c r="O55" s="93" t="inlineStr">
        <is>
          <t>Competent and resolved</t>
        </is>
      </c>
      <c r="P55" s="92" t="inlineStr">
        <is>
          <t>present|CHOICE</t>
        </is>
      </c>
      <c r="Q55" s="93" t="inlineStr">
        <is>
          <t>process_breakdown|HIGH|Operations</t>
        </is>
      </c>
      <c r="R55" s="93" t="inlineStr">
        <is>
          <t>triggered false</t>
        </is>
      </c>
      <c r="S55" s="93" t="inlineStr"/>
      <c r="T55" s="93" t="inlineStr"/>
      <c r="U55" s="92" t="inlineStr"/>
      <c r="V55" s="93" t="inlineStr">
        <is>
          <t>present|card mailer should tell the member the card went to their employer|id_card_mailer|AGENT|UNVALIDATED</t>
        </is>
      </c>
      <c r="W55" s="92" t="inlineStr"/>
      <c r="X55" s="93" t="inlineStr">
        <is>
          <t>C-0002 | 06 Jul | closed unresolved</t>
        </is>
      </c>
    </row>
    <row r="56" ht="30" customHeight="1" s="48">
      <c r="A56" s="94" t="inlineStr">
        <is>
          <t>C-0052</t>
        </is>
      </c>
      <c r="B56" s="94" t="inlineStr">
        <is>
          <t>Mon 17 Aug 2026 09:05</t>
        </is>
      </c>
      <c r="C56" s="94" t="inlineStr">
        <is>
          <t>B1</t>
        </is>
      </c>
      <c r="D56" s="94" t="inlineStr">
        <is>
          <t>MEMBER</t>
        </is>
      </c>
      <c r="E56" s="94" t="inlineStr">
        <is>
          <t>CB-7700255</t>
        </is>
      </c>
      <c r="F56" s="94" t="inlineStr">
        <is>
          <t>Pascal Marchetti</t>
        </is>
      </c>
      <c r="G56" s="95" t="inlineStr">
        <is>
          <t>AGT-09|James Okonjo</t>
        </is>
      </c>
      <c r="H56" s="94" t="inlineStr">
        <is>
          <t>Coverage &amp; Benefits</t>
        </is>
      </c>
      <c r="I56" s="94" t="inlineStr">
        <is>
          <t>dental</t>
        </is>
      </c>
      <c r="J56" s="95" t="inlineStr">
        <is>
          <t>—</t>
        </is>
      </c>
      <c r="K56" s="95" t="inlineStr">
        <is>
          <t>—</t>
        </is>
      </c>
      <c r="L56" s="94" t="inlineStr">
        <is>
          <t>RESOLVED</t>
        </is>
      </c>
      <c r="M56" s="94" t="n">
        <v>76</v>
      </c>
      <c r="N56" s="94" t="n">
        <v>325</v>
      </c>
      <c r="O56" s="95" t="inlineStr">
        <is>
          <t>Competent and resolved</t>
        </is>
      </c>
      <c r="P56" s="94" t="inlineStr">
        <is>
          <t>absent</t>
        </is>
      </c>
      <c r="Q56" s="95" t="inlineStr"/>
      <c r="R56" s="95" t="inlineStr">
        <is>
          <t>triggered false</t>
        </is>
      </c>
      <c r="S56" s="95" t="inlineStr"/>
      <c r="T56" s="95" t="inlineStr"/>
      <c r="U56" s="94" t="inlineStr"/>
      <c r="V56" s="95" t="inlineStr"/>
      <c r="W56" s="94" t="inlineStr"/>
      <c r="X56" s="95" t="inlineStr"/>
    </row>
    <row r="57" ht="30" customHeight="1" s="48">
      <c r="A57" s="92" t="inlineStr">
        <is>
          <t>C-0053</t>
        </is>
      </c>
      <c r="B57" s="92" t="inlineStr">
        <is>
          <t>Mon 17 Aug 2026 13:45</t>
        </is>
      </c>
      <c r="C57" s="92" t="inlineStr">
        <is>
          <t>B1</t>
        </is>
      </c>
      <c r="D57" s="92" t="inlineStr">
        <is>
          <t>MEMBER</t>
        </is>
      </c>
      <c r="E57" s="92" t="inlineStr">
        <is>
          <t>CB-7700183</t>
        </is>
      </c>
      <c r="F57" s="92" t="inlineStr">
        <is>
          <t>Grace Ruiz</t>
        </is>
      </c>
      <c r="G57" s="93" t="inlineStr">
        <is>
          <t>AGT-08|Nicole Trang</t>
        </is>
      </c>
      <c r="H57" s="92" t="inlineStr">
        <is>
          <t>Claims &amp; EOB</t>
        </is>
      </c>
      <c r="I57" s="92" t="inlineStr">
        <is>
          <t>dental</t>
        </is>
      </c>
      <c r="J57" s="93" t="inlineStr">
        <is>
          <t>—</t>
        </is>
      </c>
      <c r="K57" s="93" t="inlineStr">
        <is>
          <t>agent_conversation</t>
        </is>
      </c>
      <c r="L57" s="92" t="inlineStr">
        <is>
          <t>ESCALATED</t>
        </is>
      </c>
      <c r="M57" s="92" t="n">
        <v>84</v>
      </c>
      <c r="N57" s="92" t="n">
        <v>375</v>
      </c>
      <c r="O57" s="93" t="inlineStr">
        <is>
          <t>Escalated or handed off correctly</t>
        </is>
      </c>
      <c r="P57" s="92" t="inlineStr">
        <is>
          <t>present|CHOICE</t>
        </is>
      </c>
      <c r="Q57" s="93" t="inlineStr">
        <is>
          <t>process_breakdown|HIGH|Operations; billing_defect|HIGH|Operations / Finance</t>
        </is>
      </c>
      <c r="R57" s="93" t="inlineStr">
        <is>
          <t>triggered true|authority_limit|requested_by_caller false|handled true</t>
        </is>
      </c>
      <c r="S57" s="93" t="inlineStr"/>
      <c r="T57" s="93" t="inlineStr"/>
      <c r="U57" s="92" t="inlineStr"/>
      <c r="V57" s="93" t="inlineStr">
        <is>
          <t>present|call notes without a case number produce phantom callbacks|agent_conversation|AGENT|UNVALIDATED</t>
        </is>
      </c>
      <c r="W57" s="92" t="inlineStr"/>
      <c r="X57" s="93" t="inlineStr">
        <is>
          <t>C-0010 | 09 Jul | closed unresolved</t>
        </is>
      </c>
    </row>
    <row r="58" ht="30" customHeight="1" s="48">
      <c r="A58" s="94" t="inlineStr">
        <is>
          <t>C-0054</t>
        </is>
      </c>
      <c r="B58" s="94" t="inlineStr">
        <is>
          <t>Tue 18 Aug 2026 10:20</t>
        </is>
      </c>
      <c r="C58" s="94" t="inlineStr">
        <is>
          <t>B1</t>
        </is>
      </c>
      <c r="D58" s="94" t="inlineStr">
        <is>
          <t>EMPLOYER</t>
        </is>
      </c>
      <c r="E58" s="94" t="inlineStr">
        <is>
          <t>CON-133</t>
        </is>
      </c>
      <c r="F58" s="94" t="inlineStr">
        <is>
          <t>Omar Fontaine</t>
        </is>
      </c>
      <c r="G58" s="95" t="inlineStr">
        <is>
          <t>AGT-05|Adaeze Nwosu</t>
        </is>
      </c>
      <c r="H58" s="94" t="inlineStr">
        <is>
          <t>Enrollment &amp; ID Cards</t>
        </is>
      </c>
      <c r="I58" s="94" t="inlineStr">
        <is>
          <t>program</t>
        </is>
      </c>
      <c r="J58" s="95" t="inlineStr">
        <is>
          <t>A-12, A-14</t>
        </is>
      </c>
      <c r="K58" s="95" t="inlineStr">
        <is>
          <t>employer_portal</t>
        </is>
      </c>
      <c r="L58" s="94" t="inlineStr">
        <is>
          <t>RESOLVED</t>
        </is>
      </c>
      <c r="M58" s="94" t="n">
        <v>86</v>
      </c>
      <c r="N58" s="94" t="n">
        <v>580</v>
      </c>
      <c r="O58" s="95" t="inlineStr">
        <is>
          <t>Competent and resolved</t>
        </is>
      </c>
      <c r="P58" s="94" t="inlineStr">
        <is>
          <t>present|CHOICE</t>
        </is>
      </c>
      <c r="Q58" s="95" t="inlineStr">
        <is>
          <t>process_breakdown|HIGH|Operations</t>
        </is>
      </c>
      <c r="R58" s="95" t="inlineStr">
        <is>
          <t>triggered false</t>
        </is>
      </c>
      <c r="S58" s="95" t="inlineStr"/>
      <c r="T58" s="95" t="inlineStr"/>
      <c r="U58" s="94" t="inlineStr"/>
      <c r="V58" s="95" t="inlineStr">
        <is>
          <t>present|portal should return applied/not-applied status, not just submitted|employer_portal|AGENT|UNVALIDATED</t>
        </is>
      </c>
      <c r="W58" s="94" t="inlineStr"/>
      <c r="X58" s="95" t="inlineStr">
        <is>
          <t>C-0030 | 24 Jul | closed unresolved</t>
        </is>
      </c>
    </row>
    <row r="59" ht="30" customHeight="1" s="48">
      <c r="A59" s="92" t="inlineStr">
        <is>
          <t>C-0055</t>
        </is>
      </c>
      <c r="B59" s="92" t="inlineStr">
        <is>
          <t>Tue 18 Aug 2026 15:10</t>
        </is>
      </c>
      <c r="C59" s="92" t="inlineStr">
        <is>
          <t>B1</t>
        </is>
      </c>
      <c r="D59" s="92" t="inlineStr">
        <is>
          <t>MEMBER</t>
        </is>
      </c>
      <c r="E59" s="92" t="inlineStr">
        <is>
          <t>CB-7700149</t>
        </is>
      </c>
      <c r="F59" s="92" t="inlineStr">
        <is>
          <t>Terrence Bell</t>
        </is>
      </c>
      <c r="G59" s="93" t="inlineStr">
        <is>
          <t>AGT-14|Brad Nolan</t>
        </is>
      </c>
      <c r="H59" s="92" t="inlineStr">
        <is>
          <t>Provider Network</t>
        </is>
      </c>
      <c r="I59" s="92" t="inlineStr">
        <is>
          <t>vision</t>
        </is>
      </c>
      <c r="J59" s="93" t="inlineStr">
        <is>
          <t>—</t>
        </is>
      </c>
      <c r="K59" s="93" t="inlineStr">
        <is>
          <t>agent_conversation</t>
        </is>
      </c>
      <c r="L59" s="92" t="inlineStr">
        <is>
          <t>UNRESOLVED</t>
        </is>
      </c>
      <c r="M59" s="92" t="n">
        <v>43</v>
      </c>
      <c r="N59" s="92" t="n">
        <v>245</v>
      </c>
      <c r="O59" s="93" t="inlineStr">
        <is>
          <t>Brush-off</t>
        </is>
      </c>
      <c r="P59" s="92" t="inlineStr">
        <is>
          <t>present|CHOICE</t>
        </is>
      </c>
      <c r="Q59" s="93" t="inlineStr">
        <is>
          <t>compliance_disclosure_missing|HIGH|Compliance</t>
        </is>
      </c>
      <c r="R59" s="93" t="inlineStr">
        <is>
          <t>triggered false</t>
        </is>
      </c>
      <c r="S59" s="93" t="inlineStr">
        <is>
          <t>no_recording_disclosure</t>
        </is>
      </c>
      <c r="T59" s="93" t="inlineStr"/>
      <c r="U59" s="92" t="inlineStr"/>
      <c r="V59" s="93" t="inlineStr"/>
      <c r="W59" s="92" t="inlineStr"/>
      <c r="X59" s="93" t="inlineStr"/>
    </row>
    <row r="60" ht="30" customHeight="1" s="48">
      <c r="A60" s="94" t="inlineStr">
        <is>
          <t>C-0056</t>
        </is>
      </c>
      <c r="B60" s="94" t="inlineStr">
        <is>
          <t>Wed 19 Aug 2026 09:30</t>
        </is>
      </c>
      <c r="C60" s="94" t="inlineStr">
        <is>
          <t>B1</t>
        </is>
      </c>
      <c r="D60" s="94" t="inlineStr">
        <is>
          <t>EMPLOYER</t>
        </is>
      </c>
      <c r="E60" s="94" t="inlineStr">
        <is>
          <t>CON-172</t>
        </is>
      </c>
      <c r="F60" s="94" t="inlineStr">
        <is>
          <t>Bethany Delgado</t>
        </is>
      </c>
      <c r="G60" s="95" t="inlineStr">
        <is>
          <t>AGT-03|Danielle Park</t>
        </is>
      </c>
      <c r="H60" s="94" t="inlineStr">
        <is>
          <t>Billing &amp; Premium</t>
        </is>
      </c>
      <c r="I60" s="94" t="inlineStr">
        <is>
          <t>program</t>
        </is>
      </c>
      <c r="J60" s="95" t="inlineStr">
        <is>
          <t>P-18, P-36</t>
        </is>
      </c>
      <c r="K60" s="95" t="inlineStr">
        <is>
          <t>renewal_pack</t>
        </is>
      </c>
      <c r="L60" s="94" t="inlineStr">
        <is>
          <t>PARTIALLY RESOLVED</t>
        </is>
      </c>
      <c r="M60" s="94" t="n">
        <v>81</v>
      </c>
      <c r="N60" s="94" t="n">
        <v>500</v>
      </c>
      <c r="O60" s="95" t="inlineStr">
        <is>
          <t>Competent but constrained</t>
        </is>
      </c>
      <c r="P60" s="94" t="inlineStr">
        <is>
          <t>absent</t>
        </is>
      </c>
      <c r="Q60" s="95" t="inlineStr">
        <is>
          <t>retention_risk|CRITICAL|Account Management</t>
        </is>
      </c>
      <c r="R60" s="95" t="inlineStr">
        <is>
          <t>triggered false</t>
        </is>
      </c>
      <c r="S60" s="95" t="inlineStr"/>
      <c r="T60" s="95" t="inlineStr"/>
      <c r="U60" s="94" t="inlineStr">
        <is>
          <t>market_test|verbatim, turn 16</t>
        </is>
      </c>
      <c r="V60" s="95" t="inlineStr"/>
      <c r="W60" s="94" t="inlineStr"/>
      <c r="X60" s="95" t="inlineStr"/>
    </row>
    <row r="61" ht="30" customHeight="1" s="48">
      <c r="A61" s="92" t="inlineStr">
        <is>
          <t>C-0057</t>
        </is>
      </c>
      <c r="B61" s="92" t="inlineStr">
        <is>
          <t>Wed 19 Aug 2026 14:00</t>
        </is>
      </c>
      <c r="C61" s="92" t="inlineStr">
        <is>
          <t>B1</t>
        </is>
      </c>
      <c r="D61" s="92" t="inlineStr">
        <is>
          <t>MEMBER</t>
        </is>
      </c>
      <c r="E61" s="92" t="inlineStr">
        <is>
          <t>CB-7700166</t>
        </is>
      </c>
      <c r="F61" s="92" t="inlineStr">
        <is>
          <t>Quill Nkemdi</t>
        </is>
      </c>
      <c r="G61" s="93" t="inlineStr">
        <is>
          <t>AGT-12|Hugo Marchetti</t>
        </is>
      </c>
      <c r="H61" s="92" t="inlineStr">
        <is>
          <t>Coverage &amp; Benefits</t>
        </is>
      </c>
      <c r="I61" s="92" t="inlineStr">
        <is>
          <t>chiro</t>
        </is>
      </c>
      <c r="J61" s="93" t="inlineStr">
        <is>
          <t>C-32</t>
        </is>
      </c>
      <c r="K61" s="93" t="inlineStr">
        <is>
          <t>denial_letter_eob</t>
        </is>
      </c>
      <c r="L61" s="92" t="inlineStr">
        <is>
          <t>RESOLVED</t>
        </is>
      </c>
      <c r="M61" s="92" t="n">
        <v>80</v>
      </c>
      <c r="N61" s="92" t="n">
        <v>335</v>
      </c>
      <c r="O61" s="93" t="inlineStr">
        <is>
          <t>Competent and resolved</t>
        </is>
      </c>
      <c r="P61" s="92" t="inlineStr">
        <is>
          <t>absent</t>
        </is>
      </c>
      <c r="Q61" s="93" t="inlineStr"/>
      <c r="R61" s="93" t="inlineStr">
        <is>
          <t>triggered false</t>
        </is>
      </c>
      <c r="S61" s="93" t="inlineStr"/>
      <c r="T61" s="93" t="inlineStr"/>
      <c r="U61" s="92" t="inlineStr"/>
      <c r="V61" s="93" t="inlineStr"/>
      <c r="W61" s="92" t="inlineStr"/>
      <c r="X61" s="93" t="inlineStr"/>
    </row>
    <row r="62" ht="30" customHeight="1" s="48">
      <c r="A62" s="94" t="inlineStr">
        <is>
          <t>C-0058</t>
        </is>
      </c>
      <c r="B62" s="94" t="inlineStr">
        <is>
          <t>Thu 20 Aug 2026 10:40</t>
        </is>
      </c>
      <c r="C62" s="94" t="inlineStr">
        <is>
          <t>B1</t>
        </is>
      </c>
      <c r="D62" s="94" t="inlineStr">
        <is>
          <t>MEMBER</t>
        </is>
      </c>
      <c r="E62" s="94" t="inlineStr">
        <is>
          <t>CB-7700035</t>
        </is>
      </c>
      <c r="F62" s="94" t="inlineStr">
        <is>
          <t>Ewan Haverford</t>
        </is>
      </c>
      <c r="G62" s="95" t="inlineStr">
        <is>
          <t>AGT-06|Michael Osei</t>
        </is>
      </c>
      <c r="H62" s="94" t="inlineStr">
        <is>
          <t>Coverage &amp; Benefits</t>
        </is>
      </c>
      <c r="I62" s="94" t="inlineStr">
        <is>
          <t>vision</t>
        </is>
      </c>
      <c r="J62" s="95" t="inlineStr">
        <is>
          <t>C-22, C-23</t>
        </is>
      </c>
      <c r="K62" s="95" t="inlineStr">
        <is>
          <t>agent_conversation</t>
        </is>
      </c>
      <c r="L62" s="94" t="inlineStr">
        <is>
          <t>RESOLVED</t>
        </is>
      </c>
      <c r="M62" s="94" t="n">
        <v>82</v>
      </c>
      <c r="N62" s="94" t="n">
        <v>405</v>
      </c>
      <c r="O62" s="95" t="inlineStr">
        <is>
          <t>Competent and resolved</t>
        </is>
      </c>
      <c r="P62" s="94" t="inlineStr">
        <is>
          <t>absent</t>
        </is>
      </c>
      <c r="Q62" s="95" t="inlineStr">
        <is>
          <t>knowledge_error|MEDIUM|Knowledge Management</t>
        </is>
      </c>
      <c r="R62" s="95" t="inlineStr">
        <is>
          <t>triggered false</t>
        </is>
      </c>
      <c r="S62" s="95" t="inlineStr"/>
      <c r="T62" s="95" t="inlineStr"/>
      <c r="U62" s="94" t="inlineStr"/>
      <c r="V62" s="95" t="inlineStr"/>
      <c r="W62" s="94" t="inlineStr"/>
      <c r="X62" s="95" t="inlineStr">
        <is>
          <t>C-0005 | 07 Jul | closed unresolved</t>
        </is>
      </c>
    </row>
    <row r="63" ht="30" customHeight="1" s="48">
      <c r="A63" s="92" t="inlineStr">
        <is>
          <t>C-0059</t>
        </is>
      </c>
      <c r="B63" s="92" t="inlineStr">
        <is>
          <t>Thu 20 Aug 2026 15:25</t>
        </is>
      </c>
      <c r="C63" s="92" t="inlineStr">
        <is>
          <t>B1</t>
        </is>
      </c>
      <c r="D63" s="92" t="inlineStr">
        <is>
          <t>EMPLOYER</t>
        </is>
      </c>
      <c r="E63" s="92" t="inlineStr">
        <is>
          <t>CON-173</t>
        </is>
      </c>
      <c r="F63" s="92" t="inlineStr">
        <is>
          <t>Terrence Thibault</t>
        </is>
      </c>
      <c r="G63" s="93" t="inlineStr">
        <is>
          <t>AGT-07|Linda Braithwaite</t>
        </is>
      </c>
      <c r="H63" s="92" t="inlineStr">
        <is>
          <t>Billing &amp; Premium</t>
        </is>
      </c>
      <c r="I63" s="92" t="inlineStr">
        <is>
          <t>program</t>
        </is>
      </c>
      <c r="J63" s="93" t="inlineStr">
        <is>
          <t>A-22, A-23</t>
        </is>
      </c>
      <c r="K63" s="93" t="inlineStr">
        <is>
          <t>renewal_pack</t>
        </is>
      </c>
      <c r="L63" s="92" t="inlineStr">
        <is>
          <t>RESOLVED</t>
        </is>
      </c>
      <c r="M63" s="92" t="n">
        <v>84</v>
      </c>
      <c r="N63" s="92" t="n">
        <v>470</v>
      </c>
      <c r="O63" s="93" t="inlineStr">
        <is>
          <t>Competent and resolved</t>
        </is>
      </c>
      <c r="P63" s="92" t="inlineStr">
        <is>
          <t>absent</t>
        </is>
      </c>
      <c r="Q63" s="93" t="inlineStr"/>
      <c r="R63" s="93" t="inlineStr">
        <is>
          <t>triggered false</t>
        </is>
      </c>
      <c r="S63" s="93" t="inlineStr"/>
      <c r="T63" s="93" t="inlineStr"/>
      <c r="U63" s="92" t="inlineStr"/>
      <c r="V63" s="93" t="inlineStr"/>
      <c r="W63" s="92" t="inlineStr"/>
      <c r="X63" s="93" t="inlineStr"/>
    </row>
    <row r="64" ht="30" customHeight="1" s="48">
      <c r="A64" s="94" t="inlineStr">
        <is>
          <t>C-0060</t>
        </is>
      </c>
      <c r="B64" s="94" t="inlineStr">
        <is>
          <t>Fri 21 Aug 2026 09:15</t>
        </is>
      </c>
      <c r="C64" s="94" t="inlineStr">
        <is>
          <t>B1</t>
        </is>
      </c>
      <c r="D64" s="94" t="inlineStr">
        <is>
          <t>MEMBER</t>
        </is>
      </c>
      <c r="E64" s="94" t="inlineStr">
        <is>
          <t>CB-7700258</t>
        </is>
      </c>
      <c r="F64" s="94" t="inlineStr">
        <is>
          <t>Nadira Dragomir</t>
        </is>
      </c>
      <c r="G64" s="95" t="inlineStr">
        <is>
          <t>AGT-13|Kayla Brennan</t>
        </is>
      </c>
      <c r="H64" s="94" t="inlineStr">
        <is>
          <t>Coverage &amp; Benefits</t>
        </is>
      </c>
      <c r="I64" s="94" t="inlineStr">
        <is>
          <t>dental</t>
        </is>
      </c>
      <c r="J64" s="95" t="inlineStr">
        <is>
          <t>—</t>
        </is>
      </c>
      <c r="K64" s="95" t="inlineStr">
        <is>
          <t>—</t>
        </is>
      </c>
      <c r="L64" s="94" t="inlineStr">
        <is>
          <t>RESOLVED</t>
        </is>
      </c>
      <c r="M64" s="94" t="n">
        <v>67</v>
      </c>
      <c r="N64" s="94" t="n">
        <v>265</v>
      </c>
      <c r="O64" s="95" t="inlineStr">
        <is>
          <t>Competent and resolved</t>
        </is>
      </c>
      <c r="P64" s="94" t="inlineStr">
        <is>
          <t>absent</t>
        </is>
      </c>
      <c r="Q64" s="95" t="inlineStr"/>
      <c r="R64" s="95" t="inlineStr">
        <is>
          <t>triggered false</t>
        </is>
      </c>
      <c r="S64" s="95" t="inlineStr"/>
      <c r="T64" s="95" t="inlineStr"/>
      <c r="U64" s="94" t="inlineStr"/>
      <c r="V64" s="95" t="inlineStr"/>
      <c r="W64" s="94" t="inlineStr"/>
      <c r="X64" s="95" t="inlineStr"/>
    </row>
    <row r="65" ht="30" customHeight="1" s="48">
      <c r="A65" s="92" t="inlineStr">
        <is>
          <t>C-0061</t>
        </is>
      </c>
      <c r="B65" s="92" t="inlineStr">
        <is>
          <t>Fri 21 Aug 2026 13:50</t>
        </is>
      </c>
      <c r="C65" s="92" t="inlineStr">
        <is>
          <t>B1</t>
        </is>
      </c>
      <c r="D65" s="92" t="inlineStr">
        <is>
          <t>EMPLOYER</t>
        </is>
      </c>
      <c r="E65" s="92" t="inlineStr">
        <is>
          <t>CON-131</t>
        </is>
      </c>
      <c r="F65" s="92" t="inlineStr">
        <is>
          <t>Caius Villalobos</t>
        </is>
      </c>
      <c r="G65" s="93" t="inlineStr">
        <is>
          <t>AGT-10|Tony Ferraro</t>
        </is>
      </c>
      <c r="H65" s="92" t="inlineStr">
        <is>
          <t>Billing &amp; Premium</t>
        </is>
      </c>
      <c r="I65" s="92" t="inlineStr">
        <is>
          <t>program</t>
        </is>
      </c>
      <c r="J65" s="93" t="inlineStr">
        <is>
          <t>A-27, A-28</t>
        </is>
      </c>
      <c r="K65" s="93" t="inlineStr">
        <is>
          <t>invoice_statement</t>
        </is>
      </c>
      <c r="L65" s="92" t="inlineStr">
        <is>
          <t>PARTIALLY RESOLVED</t>
        </is>
      </c>
      <c r="M65" s="92" t="n">
        <v>72</v>
      </c>
      <c r="N65" s="92" t="n">
        <v>665</v>
      </c>
      <c r="O65" s="93" t="inlineStr">
        <is>
          <t>Competent but constrained</t>
        </is>
      </c>
      <c r="P65" s="92" t="inlineStr">
        <is>
          <t>present|CHOICE</t>
        </is>
      </c>
      <c r="Q65" s="93" t="inlineStr">
        <is>
          <t>process_breakdown|HIGH|Operations</t>
        </is>
      </c>
      <c r="R65" s="93" t="inlineStr">
        <is>
          <t>triggered false</t>
        </is>
      </c>
      <c r="S65" s="93" t="inlineStr"/>
      <c r="T65" s="93" t="inlineStr"/>
      <c r="U65" s="92" t="inlineStr"/>
      <c r="V65" s="93" t="inlineStr"/>
      <c r="W65" s="92" t="inlineStr"/>
      <c r="X65" s="93" t="inlineStr">
        <is>
          <t>C-0013 | 13 Jul | closed unresolved</t>
        </is>
      </c>
    </row>
    <row r="66" ht="30" customHeight="1" s="48">
      <c r="A66" s="94" t="inlineStr">
        <is>
          <t>C-0062</t>
        </is>
      </c>
      <c r="B66" s="94" t="inlineStr">
        <is>
          <t>Mon 24 Aug 2026 08:45</t>
        </is>
      </c>
      <c r="C66" s="94" t="inlineStr">
        <is>
          <t>B1</t>
        </is>
      </c>
      <c r="D66" s="94" t="inlineStr">
        <is>
          <t>MEMBER</t>
        </is>
      </c>
      <c r="E66" s="94" t="inlineStr">
        <is>
          <t>CB-7700155</t>
        </is>
      </c>
      <c r="F66" s="94" t="inlineStr">
        <is>
          <t>Duncan Cruz</t>
        </is>
      </c>
      <c r="G66" s="95" t="inlineStr">
        <is>
          <t>AGT-11|Grace Adeyemi</t>
        </is>
      </c>
      <c r="H66" s="94" t="inlineStr">
        <is>
          <t>Life &amp; Beneficiary</t>
        </is>
      </c>
      <c r="I66" s="94" t="inlineStr">
        <is>
          <t>life</t>
        </is>
      </c>
      <c r="J66" s="95" t="inlineStr">
        <is>
          <t>C-36</t>
        </is>
      </c>
      <c r="K66" s="95" t="inlineStr">
        <is>
          <t>agent_conversation</t>
        </is>
      </c>
      <c r="L66" s="94" t="inlineStr">
        <is>
          <t>RESOLVED</t>
        </is>
      </c>
      <c r="M66" s="94" t="n">
        <v>81</v>
      </c>
      <c r="N66" s="94" t="n">
        <v>355</v>
      </c>
      <c r="O66" s="95" t="inlineStr">
        <is>
          <t>Competent and resolved</t>
        </is>
      </c>
      <c r="P66" s="94" t="inlineStr">
        <is>
          <t>absent</t>
        </is>
      </c>
      <c r="Q66" s="95" t="inlineStr"/>
      <c r="R66" s="95" t="inlineStr">
        <is>
          <t>triggered false</t>
        </is>
      </c>
      <c r="S66" s="95" t="inlineStr"/>
      <c r="T66" s="95" t="inlineStr"/>
      <c r="U66" s="94" t="inlineStr"/>
      <c r="V66" s="95" t="inlineStr"/>
      <c r="W66" s="94" t="inlineStr"/>
      <c r="X66" s="95" t="inlineStr"/>
    </row>
    <row r="67" ht="30" customHeight="1" s="48">
      <c r="A67" s="92" t="inlineStr">
        <is>
          <t>C-0063</t>
        </is>
      </c>
      <c r="B67" s="92" t="inlineStr">
        <is>
          <t>Mon 24 Aug 2026 12:30</t>
        </is>
      </c>
      <c r="C67" s="92" t="inlineStr">
        <is>
          <t>B1</t>
        </is>
      </c>
      <c r="D67" s="92" t="inlineStr">
        <is>
          <t>MEMBER</t>
        </is>
      </c>
      <c r="E67" s="92" t="inlineStr">
        <is>
          <t>CB-7700259</t>
        </is>
      </c>
      <c r="F67" s="92" t="inlineStr">
        <is>
          <t>Denise Reyes</t>
        </is>
      </c>
      <c r="G67" s="93" t="inlineStr">
        <is>
          <t>AGT-19|Farrah Bhatti</t>
        </is>
      </c>
      <c r="H67" s="92" t="inlineStr">
        <is>
          <t>Claims &amp; EOB</t>
        </is>
      </c>
      <c r="I67" s="92" t="inlineStr">
        <is>
          <t>dental</t>
        </is>
      </c>
      <c r="J67" s="93" t="inlineStr">
        <is>
          <t>—</t>
        </is>
      </c>
      <c r="K67" s="93" t="inlineStr">
        <is>
          <t>—</t>
        </is>
      </c>
      <c r="L67" s="92" t="inlineStr">
        <is>
          <t>RESOLVED</t>
        </is>
      </c>
      <c r="M67" s="92" t="n">
        <v>63</v>
      </c>
      <c r="N67" s="92" t="n">
        <v>370</v>
      </c>
      <c r="O67" s="93" t="inlineStr">
        <is>
          <t>Competent and resolved</t>
        </is>
      </c>
      <c r="P67" s="92" t="inlineStr">
        <is>
          <t>absent</t>
        </is>
      </c>
      <c r="Q67" s="93" t="inlineStr">
        <is>
          <t>verification_failure|CRITICAL|Compliance</t>
        </is>
      </c>
      <c r="R67" s="93" t="inlineStr">
        <is>
          <t>triggered false</t>
        </is>
      </c>
      <c r="S67" s="93" t="inlineStr">
        <is>
          <t>disclosure_before_verification</t>
        </is>
      </c>
      <c r="T67" s="93" t="inlineStr"/>
      <c r="U67" s="92" t="inlineStr"/>
      <c r="V67" s="93" t="inlineStr"/>
      <c r="W67" s="92" t="inlineStr"/>
      <c r="X67" s="93" t="inlineStr"/>
    </row>
    <row r="68" ht="30" customHeight="1" s="48">
      <c r="A68" s="94" t="inlineStr">
        <is>
          <t>C-0064</t>
        </is>
      </c>
      <c r="B68" s="94" t="inlineStr">
        <is>
          <t>Tue 25 Aug 2026 10:10</t>
        </is>
      </c>
      <c r="C68" s="94" t="inlineStr">
        <is>
          <t>B1</t>
        </is>
      </c>
      <c r="D68" s="94" t="inlineStr">
        <is>
          <t>EMPLOYER</t>
        </is>
      </c>
      <c r="E68" s="94" t="inlineStr">
        <is>
          <t>CON-111</t>
        </is>
      </c>
      <c r="F68" s="94" t="inlineStr">
        <is>
          <t>Sunil Baptiste</t>
        </is>
      </c>
      <c r="G68" s="95" t="inlineStr">
        <is>
          <t>AGT-02|Carlos Mendez</t>
        </is>
      </c>
      <c r="H68" s="94" t="inlineStr">
        <is>
          <t>Broker Conduct</t>
        </is>
      </c>
      <c r="I68" s="94" t="inlineStr">
        <is>
          <t>dental</t>
        </is>
      </c>
      <c r="J68" s="95" t="inlineStr">
        <is>
          <t>P-23</t>
        </is>
      </c>
      <c r="K68" s="95" t="inlineStr">
        <is>
          <t>enrolment_meeting</t>
        </is>
      </c>
      <c r="L68" s="94" t="inlineStr">
        <is>
          <t>RESOLVED</t>
        </is>
      </c>
      <c r="M68" s="94" t="n">
        <v>87</v>
      </c>
      <c r="N68" s="94" t="n">
        <v>525</v>
      </c>
      <c r="O68" s="95" t="inlineStr">
        <is>
          <t>Competent and resolved</t>
        </is>
      </c>
      <c r="P68" s="94" t="inlineStr">
        <is>
          <t>present|BROKER</t>
        </is>
      </c>
      <c r="Q68" s="95" t="inlineStr">
        <is>
          <t>broker_conduct_adverse|HIGH|Broker Relations</t>
        </is>
      </c>
      <c r="R68" s="95" t="inlineStr">
        <is>
          <t>triggered false</t>
        </is>
      </c>
      <c r="S68" s="95" t="inlineStr"/>
      <c r="T68" s="95" t="inlineStr">
        <is>
          <t>present|P-23|voluntary dental minimums are headcount-based, not a percentage</t>
        </is>
      </c>
      <c r="U68" s="94" t="inlineStr"/>
      <c r="V68" s="95" t="inlineStr"/>
      <c r="W68" s="94" t="inlineStr">
        <is>
          <t>present|BRK-03|ADVERSE</t>
        </is>
      </c>
      <c r="X68" s="95" t="inlineStr"/>
    </row>
    <row r="69" ht="30" customHeight="1" s="48">
      <c r="A69" s="92" t="inlineStr">
        <is>
          <t>C-0065</t>
        </is>
      </c>
      <c r="B69" s="92" t="inlineStr">
        <is>
          <t>Tue 25 Aug 2026 14:40</t>
        </is>
      </c>
      <c r="C69" s="92" t="inlineStr">
        <is>
          <t>B1</t>
        </is>
      </c>
      <c r="D69" s="92" t="inlineStr">
        <is>
          <t>MEMBER</t>
        </is>
      </c>
      <c r="E69" s="92" t="inlineStr">
        <is>
          <t>CB-7700260</t>
        </is>
      </c>
      <c r="F69" s="92" t="inlineStr">
        <is>
          <t>Steven Villalobos</t>
        </is>
      </c>
      <c r="G69" s="93" t="inlineStr">
        <is>
          <t>AGT-20|Otto Lindgren</t>
        </is>
      </c>
      <c r="H69" s="92" t="inlineStr">
        <is>
          <t>Coverage &amp; Benefits</t>
        </is>
      </c>
      <c r="I69" s="92" t="inlineStr">
        <is>
          <t>dental</t>
        </is>
      </c>
      <c r="J69" s="93" t="inlineStr">
        <is>
          <t>—</t>
        </is>
      </c>
      <c r="K69" s="93" t="inlineStr">
        <is>
          <t>agent_conversation</t>
        </is>
      </c>
      <c r="L69" s="92" t="inlineStr">
        <is>
          <t>UNRESOLVED</t>
        </is>
      </c>
      <c r="M69" s="92" t="n">
        <v>49</v>
      </c>
      <c r="N69" s="92" t="n">
        <v>295</v>
      </c>
      <c r="O69" s="93" t="inlineStr">
        <is>
          <t>Brush-off</t>
        </is>
      </c>
      <c r="P69" s="92" t="inlineStr">
        <is>
          <t>present|CHOICE</t>
        </is>
      </c>
      <c r="Q69" s="93" t="inlineStr"/>
      <c r="R69" s="93" t="inlineStr">
        <is>
          <t>triggered false</t>
        </is>
      </c>
      <c r="S69" s="93" t="inlineStr"/>
      <c r="T69" s="93" t="inlineStr"/>
      <c r="U69" s="92" t="inlineStr"/>
      <c r="V69" s="93" t="inlineStr"/>
      <c r="W69" s="92" t="inlineStr"/>
      <c r="X69" s="93" t="inlineStr"/>
    </row>
    <row r="70" ht="30" customHeight="1" s="48">
      <c r="A70" s="94" t="inlineStr">
        <is>
          <t>C-0066</t>
        </is>
      </c>
      <c r="B70" s="94" t="inlineStr">
        <is>
          <t>Wed 26 Aug 2026 09:25</t>
        </is>
      </c>
      <c r="C70" s="94" t="inlineStr">
        <is>
          <t>B1</t>
        </is>
      </c>
      <c r="D70" s="94" t="inlineStr">
        <is>
          <t>EMPLOYER</t>
        </is>
      </c>
      <c r="E70" s="94" t="inlineStr">
        <is>
          <t>CON-177</t>
        </is>
      </c>
      <c r="F70" s="94" t="inlineStr">
        <is>
          <t>Uma Nasser</t>
        </is>
      </c>
      <c r="G70" s="95" t="inlineStr">
        <is>
          <t>AGT-04|Priya Anand</t>
        </is>
      </c>
      <c r="H70" s="94" t="inlineStr">
        <is>
          <t>Enrollment &amp; ID Cards</t>
        </is>
      </c>
      <c r="I70" s="94" t="inlineStr">
        <is>
          <t>program</t>
        </is>
      </c>
      <c r="J70" s="95" t="inlineStr">
        <is>
          <t>A-32</t>
        </is>
      </c>
      <c r="K70" s="95" t="inlineStr">
        <is>
          <t>renewal_pack</t>
        </is>
      </c>
      <c r="L70" s="94" t="inlineStr">
        <is>
          <t>RESOLVED</t>
        </is>
      </c>
      <c r="M70" s="94" t="n">
        <v>85</v>
      </c>
      <c r="N70" s="94" t="n">
        <v>440</v>
      </c>
      <c r="O70" s="95" t="inlineStr">
        <is>
          <t>Competent and resolved</t>
        </is>
      </c>
      <c r="P70" s="94" t="inlineStr">
        <is>
          <t>absent</t>
        </is>
      </c>
      <c r="Q70" s="95" t="inlineStr"/>
      <c r="R70" s="95" t="inlineStr">
        <is>
          <t>triggered false</t>
        </is>
      </c>
      <c r="S70" s="95" t="inlineStr"/>
      <c r="T70" s="95" t="inlineStr"/>
      <c r="U70" s="94" t="inlineStr">
        <is>
          <t>expansion|verbatim, turn 14</t>
        </is>
      </c>
      <c r="V70" s="95" t="inlineStr"/>
      <c r="W70" s="94" t="inlineStr"/>
      <c r="X70" s="95" t="inlineStr"/>
    </row>
    <row r="71" ht="30" customHeight="1" s="48">
      <c r="A71" s="92" t="inlineStr">
        <is>
          <t>C-0067</t>
        </is>
      </c>
      <c r="B71" s="92" t="inlineStr">
        <is>
          <t>Wed 26 Aug 2026 15:30</t>
        </is>
      </c>
      <c r="C71" s="92" t="inlineStr">
        <is>
          <t>B1</t>
        </is>
      </c>
      <c r="D71" s="92" t="inlineStr">
        <is>
          <t>MEMBER</t>
        </is>
      </c>
      <c r="E71" s="92" t="inlineStr">
        <is>
          <t>CB-7700202</t>
        </is>
      </c>
      <c r="F71" s="92" t="inlineStr">
        <is>
          <t>Jolene Hobbs</t>
        </is>
      </c>
      <c r="G71" s="93" t="inlineStr">
        <is>
          <t>AGT-15|Tiffany Rowe</t>
        </is>
      </c>
      <c r="H71" s="92" t="inlineStr">
        <is>
          <t>Coverage &amp; Benefits</t>
        </is>
      </c>
      <c r="I71" s="92" t="inlineStr">
        <is>
          <t>dental</t>
        </is>
      </c>
      <c r="J71" s="93" t="inlineStr">
        <is>
          <t>C-12</t>
        </is>
      </c>
      <c r="K71" s="93" t="inlineStr">
        <is>
          <t>agent_conversation</t>
        </is>
      </c>
      <c r="L71" s="92" t="inlineStr">
        <is>
          <t>RESOLVED</t>
        </is>
      </c>
      <c r="M71" s="92" t="n">
        <v>59</v>
      </c>
      <c r="N71" s="92" t="n">
        <v>310</v>
      </c>
      <c r="O71" s="93" t="inlineStr">
        <is>
          <t>Competent and resolved</t>
        </is>
      </c>
      <c r="P71" s="92" t="inlineStr">
        <is>
          <t>present|CHOICE</t>
        </is>
      </c>
      <c r="Q71" s="93" t="inlineStr">
        <is>
          <t>knowledge_error|MEDIUM|Knowledge Management</t>
        </is>
      </c>
      <c r="R71" s="93" t="inlineStr">
        <is>
          <t>triggered false</t>
        </is>
      </c>
      <c r="S71" s="93" t="inlineStr"/>
      <c r="T71" s="93" t="inlineStr">
        <is>
          <t>present|C-12|the major-service waiting period is waived for groups with comparable prior coverage</t>
        </is>
      </c>
      <c r="U71" s="92" t="inlineStr"/>
      <c r="V71" s="93" t="inlineStr"/>
      <c r="W71" s="92" t="inlineStr"/>
      <c r="X71" s="93" t="inlineStr"/>
    </row>
    <row r="72" ht="30" customHeight="1" s="48">
      <c r="A72" s="94" t="inlineStr">
        <is>
          <t>C-0068</t>
        </is>
      </c>
      <c r="B72" s="94" t="inlineStr">
        <is>
          <t>Thu 27 Aug 2026 10:55</t>
        </is>
      </c>
      <c r="C72" s="94" t="inlineStr">
        <is>
          <t>B1</t>
        </is>
      </c>
      <c r="D72" s="94" t="inlineStr">
        <is>
          <t>MEMBER</t>
        </is>
      </c>
      <c r="E72" s="94" t="inlineStr">
        <is>
          <t>CB-7700202</t>
        </is>
      </c>
      <c r="F72" s="94" t="inlineStr">
        <is>
          <t>Jolene Hobbs</t>
        </is>
      </c>
      <c r="G72" s="95" t="inlineStr">
        <is>
          <t>AGT-01|Sarah Whitlock</t>
        </is>
      </c>
      <c r="H72" s="94" t="inlineStr">
        <is>
          <t>Coverage &amp; Benefits</t>
        </is>
      </c>
      <c r="I72" s="94" t="inlineStr">
        <is>
          <t>dental</t>
        </is>
      </c>
      <c r="J72" s="95" t="inlineStr">
        <is>
          <t>C-12, P-29</t>
        </is>
      </c>
      <c r="K72" s="95" t="inlineStr">
        <is>
          <t>agent_conversation</t>
        </is>
      </c>
      <c r="L72" s="94" t="inlineStr">
        <is>
          <t>RESOLVED</t>
        </is>
      </c>
      <c r="M72" s="94" t="n">
        <v>90</v>
      </c>
      <c r="N72" s="94" t="n">
        <v>395</v>
      </c>
      <c r="O72" s="95" t="inlineStr">
        <is>
          <t>Competent and resolved</t>
        </is>
      </c>
      <c r="P72" s="94" t="inlineStr">
        <is>
          <t>present|CHOICE</t>
        </is>
      </c>
      <c r="Q72" s="95" t="inlineStr">
        <is>
          <t>knowledge_error|MEDIUM|Knowledge Management; member_communication_gap|MEDIUM|Member Communications</t>
        </is>
      </c>
      <c r="R72" s="95" t="inlineStr">
        <is>
          <t>triggered false</t>
        </is>
      </c>
      <c r="S72" s="95" t="inlineStr"/>
      <c r="T72" s="95" t="inlineStr"/>
      <c r="U72" s="94" t="inlineStr"/>
      <c r="V72" s="95" t="inlineStr">
        <is>
          <t>present|takeover credit is never mentioned at member level|enrolment_material|AGENT|UNVALIDATED</t>
        </is>
      </c>
      <c r="W72" s="94" t="inlineStr"/>
      <c r="X72" s="95" t="inlineStr">
        <is>
          <t>C-0067 | 26 Aug | closed resolved but incorrectly</t>
        </is>
      </c>
    </row>
    <row r="73" ht="30" customHeight="1" s="48">
      <c r="A73" s="92" t="inlineStr">
        <is>
          <t>C-0069</t>
        </is>
      </c>
      <c r="B73" s="92" t="inlineStr">
        <is>
          <t>Thu 27 Aug 2026 14:15</t>
        </is>
      </c>
      <c r="C73" s="92" t="inlineStr">
        <is>
          <t>B1</t>
        </is>
      </c>
      <c r="D73" s="92" t="inlineStr">
        <is>
          <t>EMPLOYER</t>
        </is>
      </c>
      <c r="E73" s="92" t="inlineStr">
        <is>
          <t>CON-115</t>
        </is>
      </c>
      <c r="F73" s="92" t="inlineStr">
        <is>
          <t>Dagny Yamamoto</t>
        </is>
      </c>
      <c r="G73" s="93" t="inlineStr">
        <is>
          <t>AGT-05|Adaeze Nwosu</t>
        </is>
      </c>
      <c r="H73" s="92" t="inlineStr">
        <is>
          <t>Broker Conduct</t>
        </is>
      </c>
      <c r="I73" s="92" t="inlineStr">
        <is>
          <t>program</t>
        </is>
      </c>
      <c r="J73" s="93" t="inlineStr">
        <is>
          <t>P-09, A-23</t>
        </is>
      </c>
      <c r="K73" s="93" t="inlineStr">
        <is>
          <t>broker_material</t>
        </is>
      </c>
      <c r="L73" s="92" t="inlineStr">
        <is>
          <t>ESCALATED</t>
        </is>
      </c>
      <c r="M73" s="92" t="n">
        <v>88</v>
      </c>
      <c r="N73" s="92" t="n">
        <v>565</v>
      </c>
      <c r="O73" s="93" t="inlineStr">
        <is>
          <t>Escalated or handed off correctly</t>
        </is>
      </c>
      <c r="P73" s="92" t="inlineStr">
        <is>
          <t>present|BROKER</t>
        </is>
      </c>
      <c r="Q73" s="93" t="inlineStr">
        <is>
          <t>broker_conduct_adverse|HIGH|Broker Relations; revenue_opportunity|LOW|Account Management</t>
        </is>
      </c>
      <c r="R73" s="93" t="inlineStr">
        <is>
          <t>triggered true|broker_conduct_adverse|requested_by_caller false|handled true</t>
        </is>
      </c>
      <c r="S73" s="93" t="inlineStr"/>
      <c r="T73" s="93" t="inlineStr"/>
      <c r="U73" s="92" t="inlineStr">
        <is>
          <t>expansion|verbatim, turn 8</t>
        </is>
      </c>
      <c r="V73" s="93" t="inlineStr"/>
      <c r="W73" s="92" t="inlineStr">
        <is>
          <t>present|BRK-01|ADVERSE</t>
        </is>
      </c>
      <c r="X73" s="93" t="inlineStr"/>
    </row>
    <row r="74" ht="30" customHeight="1" s="48">
      <c r="A74" s="94" t="inlineStr">
        <is>
          <t>C-0070</t>
        </is>
      </c>
      <c r="B74" s="94" t="inlineStr">
        <is>
          <t>Fri 28 Aug 2026 09:40</t>
        </is>
      </c>
      <c r="C74" s="94" t="inlineStr">
        <is>
          <t>B1</t>
        </is>
      </c>
      <c r="D74" s="94" t="inlineStr">
        <is>
          <t>MEMBER</t>
        </is>
      </c>
      <c r="E74" s="94" t="inlineStr">
        <is>
          <t>CB-7700161</t>
        </is>
      </c>
      <c r="F74" s="94" t="inlineStr">
        <is>
          <t>Sunil Quiroga</t>
        </is>
      </c>
      <c r="G74" s="95" t="inlineStr">
        <is>
          <t>AGT-13|Kayla Brennan</t>
        </is>
      </c>
      <c r="H74" s="94" t="inlineStr">
        <is>
          <t>Coverage &amp; Benefits</t>
        </is>
      </c>
      <c r="I74" s="94" t="inlineStr">
        <is>
          <t>vision</t>
        </is>
      </c>
      <c r="J74" s="95" t="inlineStr">
        <is>
          <t>—</t>
        </is>
      </c>
      <c r="K74" s="95" t="inlineStr">
        <is>
          <t>—</t>
        </is>
      </c>
      <c r="L74" s="94" t="inlineStr">
        <is>
          <t>RESOLVED</t>
        </is>
      </c>
      <c r="M74" s="94" t="n">
        <v>70</v>
      </c>
      <c r="N74" s="94" t="n">
        <v>255</v>
      </c>
      <c r="O74" s="95" t="inlineStr">
        <is>
          <t>Competent and resolved</t>
        </is>
      </c>
      <c r="P74" s="94" t="inlineStr">
        <is>
          <t>absent</t>
        </is>
      </c>
      <c r="Q74" s="95" t="inlineStr"/>
      <c r="R74" s="95" t="inlineStr">
        <is>
          <t>triggered false</t>
        </is>
      </c>
      <c r="S74" s="95" t="inlineStr"/>
      <c r="T74" s="95" t="inlineStr"/>
      <c r="U74" s="94" t="inlineStr"/>
      <c r="V74" s="95" t="inlineStr"/>
      <c r="W74" s="94" t="inlineStr"/>
      <c r="X74" s="95" t="inlineStr"/>
    </row>
    <row r="75" ht="30" customHeight="1" s="48">
      <c r="A75" s="92" t="inlineStr">
        <is>
          <t>C-0071</t>
        </is>
      </c>
      <c r="B75" s="92" t="inlineStr">
        <is>
          <t>Fri 28 Aug 2026 13:20</t>
        </is>
      </c>
      <c r="C75" s="92" t="inlineStr">
        <is>
          <t>B1</t>
        </is>
      </c>
      <c r="D75" s="92" t="inlineStr">
        <is>
          <t>MEMBER</t>
        </is>
      </c>
      <c r="E75" s="92" t="inlineStr">
        <is>
          <t>CB-7700262</t>
        </is>
      </c>
      <c r="F75" s="92" t="inlineStr">
        <is>
          <t>Vidal Demir</t>
        </is>
      </c>
      <c r="G75" s="93" t="inlineStr">
        <is>
          <t>AGT-08|Nicole Trang</t>
        </is>
      </c>
      <c r="H75" s="92" t="inlineStr">
        <is>
          <t>Claims &amp; EOB</t>
        </is>
      </c>
      <c r="I75" s="92" t="inlineStr">
        <is>
          <t>dental</t>
        </is>
      </c>
      <c r="J75" s="93" t="inlineStr">
        <is>
          <t>C-07</t>
        </is>
      </c>
      <c r="K75" s="93" t="inlineStr">
        <is>
          <t>denial_letter_eob</t>
        </is>
      </c>
      <c r="L75" s="92" t="inlineStr">
        <is>
          <t>PARTIALLY RESOLVED</t>
        </is>
      </c>
      <c r="M75" s="92" t="n">
        <v>74</v>
      </c>
      <c r="N75" s="92" t="n">
        <v>425</v>
      </c>
      <c r="O75" s="93" t="inlineStr">
        <is>
          <t>Competent but constrained</t>
        </is>
      </c>
      <c r="P75" s="92" t="inlineStr">
        <is>
          <t>present|PROVIDER</t>
        </is>
      </c>
      <c r="Q75" s="93" t="inlineStr"/>
      <c r="R75" s="93" t="inlineStr">
        <is>
          <t>triggered false</t>
        </is>
      </c>
      <c r="S75" s="93" t="inlineStr"/>
      <c r="T75" s="93" t="inlineStr"/>
      <c r="U75" s="92" t="inlineStr"/>
      <c r="V75" s="93" t="inlineStr"/>
      <c r="W75" s="92" t="inlineStr"/>
      <c r="X75" s="93" t="inlineStr"/>
    </row>
    <row r="76" ht="30" customHeight="1" s="48">
      <c r="A76" s="94" t="inlineStr">
        <is>
          <t>C-0072</t>
        </is>
      </c>
      <c r="B76" s="94" t="inlineStr">
        <is>
          <t>Mon 31 Aug 2026 10:05</t>
        </is>
      </c>
      <c r="C76" s="94" t="inlineStr">
        <is>
          <t>B1</t>
        </is>
      </c>
      <c r="D76" s="94" t="inlineStr">
        <is>
          <t>EMPLOYER</t>
        </is>
      </c>
      <c r="E76" s="94" t="inlineStr">
        <is>
          <t>CON-179</t>
        </is>
      </c>
      <c r="F76" s="94" t="inlineStr">
        <is>
          <t>Fenna Valdez</t>
        </is>
      </c>
      <c r="G76" s="95" t="inlineStr">
        <is>
          <t>AGT-09|James Okonjo</t>
        </is>
      </c>
      <c r="H76" s="94" t="inlineStr">
        <is>
          <t>Billing &amp; Premium</t>
        </is>
      </c>
      <c r="I76" s="94" t="inlineStr">
        <is>
          <t>program</t>
        </is>
      </c>
      <c r="J76" s="95" t="inlineStr">
        <is>
          <t>A-30, A-31</t>
        </is>
      </c>
      <c r="K76" s="95" t="inlineStr">
        <is>
          <t>invoice_statement</t>
        </is>
      </c>
      <c r="L76" s="94" t="inlineStr">
        <is>
          <t>RESOLVED</t>
        </is>
      </c>
      <c r="M76" s="94" t="n">
        <v>82</v>
      </c>
      <c r="N76" s="94" t="n">
        <v>380</v>
      </c>
      <c r="O76" s="95" t="inlineStr">
        <is>
          <t>Competent and resolved</t>
        </is>
      </c>
      <c r="P76" s="94" t="inlineStr">
        <is>
          <t>absent</t>
        </is>
      </c>
      <c r="Q76" s="95" t="inlineStr"/>
      <c r="R76" s="95" t="inlineStr">
        <is>
          <t>triggered false</t>
        </is>
      </c>
      <c r="S76" s="95" t="inlineStr"/>
      <c r="T76" s="95" t="inlineStr"/>
      <c r="U76" s="94" t="inlineStr"/>
      <c r="V76" s="95" t="inlineStr"/>
      <c r="W76" s="94" t="inlineStr"/>
      <c r="X76" s="95" t="inlineStr"/>
    </row>
    <row r="77" ht="30" customHeight="1" s="48">
      <c r="A77" s="92" t="inlineStr">
        <is>
          <t>C-0073</t>
        </is>
      </c>
      <c r="B77" s="92" t="inlineStr">
        <is>
          <t>Mon 31 Aug 2026 14:50</t>
        </is>
      </c>
      <c r="C77" s="92" t="inlineStr">
        <is>
          <t>B1</t>
        </is>
      </c>
      <c r="D77" s="92" t="inlineStr">
        <is>
          <t>MEMBER</t>
        </is>
      </c>
      <c r="E77" s="92" t="inlineStr">
        <is>
          <t>CB-7700264</t>
        </is>
      </c>
      <c r="F77" s="92" t="inlineStr">
        <is>
          <t>Zora Pennington</t>
        </is>
      </c>
      <c r="G77" s="93" t="inlineStr">
        <is>
          <t>AGT-12|Hugo Marchetti</t>
        </is>
      </c>
      <c r="H77" s="92" t="inlineStr">
        <is>
          <t>Coverage &amp; Benefits</t>
        </is>
      </c>
      <c r="I77" s="92" t="inlineStr">
        <is>
          <t>dental</t>
        </is>
      </c>
      <c r="J77" s="93" t="inlineStr">
        <is>
          <t>C-11</t>
        </is>
      </c>
      <c r="K77" s="93" t="inlineStr">
        <is>
          <t>agent_conversation</t>
        </is>
      </c>
      <c r="L77" s="92" t="inlineStr">
        <is>
          <t>RESOLVED</t>
        </is>
      </c>
      <c r="M77" s="92" t="n">
        <v>78</v>
      </c>
      <c r="N77" s="92" t="n">
        <v>330</v>
      </c>
      <c r="O77" s="93" t="inlineStr">
        <is>
          <t>Competent and resolved</t>
        </is>
      </c>
      <c r="P77" s="92" t="inlineStr">
        <is>
          <t>absent</t>
        </is>
      </c>
      <c r="Q77" s="93" t="inlineStr"/>
      <c r="R77" s="93" t="inlineStr">
        <is>
          <t>triggered false</t>
        </is>
      </c>
      <c r="S77" s="93" t="inlineStr"/>
      <c r="T77" s="93" t="inlineStr"/>
      <c r="U77" s="92" t="inlineStr"/>
      <c r="V77" s="93" t="inlineStr"/>
      <c r="W77" s="92" t="inlineStr"/>
      <c r="X77" s="93" t="inlineStr"/>
    </row>
    <row r="78" ht="30" customHeight="1" s="48">
      <c r="A78" s="94" t="inlineStr">
        <is>
          <t>C-0074</t>
        </is>
      </c>
      <c r="B78" s="94" t="inlineStr">
        <is>
          <t>Tue 01 Sep 2026 09:50</t>
        </is>
      </c>
      <c r="C78" s="94" t="inlineStr">
        <is>
          <t>B1</t>
        </is>
      </c>
      <c r="D78" s="94" t="inlineStr">
        <is>
          <t>EMPLOYER</t>
        </is>
      </c>
      <c r="E78" s="94" t="inlineStr">
        <is>
          <t>CON-181</t>
        </is>
      </c>
      <c r="F78" s="94" t="inlineStr">
        <is>
          <t>Carmen Liu</t>
        </is>
      </c>
      <c r="G78" s="95" t="inlineStr">
        <is>
          <t>AGT-17|Deon Marsh</t>
        </is>
      </c>
      <c r="H78" s="94" t="inlineStr">
        <is>
          <t>Enrollment &amp; ID Cards</t>
        </is>
      </c>
      <c r="I78" s="94" t="inlineStr">
        <is>
          <t>program</t>
        </is>
      </c>
      <c r="J78" s="95" t="inlineStr">
        <is>
          <t>A-22</t>
        </is>
      </c>
      <c r="K78" s="95" t="inlineStr">
        <is>
          <t>employer_portal</t>
        </is>
      </c>
      <c r="L78" s="94" t="inlineStr">
        <is>
          <t>UNRESOLVED</t>
        </is>
      </c>
      <c r="M78" s="94" t="n">
        <v>47</v>
      </c>
      <c r="N78" s="94" t="n">
        <v>645</v>
      </c>
      <c r="O78" s="95" t="inlineStr">
        <is>
          <t>Circular</t>
        </is>
      </c>
      <c r="P78" s="94" t="inlineStr">
        <is>
          <t>present|CHOICE</t>
        </is>
      </c>
      <c r="Q78" s="95" t="inlineStr"/>
      <c r="R78" s="95" t="inlineStr">
        <is>
          <t>triggered false</t>
        </is>
      </c>
      <c r="S78" s="95" t="inlineStr"/>
      <c r="T78" s="95" t="inlineStr"/>
      <c r="U78" s="94" t="inlineStr"/>
      <c r="V78" s="95" t="inlineStr"/>
      <c r="W78" s="94" t="inlineStr"/>
      <c r="X78" s="95" t="inlineStr"/>
    </row>
    <row r="79" ht="30" customHeight="1" s="48">
      <c r="A79" s="92" t="inlineStr">
        <is>
          <t>C-0075</t>
        </is>
      </c>
      <c r="B79" s="92" t="inlineStr">
        <is>
          <t>Tue 01 Sep 2026 15:35</t>
        </is>
      </c>
      <c r="C79" s="92" t="inlineStr">
        <is>
          <t>B1</t>
        </is>
      </c>
      <c r="D79" s="92" t="inlineStr">
        <is>
          <t>MEMBER</t>
        </is>
      </c>
      <c r="E79" s="92" t="inlineStr">
        <is>
          <t>CB-7700266</t>
        </is>
      </c>
      <c r="F79" s="92" t="inlineStr">
        <is>
          <t>Wendell Obi</t>
        </is>
      </c>
      <c r="G79" s="93" t="inlineStr">
        <is>
          <t>AGT-06|Michael Osei</t>
        </is>
      </c>
      <c r="H79" s="92" t="inlineStr">
        <is>
          <t>Coverage &amp; Benefits</t>
        </is>
      </c>
      <c r="I79" s="92" t="inlineStr">
        <is>
          <t>dental</t>
        </is>
      </c>
      <c r="J79" s="93" t="inlineStr">
        <is>
          <t>—</t>
        </is>
      </c>
      <c r="K79" s="93" t="inlineStr">
        <is>
          <t>—</t>
        </is>
      </c>
      <c r="L79" s="92" t="inlineStr">
        <is>
          <t>RESOLVED</t>
        </is>
      </c>
      <c r="M79" s="92" t="n">
        <v>79</v>
      </c>
      <c r="N79" s="92" t="n">
        <v>345</v>
      </c>
      <c r="O79" s="93" t="inlineStr">
        <is>
          <t>Competent and resolved</t>
        </is>
      </c>
      <c r="P79" s="92" t="inlineStr">
        <is>
          <t>absent</t>
        </is>
      </c>
      <c r="Q79" s="93" t="inlineStr"/>
      <c r="R79" s="93" t="inlineStr">
        <is>
          <t>triggered false</t>
        </is>
      </c>
      <c r="S79" s="93" t="inlineStr"/>
      <c r="T79" s="93" t="inlineStr"/>
      <c r="U79" s="92" t="inlineStr"/>
      <c r="V79" s="93" t="inlineStr"/>
      <c r="W79" s="92" t="inlineStr"/>
      <c r="X79" s="93" t="inlineStr"/>
    </row>
    <row r="80" ht="30" customHeight="1" s="48">
      <c r="A80" s="94" t="inlineStr">
        <is>
          <t>C-0076</t>
        </is>
      </c>
      <c r="B80" s="94" t="inlineStr">
        <is>
          <t>Wed 02 Sep 2026 09:20</t>
        </is>
      </c>
      <c r="C80" s="94" t="inlineStr">
        <is>
          <t>B1</t>
        </is>
      </c>
      <c r="D80" s="94" t="inlineStr">
        <is>
          <t>MEMBER</t>
        </is>
      </c>
      <c r="E80" s="94" t="inlineStr">
        <is>
          <t>CB-7700267</t>
        </is>
      </c>
      <c r="F80" s="94" t="inlineStr">
        <is>
          <t>Saoirse Demir</t>
        </is>
      </c>
      <c r="G80" s="95" t="inlineStr">
        <is>
          <t>AGT-03|Danielle Park</t>
        </is>
      </c>
      <c r="H80" s="94" t="inlineStr">
        <is>
          <t>Coverage &amp; Benefits</t>
        </is>
      </c>
      <c r="I80" s="94" t="inlineStr">
        <is>
          <t>dental</t>
        </is>
      </c>
      <c r="J80" s="95" t="inlineStr">
        <is>
          <t>—</t>
        </is>
      </c>
      <c r="K80" s="95" t="inlineStr">
        <is>
          <t>—</t>
        </is>
      </c>
      <c r="L80" s="94" t="inlineStr">
        <is>
          <t>RESOLVED</t>
        </is>
      </c>
      <c r="M80" s="94" t="n">
        <v>83</v>
      </c>
      <c r="N80" s="94" t="n">
        <v>410</v>
      </c>
      <c r="O80" s="95" t="inlineStr">
        <is>
          <t>Competent and resolved</t>
        </is>
      </c>
      <c r="P80" s="94" t="inlineStr">
        <is>
          <t>absent</t>
        </is>
      </c>
      <c r="Q80" s="95" t="inlineStr"/>
      <c r="R80" s="95" t="inlineStr">
        <is>
          <t>triggered false</t>
        </is>
      </c>
      <c r="S80" s="95" t="inlineStr"/>
      <c r="T80" s="95" t="inlineStr"/>
      <c r="U80" s="94" t="inlineStr"/>
      <c r="V80" s="95" t="inlineStr"/>
      <c r="W80" s="94" t="inlineStr"/>
      <c r="X80" s="95" t="inlineStr"/>
    </row>
    <row r="81" ht="30" customHeight="1" s="48">
      <c r="A81" s="92" t="inlineStr">
        <is>
          <t>C-0077</t>
        </is>
      </c>
      <c r="B81" s="92" t="inlineStr">
        <is>
          <t>Wed 02 Sep 2026 14:05</t>
        </is>
      </c>
      <c r="C81" s="92" t="inlineStr">
        <is>
          <t>B1</t>
        </is>
      </c>
      <c r="D81" s="92" t="inlineStr">
        <is>
          <t>MEMBER</t>
        </is>
      </c>
      <c r="E81" s="92" t="inlineStr">
        <is>
          <t>CB-7700268</t>
        </is>
      </c>
      <c r="F81" s="92" t="inlineStr">
        <is>
          <t>Halina Yamamoto</t>
        </is>
      </c>
      <c r="G81" s="93" t="inlineStr">
        <is>
          <t>AGT-14|Brad Nolan</t>
        </is>
      </c>
      <c r="H81" s="92" t="inlineStr">
        <is>
          <t>Enrollment &amp; ID Cards</t>
        </is>
      </c>
      <c r="I81" s="92" t="inlineStr">
        <is>
          <t>dental</t>
        </is>
      </c>
      <c r="J81" s="93" t="inlineStr">
        <is>
          <t>—</t>
        </is>
      </c>
      <c r="K81" s="93" t="inlineStr">
        <is>
          <t>agent_conversation</t>
        </is>
      </c>
      <c r="L81" s="92" t="inlineStr">
        <is>
          <t>UNRESOLVED</t>
        </is>
      </c>
      <c r="M81" s="92" t="n">
        <v>44</v>
      </c>
      <c r="N81" s="92" t="n">
        <v>270</v>
      </c>
      <c r="O81" s="93" t="inlineStr">
        <is>
          <t>Brush-off</t>
        </is>
      </c>
      <c r="P81" s="92" t="inlineStr">
        <is>
          <t>present|CHOICE</t>
        </is>
      </c>
      <c r="Q81" s="93" t="inlineStr">
        <is>
          <t>compliance_disclosure_missing|HIGH|Compliance</t>
        </is>
      </c>
      <c r="R81" s="93" t="inlineStr">
        <is>
          <t>triggered false</t>
        </is>
      </c>
      <c r="S81" s="93" t="inlineStr">
        <is>
          <t>no_recording_disclosure</t>
        </is>
      </c>
      <c r="T81" s="93" t="inlineStr"/>
      <c r="U81" s="92" t="inlineStr"/>
      <c r="V81" s="93" t="inlineStr"/>
      <c r="W81" s="92" t="inlineStr"/>
      <c r="X81" s="93" t="inlineStr"/>
    </row>
    <row r="82" ht="30" customHeight="1" s="48">
      <c r="A82" s="94" t="inlineStr">
        <is>
          <t>C-0078</t>
        </is>
      </c>
      <c r="B82" s="94" t="inlineStr">
        <is>
          <t>Thu 03 Sep 2026 10:30</t>
        </is>
      </c>
      <c r="C82" s="94" t="inlineStr">
        <is>
          <t>B1</t>
        </is>
      </c>
      <c r="D82" s="94" t="inlineStr">
        <is>
          <t>EMPLOYER</t>
        </is>
      </c>
      <c r="E82" s="94" t="inlineStr">
        <is>
          <t>CON-185</t>
        </is>
      </c>
      <c r="F82" s="94" t="inlineStr">
        <is>
          <t>Rosa Ferrara</t>
        </is>
      </c>
      <c r="G82" s="95" t="inlineStr">
        <is>
          <t>AGT-02|Carlos Mendez</t>
        </is>
      </c>
      <c r="H82" s="94" t="inlineStr">
        <is>
          <t>Enrollment &amp; ID Cards</t>
        </is>
      </c>
      <c r="I82" s="94" t="inlineStr">
        <is>
          <t>program</t>
        </is>
      </c>
      <c r="J82" s="95" t="inlineStr">
        <is>
          <t>A-33, A-34, A-36</t>
        </is>
      </c>
      <c r="K82" s="95" t="inlineStr">
        <is>
          <t>cobra_notice</t>
        </is>
      </c>
      <c r="L82" s="94" t="inlineStr">
        <is>
          <t>RESOLVED</t>
        </is>
      </c>
      <c r="M82" s="94" t="n">
        <v>86</v>
      </c>
      <c r="N82" s="94" t="n">
        <v>520</v>
      </c>
      <c r="O82" s="95" t="inlineStr">
        <is>
          <t>Competent and resolved</t>
        </is>
      </c>
      <c r="P82" s="94" t="inlineStr">
        <is>
          <t>absent</t>
        </is>
      </c>
      <c r="Q82" s="95" t="inlineStr"/>
      <c r="R82" s="95" t="inlineStr">
        <is>
          <t>triggered false</t>
        </is>
      </c>
      <c r="S82" s="95" t="inlineStr"/>
      <c r="T82" s="95" t="inlineStr"/>
      <c r="U82" s="94" t="inlineStr"/>
      <c r="V82" s="95" t="inlineStr"/>
      <c r="W82" s="94" t="inlineStr"/>
      <c r="X82" s="95" t="inlineStr"/>
    </row>
    <row r="83" ht="30" customHeight="1" s="48">
      <c r="A83" s="92" t="inlineStr">
        <is>
          <t>C-0079</t>
        </is>
      </c>
      <c r="B83" s="92" t="inlineStr">
        <is>
          <t>Thu 03 Sep 2026 15:20</t>
        </is>
      </c>
      <c r="C83" s="92" t="inlineStr">
        <is>
          <t>B1</t>
        </is>
      </c>
      <c r="D83" s="92" t="inlineStr">
        <is>
          <t>MEMBER</t>
        </is>
      </c>
      <c r="E83" s="92" t="inlineStr">
        <is>
          <t>CB-7700179</t>
        </is>
      </c>
      <c r="F83" s="92" t="inlineStr">
        <is>
          <t>Cormac Reyes</t>
        </is>
      </c>
      <c r="G83" s="93" t="inlineStr">
        <is>
          <t>AGT-11|Grace Adeyemi</t>
        </is>
      </c>
      <c r="H83" s="92" t="inlineStr">
        <is>
          <t>Coverage &amp; Benefits</t>
        </is>
      </c>
      <c r="I83" s="92" t="inlineStr">
        <is>
          <t>vision</t>
        </is>
      </c>
      <c r="J83" s="93" t="inlineStr">
        <is>
          <t>C-26</t>
        </is>
      </c>
      <c r="K83" s="93" t="inlineStr">
        <is>
          <t>agent_conversation</t>
        </is>
      </c>
      <c r="L83" s="92" t="inlineStr">
        <is>
          <t>RESOLVED</t>
        </is>
      </c>
      <c r="M83" s="92" t="n">
        <v>77</v>
      </c>
      <c r="N83" s="92" t="n">
        <v>315</v>
      </c>
      <c r="O83" s="93" t="inlineStr">
        <is>
          <t>Competent and resolved</t>
        </is>
      </c>
      <c r="P83" s="92" t="inlineStr">
        <is>
          <t>absent</t>
        </is>
      </c>
      <c r="Q83" s="93" t="inlineStr"/>
      <c r="R83" s="93" t="inlineStr">
        <is>
          <t>triggered false</t>
        </is>
      </c>
      <c r="S83" s="93" t="inlineStr"/>
      <c r="T83" s="93" t="inlineStr"/>
      <c r="U83" s="92" t="inlineStr"/>
      <c r="V83" s="93" t="inlineStr"/>
      <c r="W83" s="92" t="inlineStr"/>
      <c r="X83" s="93" t="inlineStr"/>
    </row>
    <row r="84" ht="30" customHeight="1" s="48">
      <c r="A84" s="94" t="inlineStr">
        <is>
          <t>C-0080</t>
        </is>
      </c>
      <c r="B84" s="94" t="inlineStr">
        <is>
          <t>Fri 04 Sep 2026 09:05</t>
        </is>
      </c>
      <c r="C84" s="94" t="inlineStr">
        <is>
          <t>B1</t>
        </is>
      </c>
      <c r="D84" s="94" t="inlineStr">
        <is>
          <t>EMPLOYER</t>
        </is>
      </c>
      <c r="E84" s="94" t="inlineStr">
        <is>
          <t>CON-186</t>
        </is>
      </c>
      <c r="F84" s="94" t="inlineStr">
        <is>
          <t>Duncan Okonjo</t>
        </is>
      </c>
      <c r="G84" s="95" t="inlineStr">
        <is>
          <t>AGT-04|Priya Anand</t>
        </is>
      </c>
      <c r="H84" s="94" t="inlineStr">
        <is>
          <t>Enrollment &amp; ID Cards</t>
        </is>
      </c>
      <c r="I84" s="94" t="inlineStr">
        <is>
          <t>program</t>
        </is>
      </c>
      <c r="J84" s="95" t="inlineStr">
        <is>
          <t>A-03</t>
        </is>
      </c>
      <c r="K84" s="95" t="inlineStr">
        <is>
          <t>enrolment_form</t>
        </is>
      </c>
      <c r="L84" s="94" t="inlineStr">
        <is>
          <t>RESOLVED</t>
        </is>
      </c>
      <c r="M84" s="94" t="n">
        <v>84</v>
      </c>
      <c r="N84" s="94" t="n">
        <v>435</v>
      </c>
      <c r="O84" s="95" t="inlineStr">
        <is>
          <t>Competent and resolved</t>
        </is>
      </c>
      <c r="P84" s="94" t="inlineStr">
        <is>
          <t>absent</t>
        </is>
      </c>
      <c r="Q84" s="95" t="inlineStr"/>
      <c r="R84" s="95" t="inlineStr">
        <is>
          <t>triggered false</t>
        </is>
      </c>
      <c r="S84" s="95" t="inlineStr"/>
      <c r="T84" s="95" t="inlineStr"/>
      <c r="U84" s="94" t="inlineStr"/>
      <c r="V84" s="95" t="inlineStr"/>
      <c r="W84" s="94" t="inlineStr"/>
      <c r="X84" s="95" t="inlineStr"/>
    </row>
    <row r="85" ht="30" customHeight="1" s="48">
      <c r="A85" s="92" t="inlineStr">
        <is>
          <t>C-0081</t>
        </is>
      </c>
      <c r="B85" s="92" t="inlineStr">
        <is>
          <t>Tue 08 Sep 2026 10:15</t>
        </is>
      </c>
      <c r="C85" s="92" t="inlineStr">
        <is>
          <t>B1</t>
        </is>
      </c>
      <c r="D85" s="92" t="inlineStr">
        <is>
          <t>MEMBER</t>
        </is>
      </c>
      <c r="E85" s="92" t="inlineStr">
        <is>
          <t>CB-7700050</t>
        </is>
      </c>
      <c r="F85" s="92" t="inlineStr">
        <is>
          <t>Jerome Arellano</t>
        </is>
      </c>
      <c r="G85" s="93" t="inlineStr">
        <is>
          <t>AGT-16|Ryan Castellano</t>
        </is>
      </c>
      <c r="H85" s="92" t="inlineStr">
        <is>
          <t>Coverage &amp; Benefits</t>
        </is>
      </c>
      <c r="I85" s="92" t="inlineStr">
        <is>
          <t>vision</t>
        </is>
      </c>
      <c r="J85" s="93" t="inlineStr">
        <is>
          <t>C-24</t>
        </is>
      </c>
      <c r="K85" s="93" t="inlineStr">
        <is>
          <t>agent_conversation</t>
        </is>
      </c>
      <c r="L85" s="92" t="inlineStr">
        <is>
          <t>UNRESOLVED</t>
        </is>
      </c>
      <c r="M85" s="92" t="n">
        <v>48</v>
      </c>
      <c r="N85" s="92" t="n">
        <v>285</v>
      </c>
      <c r="O85" s="93" t="inlineStr">
        <is>
          <t>Brush-off</t>
        </is>
      </c>
      <c r="P85" s="92" t="inlineStr">
        <is>
          <t>present|CHOICE</t>
        </is>
      </c>
      <c r="Q85" s="93" t="inlineStr">
        <is>
          <t>escalation_missed|HIGH|Operations; knowledge_error|MEDIUM|Knowledge Management</t>
        </is>
      </c>
      <c r="R85" s="93" t="inlineStr">
        <is>
          <t>triggered true|caller_request|requested_by_caller true|handled false</t>
        </is>
      </c>
      <c r="S85" s="93" t="inlineStr"/>
      <c r="T85" s="93" t="inlineStr"/>
      <c r="U85" s="92" t="inlineStr"/>
      <c r="V85" s="93" t="inlineStr"/>
      <c r="W85" s="92" t="inlineStr"/>
      <c r="X85" s="93" t="inlineStr">
        <is>
          <t>C-0035 | 28 Jul | closed unresolved</t>
        </is>
      </c>
    </row>
    <row r="86" ht="30" customHeight="1" s="48">
      <c r="A86" s="94" t="inlineStr">
        <is>
          <t>C-0082</t>
        </is>
      </c>
      <c r="B86" s="94" t="inlineStr">
        <is>
          <t>Tue 08 Sep 2026 14:40</t>
        </is>
      </c>
      <c r="C86" s="94" t="inlineStr">
        <is>
          <t>B1</t>
        </is>
      </c>
      <c r="D86" s="94" t="inlineStr">
        <is>
          <t>MEMBER</t>
        </is>
      </c>
      <c r="E86" s="94" t="inlineStr">
        <is>
          <t>CB-7700050</t>
        </is>
      </c>
      <c r="F86" s="94" t="inlineStr">
        <is>
          <t>Jerome Arellano</t>
        </is>
      </c>
      <c r="G86" s="95" t="inlineStr">
        <is>
          <t>AGT-01|Sarah Whitlock</t>
        </is>
      </c>
      <c r="H86" s="94" t="inlineStr">
        <is>
          <t>Coverage &amp; Benefits</t>
        </is>
      </c>
      <c r="I86" s="94" t="inlineStr">
        <is>
          <t>vision</t>
        </is>
      </c>
      <c r="J86" s="95" t="inlineStr">
        <is>
          <t>C-24, C-26</t>
        </is>
      </c>
      <c r="K86" s="95" t="inlineStr">
        <is>
          <t>agent_conversation</t>
        </is>
      </c>
      <c r="L86" s="94" t="inlineStr">
        <is>
          <t>RESOLVED</t>
        </is>
      </c>
      <c r="M86" s="94" t="n">
        <v>91</v>
      </c>
      <c r="N86" s="94" t="n">
        <v>550</v>
      </c>
      <c r="O86" s="95" t="inlineStr">
        <is>
          <t>Competent and resolved</t>
        </is>
      </c>
      <c r="P86" s="94" t="inlineStr">
        <is>
          <t>present|CHOICE</t>
        </is>
      </c>
      <c r="Q86" s="95" t="inlineStr">
        <is>
          <t>knowledge_error|MEDIUM|Knowledge Management; member_communication_gap|MEDIUM|Member Communications</t>
        </is>
      </c>
      <c r="R86" s="95" t="inlineStr">
        <is>
          <t>triggered false</t>
        </is>
      </c>
      <c r="S86" s="95" t="inlineStr"/>
      <c r="T86" s="95" t="inlineStr"/>
      <c r="U86" s="94" t="inlineStr"/>
      <c r="V86" s="95" t="inlineStr">
        <is>
          <t>present|benefit screen should show used/remaining by benefit type, not plan entitlement|agent_conversation|AGENT|UNVALIDATED</t>
        </is>
      </c>
      <c r="W86" s="94" t="inlineStr"/>
      <c r="X86" s="95" t="inlineStr">
        <is>
          <t>C-0081 | 08 Sep | closed unresolved</t>
        </is>
      </c>
    </row>
    <row r="87" ht="30" customHeight="1" s="48">
      <c r="A87" s="92" t="inlineStr">
        <is>
          <t>C-0083</t>
        </is>
      </c>
      <c r="B87" s="92" t="inlineStr">
        <is>
          <t>Wed 09 Sep 2026 09:35</t>
        </is>
      </c>
      <c r="C87" s="92" t="inlineStr">
        <is>
          <t>B1</t>
        </is>
      </c>
      <c r="D87" s="92" t="inlineStr">
        <is>
          <t>EMPLOYER</t>
        </is>
      </c>
      <c r="E87" s="92" t="inlineStr">
        <is>
          <t>CON-187</t>
        </is>
      </c>
      <c r="F87" s="92" t="inlineStr">
        <is>
          <t>Vera Fairweather</t>
        </is>
      </c>
      <c r="G87" s="93" t="inlineStr">
        <is>
          <t>AGT-07|Linda Braithwaite</t>
        </is>
      </c>
      <c r="H87" s="92" t="inlineStr">
        <is>
          <t>Enrollment &amp; ID Cards</t>
        </is>
      </c>
      <c r="I87" s="92" t="inlineStr">
        <is>
          <t>program</t>
        </is>
      </c>
      <c r="J87" s="93" t="inlineStr">
        <is>
          <t>P-30, P-31</t>
        </is>
      </c>
      <c r="K87" s="93" t="inlineStr">
        <is>
          <t>enrolment_form</t>
        </is>
      </c>
      <c r="L87" s="92" t="inlineStr">
        <is>
          <t>RESOLVED</t>
        </is>
      </c>
      <c r="M87" s="92" t="n">
        <v>81</v>
      </c>
      <c r="N87" s="92" t="n">
        <v>365</v>
      </c>
      <c r="O87" s="93" t="inlineStr">
        <is>
          <t>Competent and resolved</t>
        </is>
      </c>
      <c r="P87" s="92" t="inlineStr">
        <is>
          <t>absent</t>
        </is>
      </c>
      <c r="Q87" s="93" t="inlineStr"/>
      <c r="R87" s="93" t="inlineStr">
        <is>
          <t>triggered false</t>
        </is>
      </c>
      <c r="S87" s="93" t="inlineStr"/>
      <c r="T87" s="93" t="inlineStr"/>
      <c r="U87" s="92" t="inlineStr"/>
      <c r="V87" s="93" t="inlineStr"/>
      <c r="W87" s="92" t="inlineStr"/>
      <c r="X87" s="93" t="inlineStr"/>
    </row>
    <row r="88" ht="30" customHeight="1" s="48">
      <c r="A88" s="94" t="inlineStr">
        <is>
          <t>C-0084</t>
        </is>
      </c>
      <c r="B88" s="94" t="inlineStr">
        <is>
          <t>Wed 09 Sep 2026 13:55</t>
        </is>
      </c>
      <c r="C88" s="94" t="inlineStr">
        <is>
          <t>B1</t>
        </is>
      </c>
      <c r="D88" s="94" t="inlineStr">
        <is>
          <t>MEMBER</t>
        </is>
      </c>
      <c r="E88" s="94" t="inlineStr">
        <is>
          <t>CB-7700272</t>
        </is>
      </c>
      <c r="F88" s="94" t="inlineStr">
        <is>
          <t>Marek Demir</t>
        </is>
      </c>
      <c r="G88" s="95" t="inlineStr">
        <is>
          <t>AGT-15|Tiffany Rowe</t>
        </is>
      </c>
      <c r="H88" s="94" t="inlineStr">
        <is>
          <t>Claims &amp; EOB</t>
        </is>
      </c>
      <c r="I88" s="94" t="inlineStr">
        <is>
          <t>dental</t>
        </is>
      </c>
      <c r="J88" s="95" t="inlineStr">
        <is>
          <t>—</t>
        </is>
      </c>
      <c r="K88" s="95" t="inlineStr">
        <is>
          <t>agent_conversation</t>
        </is>
      </c>
      <c r="L88" s="94" t="inlineStr">
        <is>
          <t>PARTIALLY RESOLVED</t>
        </is>
      </c>
      <c r="M88" s="94" t="n">
        <v>62</v>
      </c>
      <c r="N88" s="94" t="n">
        <v>340</v>
      </c>
      <c r="O88" s="95" t="inlineStr">
        <is>
          <t>Competent but constrained</t>
        </is>
      </c>
      <c r="P88" s="94" t="inlineStr">
        <is>
          <t>present|CARRIER</t>
        </is>
      </c>
      <c r="Q88" s="95" t="inlineStr"/>
      <c r="R88" s="95" t="inlineStr">
        <is>
          <t>triggered false</t>
        </is>
      </c>
      <c r="S88" s="95" t="inlineStr"/>
      <c r="T88" s="95" t="inlineStr"/>
      <c r="U88" s="94" t="inlineStr"/>
      <c r="V88" s="95" t="inlineStr"/>
      <c r="W88" s="94" t="inlineStr"/>
      <c r="X88" s="95" t="inlineStr"/>
    </row>
    <row r="89" ht="30" customHeight="1" s="48">
      <c r="A89" s="92" t="inlineStr">
        <is>
          <t>C-0085</t>
        </is>
      </c>
      <c r="B89" s="92" t="inlineStr">
        <is>
          <t>Thu 10 Sep 2026 10:45</t>
        </is>
      </c>
      <c r="C89" s="92" t="inlineStr">
        <is>
          <t>B1</t>
        </is>
      </c>
      <c r="D89" s="92" t="inlineStr">
        <is>
          <t>EMPLOYER</t>
        </is>
      </c>
      <c r="E89" s="92" t="inlineStr">
        <is>
          <t>CON-189</t>
        </is>
      </c>
      <c r="F89" s="92" t="inlineStr">
        <is>
          <t>Yolanda Wexler</t>
        </is>
      </c>
      <c r="G89" s="93" t="inlineStr">
        <is>
          <t>AGT-05|Adaeze Nwosu</t>
        </is>
      </c>
      <c r="H89" s="92" t="inlineStr">
        <is>
          <t>Billing &amp; Premium</t>
        </is>
      </c>
      <c r="I89" s="92" t="inlineStr">
        <is>
          <t>program</t>
        </is>
      </c>
      <c r="J89" s="93" t="inlineStr">
        <is>
          <t>A-06, A-08, A-09</t>
        </is>
      </c>
      <c r="K89" s="93" t="inlineStr">
        <is>
          <t>invoice_statement</t>
        </is>
      </c>
      <c r="L89" s="92" t="inlineStr">
        <is>
          <t>RESOLVED</t>
        </is>
      </c>
      <c r="M89" s="92" t="n">
        <v>88</v>
      </c>
      <c r="N89" s="92" t="n">
        <v>495</v>
      </c>
      <c r="O89" s="93" t="inlineStr">
        <is>
          <t>Competent and resolved</t>
        </is>
      </c>
      <c r="P89" s="92" t="inlineStr">
        <is>
          <t>present|CHOICE</t>
        </is>
      </c>
      <c r="Q89" s="93" t="inlineStr">
        <is>
          <t>billing_defect|HIGH|Operations / Finance</t>
        </is>
      </c>
      <c r="R89" s="93" t="inlineStr">
        <is>
          <t>triggered false</t>
        </is>
      </c>
      <c r="S89" s="93" t="inlineStr"/>
      <c r="T89" s="93" t="inlineStr"/>
      <c r="U89" s="92" t="inlineStr"/>
      <c r="V89" s="93" t="inlineStr"/>
      <c r="W89" s="92" t="inlineStr"/>
      <c r="X89" s="93" t="inlineStr"/>
    </row>
    <row r="90" ht="30" customHeight="1" s="48">
      <c r="A90" s="94" t="inlineStr">
        <is>
          <t>C-0086</t>
        </is>
      </c>
      <c r="B90" s="94" t="inlineStr">
        <is>
          <t>Thu 10 Sep 2026 15:10</t>
        </is>
      </c>
      <c r="C90" s="94" t="inlineStr">
        <is>
          <t>B1</t>
        </is>
      </c>
      <c r="D90" s="94" t="inlineStr">
        <is>
          <t>MEMBER</t>
        </is>
      </c>
      <c r="E90" s="94" t="inlineStr">
        <is>
          <t>CB-7700274</t>
        </is>
      </c>
      <c r="F90" s="94" t="inlineStr">
        <is>
          <t>Bianca Aziz</t>
        </is>
      </c>
      <c r="G90" s="95" t="inlineStr">
        <is>
          <t>AGT-13|Kayla Brennan</t>
        </is>
      </c>
      <c r="H90" s="94" t="inlineStr">
        <is>
          <t>Coverage &amp; Benefits</t>
        </is>
      </c>
      <c r="I90" s="94" t="inlineStr">
        <is>
          <t>dental</t>
        </is>
      </c>
      <c r="J90" s="95" t="inlineStr">
        <is>
          <t>—</t>
        </is>
      </c>
      <c r="K90" s="95" t="inlineStr">
        <is>
          <t>—</t>
        </is>
      </c>
      <c r="L90" s="94" t="inlineStr">
        <is>
          <t>RESOLVED</t>
        </is>
      </c>
      <c r="M90" s="94" t="n">
        <v>69</v>
      </c>
      <c r="N90" s="94" t="n">
        <v>260</v>
      </c>
      <c r="O90" s="95" t="inlineStr">
        <is>
          <t>Competent and resolved</t>
        </is>
      </c>
      <c r="P90" s="94" t="inlineStr">
        <is>
          <t>absent</t>
        </is>
      </c>
      <c r="Q90" s="95" t="inlineStr"/>
      <c r="R90" s="95" t="inlineStr">
        <is>
          <t>triggered false</t>
        </is>
      </c>
      <c r="S90" s="95" t="inlineStr"/>
      <c r="T90" s="95" t="inlineStr"/>
      <c r="U90" s="94" t="inlineStr"/>
      <c r="V90" s="95" t="inlineStr"/>
      <c r="W90" s="94" t="inlineStr"/>
      <c r="X90" s="95" t="inlineStr"/>
    </row>
    <row r="91" ht="30" customHeight="1" s="48">
      <c r="A91" s="92" t="inlineStr">
        <is>
          <t>C-0087</t>
        </is>
      </c>
      <c r="B91" s="92" t="inlineStr">
        <is>
          <t>Fri 11 Sep 2026 09:25</t>
        </is>
      </c>
      <c r="C91" s="92" t="inlineStr">
        <is>
          <t>B1</t>
        </is>
      </c>
      <c r="D91" s="92" t="inlineStr">
        <is>
          <t>MEMBER</t>
        </is>
      </c>
      <c r="E91" s="92" t="inlineStr">
        <is>
          <t>CB-7700275</t>
        </is>
      </c>
      <c r="F91" s="92" t="inlineStr">
        <is>
          <t>Grace MacAllister</t>
        </is>
      </c>
      <c r="G91" s="93" t="inlineStr">
        <is>
          <t>AGT-10|Tony Ferraro</t>
        </is>
      </c>
      <c r="H91" s="92" t="inlineStr">
        <is>
          <t>Claims &amp; EOB</t>
        </is>
      </c>
      <c r="I91" s="92" t="inlineStr">
        <is>
          <t>dental</t>
        </is>
      </c>
      <c r="J91" s="93" t="inlineStr">
        <is>
          <t>—</t>
        </is>
      </c>
      <c r="K91" s="93" t="inlineStr">
        <is>
          <t>agent_conversation</t>
        </is>
      </c>
      <c r="L91" s="92" t="inlineStr">
        <is>
          <t>UNRESOLVED</t>
        </is>
      </c>
      <c r="M91" s="92" t="n">
        <v>50</v>
      </c>
      <c r="N91" s="92" t="n">
        <v>690</v>
      </c>
      <c r="O91" s="93" t="inlineStr">
        <is>
          <t>Circular</t>
        </is>
      </c>
      <c r="P91" s="92" t="inlineStr">
        <is>
          <t>present|CHOICE</t>
        </is>
      </c>
      <c r="Q91" s="93" t="inlineStr"/>
      <c r="R91" s="93" t="inlineStr">
        <is>
          <t>triggered false</t>
        </is>
      </c>
      <c r="S91" s="93" t="inlineStr"/>
      <c r="T91" s="93" t="inlineStr"/>
      <c r="U91" s="92" t="inlineStr"/>
      <c r="V91" s="93" t="inlineStr"/>
      <c r="W91" s="92" t="inlineStr"/>
      <c r="X91" s="93" t="inlineStr"/>
    </row>
    <row r="92" ht="30" customHeight="1" s="48">
      <c r="A92" s="94" t="inlineStr">
        <is>
          <t>C-0088</t>
        </is>
      </c>
      <c r="B92" s="94" t="inlineStr">
        <is>
          <t>Fri 11 Sep 2026 14:30</t>
        </is>
      </c>
      <c r="C92" s="94" t="inlineStr">
        <is>
          <t>B1</t>
        </is>
      </c>
      <c r="D92" s="94" t="inlineStr">
        <is>
          <t>EMPLOYER</t>
        </is>
      </c>
      <c r="E92" s="94" t="inlineStr">
        <is>
          <t>CON-192</t>
        </is>
      </c>
      <c r="F92" s="94" t="inlineStr">
        <is>
          <t>Ingrid Baptiste</t>
        </is>
      </c>
      <c r="G92" s="95" t="inlineStr">
        <is>
          <t>AGT-09|James Okonjo</t>
        </is>
      </c>
      <c r="H92" s="94" t="inlineStr">
        <is>
          <t>Billing &amp; Premium</t>
        </is>
      </c>
      <c r="I92" s="94" t="inlineStr">
        <is>
          <t>program</t>
        </is>
      </c>
      <c r="J92" s="95" t="inlineStr">
        <is>
          <t>P-33, A-27</t>
        </is>
      </c>
      <c r="K92" s="95" t="inlineStr">
        <is>
          <t>invoice_statement</t>
        </is>
      </c>
      <c r="L92" s="94" t="inlineStr">
        <is>
          <t>RESOLVED</t>
        </is>
      </c>
      <c r="M92" s="94" t="n">
        <v>83</v>
      </c>
      <c r="N92" s="94" t="n">
        <v>460</v>
      </c>
      <c r="O92" s="95" t="inlineStr">
        <is>
          <t>Competent and resolved</t>
        </is>
      </c>
      <c r="P92" s="94" t="inlineStr">
        <is>
          <t>absent</t>
        </is>
      </c>
      <c r="Q92" s="95" t="inlineStr"/>
      <c r="R92" s="95" t="inlineStr">
        <is>
          <t>triggered false</t>
        </is>
      </c>
      <c r="S92" s="95" t="inlineStr"/>
      <c r="T92" s="95" t="inlineStr"/>
      <c r="U92" s="94" t="inlineStr"/>
      <c r="V92" s="95" t="inlineStr"/>
      <c r="W92" s="94" t="inlineStr"/>
      <c r="X92" s="95" t="inlineStr"/>
    </row>
    <row r="93" ht="30" customHeight="1" s="48">
      <c r="A93" s="92" t="inlineStr">
        <is>
          <t>C-0089</t>
        </is>
      </c>
      <c r="B93" s="92" t="inlineStr">
        <is>
          <t>Mon 14 Sep 2026 08:50</t>
        </is>
      </c>
      <c r="C93" s="92" t="inlineStr">
        <is>
          <t>B1</t>
        </is>
      </c>
      <c r="D93" s="92" t="inlineStr">
        <is>
          <t>MEMBER</t>
        </is>
      </c>
      <c r="E93" s="92" t="inlineStr">
        <is>
          <t>CB-7700175</t>
        </is>
      </c>
      <c r="F93" s="92" t="inlineStr">
        <is>
          <t>Nikhil Yamamoto</t>
        </is>
      </c>
      <c r="G93" s="93" t="inlineStr">
        <is>
          <t>AGT-12|Hugo Marchetti</t>
        </is>
      </c>
      <c r="H93" s="92" t="inlineStr">
        <is>
          <t>Coverage &amp; Benefits</t>
        </is>
      </c>
      <c r="I93" s="92" t="inlineStr">
        <is>
          <t>chiro</t>
        </is>
      </c>
      <c r="J93" s="93" t="inlineStr">
        <is>
          <t>C-29, C-30</t>
        </is>
      </c>
      <c r="K93" s="93" t="inlineStr">
        <is>
          <t>agent_conversation</t>
        </is>
      </c>
      <c r="L93" s="92" t="inlineStr">
        <is>
          <t>RESOLVED</t>
        </is>
      </c>
      <c r="M93" s="92" t="n">
        <v>80</v>
      </c>
      <c r="N93" s="92" t="n">
        <v>325</v>
      </c>
      <c r="O93" s="93" t="inlineStr">
        <is>
          <t>Competent and resolved</t>
        </is>
      </c>
      <c r="P93" s="92" t="inlineStr">
        <is>
          <t>absent</t>
        </is>
      </c>
      <c r="Q93" s="93" t="inlineStr"/>
      <c r="R93" s="93" t="inlineStr">
        <is>
          <t>triggered false</t>
        </is>
      </c>
      <c r="S93" s="93" t="inlineStr"/>
      <c r="T93" s="93" t="inlineStr"/>
      <c r="U93" s="92" t="inlineStr"/>
      <c r="V93" s="93" t="inlineStr"/>
      <c r="W93" s="92" t="inlineStr"/>
      <c r="X93" s="93" t="inlineStr"/>
    </row>
    <row r="94" ht="30" customHeight="1" s="48">
      <c r="A94" s="94" t="inlineStr">
        <is>
          <t>C-0090</t>
        </is>
      </c>
      <c r="B94" s="94" t="inlineStr">
        <is>
          <t>Mon 14 Sep 2026 13:15</t>
        </is>
      </c>
      <c r="C94" s="94" t="inlineStr">
        <is>
          <t>B1</t>
        </is>
      </c>
      <c r="D94" s="94" t="inlineStr">
        <is>
          <t>EMPLOYER</t>
        </is>
      </c>
      <c r="E94" s="94" t="inlineStr">
        <is>
          <t>CON-103</t>
        </is>
      </c>
      <c r="F94" s="94" t="inlineStr">
        <is>
          <t>Sunil Quiroga</t>
        </is>
      </c>
      <c r="G94" s="95" t="inlineStr">
        <is>
          <t>AGT-08|Nicole Trang</t>
        </is>
      </c>
      <c r="H94" s="94" t="inlineStr">
        <is>
          <t>Broker Conduct</t>
        </is>
      </c>
      <c r="I94" s="94" t="inlineStr">
        <is>
          <t>program</t>
        </is>
      </c>
      <c r="J94" s="95" t="inlineStr">
        <is>
          <t>P-16, P-20</t>
        </is>
      </c>
      <c r="K94" s="95" t="inlineStr">
        <is>
          <t>enrolment_meeting</t>
        </is>
      </c>
      <c r="L94" s="94" t="inlineStr">
        <is>
          <t>PARTIALLY RESOLVED</t>
        </is>
      </c>
      <c r="M94" s="94" t="n">
        <v>76</v>
      </c>
      <c r="N94" s="94" t="n">
        <v>415</v>
      </c>
      <c r="O94" s="95" t="inlineStr">
        <is>
          <t>Competent but constrained</t>
        </is>
      </c>
      <c r="P94" s="94" t="inlineStr">
        <is>
          <t>present|BROKER</t>
        </is>
      </c>
      <c r="Q94" s="95" t="inlineStr">
        <is>
          <t>broker_conduct_adverse|HIGH|Broker Relations</t>
        </is>
      </c>
      <c r="R94" s="95" t="inlineStr">
        <is>
          <t>triggered false</t>
        </is>
      </c>
      <c r="S94" s="95" t="inlineStr"/>
      <c r="T94" s="95" t="inlineStr">
        <is>
          <t>present|P-16|chiropractic must be 100% employer-paid; there is no voluntary option</t>
        </is>
      </c>
      <c r="U94" s="94" t="inlineStr"/>
      <c r="V94" s="95" t="inlineStr"/>
      <c r="W94" s="94" t="inlineStr">
        <is>
          <t>present|BRK-02|ADVERSE</t>
        </is>
      </c>
      <c r="X94" s="95" t="inlineStr"/>
    </row>
    <row r="95" ht="30" customHeight="1" s="48">
      <c r="A95" s="92" t="inlineStr">
        <is>
          <t>C-0091</t>
        </is>
      </c>
      <c r="B95" s="92" t="inlineStr">
        <is>
          <t>Tue 15 Sep 2026 09:40</t>
        </is>
      </c>
      <c r="C95" s="92" t="inlineStr">
        <is>
          <t>B1</t>
        </is>
      </c>
      <c r="D95" s="92" t="inlineStr">
        <is>
          <t>MEMBER</t>
        </is>
      </c>
      <c r="E95" s="92" t="inlineStr">
        <is>
          <t>CB-7700277</t>
        </is>
      </c>
      <c r="F95" s="92" t="inlineStr">
        <is>
          <t>Yolanda Okonjo</t>
        </is>
      </c>
      <c r="G95" s="93" t="inlineStr">
        <is>
          <t>AGT-19|Farrah Bhatti</t>
        </is>
      </c>
      <c r="H95" s="92" t="inlineStr">
        <is>
          <t>Coverage &amp; Benefits</t>
        </is>
      </c>
      <c r="I95" s="92" t="inlineStr">
        <is>
          <t>dental</t>
        </is>
      </c>
      <c r="J95" s="93" t="inlineStr">
        <is>
          <t>—</t>
        </is>
      </c>
      <c r="K95" s="93" t="inlineStr">
        <is>
          <t>—</t>
        </is>
      </c>
      <c r="L95" s="92" t="inlineStr">
        <is>
          <t>RESOLVED</t>
        </is>
      </c>
      <c r="M95" s="92" t="n">
        <v>72</v>
      </c>
      <c r="N95" s="92" t="n">
        <v>295</v>
      </c>
      <c r="O95" s="93" t="inlineStr">
        <is>
          <t>Competent and resolved</t>
        </is>
      </c>
      <c r="P95" s="92" t="inlineStr">
        <is>
          <t>absent</t>
        </is>
      </c>
      <c r="Q95" s="93" t="inlineStr"/>
      <c r="R95" s="93" t="inlineStr">
        <is>
          <t>triggered false</t>
        </is>
      </c>
      <c r="S95" s="93" t="inlineStr"/>
      <c r="T95" s="93" t="inlineStr"/>
      <c r="U95" s="92" t="inlineStr"/>
      <c r="V95" s="93" t="inlineStr"/>
      <c r="W95" s="92" t="inlineStr"/>
      <c r="X95" s="93" t="inlineStr"/>
    </row>
    <row r="96" ht="30" customHeight="1" s="48">
      <c r="A96" s="94" t="inlineStr">
        <is>
          <t>C-0092</t>
        </is>
      </c>
      <c r="B96" s="94" t="inlineStr">
        <is>
          <t>Tue 15 Sep 2026 14:20</t>
        </is>
      </c>
      <c r="C96" s="94" t="inlineStr">
        <is>
          <t>B1</t>
        </is>
      </c>
      <c r="D96" s="94" t="inlineStr">
        <is>
          <t>EMPLOYER</t>
        </is>
      </c>
      <c r="E96" s="94" t="inlineStr">
        <is>
          <t>CON-114</t>
        </is>
      </c>
      <c r="F96" s="94" t="inlineStr">
        <is>
          <t>Rasmus Nkemdi</t>
        </is>
      </c>
      <c r="G96" s="95" t="inlineStr">
        <is>
          <t>AGT-01|Sarah Whitlock</t>
        </is>
      </c>
      <c r="H96" s="94" t="inlineStr">
        <is>
          <t>Broker Conduct</t>
        </is>
      </c>
      <c r="I96" s="94" t="inlineStr">
        <is>
          <t>program</t>
        </is>
      </c>
      <c r="J96" s="95" t="inlineStr">
        <is>
          <t>P-36</t>
        </is>
      </c>
      <c r="K96" s="95" t="inlineStr">
        <is>
          <t>broker_material</t>
        </is>
      </c>
      <c r="L96" s="94" t="inlineStr">
        <is>
          <t>ESCALATED</t>
        </is>
      </c>
      <c r="M96" s="94" t="n">
        <v>92</v>
      </c>
      <c r="N96" s="94" t="n">
        <v>605</v>
      </c>
      <c r="O96" s="95" t="inlineStr">
        <is>
          <t>Escalated or handed off correctly</t>
        </is>
      </c>
      <c r="P96" s="94" t="inlineStr">
        <is>
          <t>present|BROKER</t>
        </is>
      </c>
      <c r="Q96" s="95" t="inlineStr">
        <is>
          <t>broker_conduct_adverse|HIGH|Broker Relations; retention_risk|CRITICAL|Account Management</t>
        </is>
      </c>
      <c r="R96" s="95" t="inlineStr">
        <is>
          <t>triggered true|contested_document|requested_by_caller false|handled true</t>
        </is>
      </c>
      <c r="S96" s="95" t="inlineStr"/>
      <c r="T96" s="95" t="inlineStr"/>
      <c r="U96" s="94" t="inlineStr">
        <is>
          <t>market_test|verbatim, turn 20</t>
        </is>
      </c>
      <c r="V96" s="95" t="inlineStr"/>
      <c r="W96" s="94" t="inlineStr">
        <is>
          <t>present|BRK-03|ADVERSE</t>
        </is>
      </c>
      <c r="X96" s="95" t="inlineStr"/>
    </row>
    <row r="97" ht="30" customHeight="1" s="48">
      <c r="A97" s="92" t="inlineStr">
        <is>
          <t>C-0093</t>
        </is>
      </c>
      <c r="B97" s="92" t="inlineStr">
        <is>
          <t>Wed 16 Sep 2026 10:00</t>
        </is>
      </c>
      <c r="C97" s="92" t="inlineStr">
        <is>
          <t>B1</t>
        </is>
      </c>
      <c r="D97" s="92" t="inlineStr">
        <is>
          <t>MEMBER</t>
        </is>
      </c>
      <c r="E97" s="92" t="inlineStr">
        <is>
          <t>CB-7700193</t>
        </is>
      </c>
      <c r="F97" s="92" t="inlineStr">
        <is>
          <t>Rasmus Bonaventura</t>
        </is>
      </c>
      <c r="G97" s="93" t="inlineStr">
        <is>
          <t>AGT-06|Michael Osei</t>
        </is>
      </c>
      <c r="H97" s="92" t="inlineStr">
        <is>
          <t>Life &amp; Beneficiary</t>
        </is>
      </c>
      <c r="I97" s="92" t="inlineStr">
        <is>
          <t>life</t>
        </is>
      </c>
      <c r="J97" s="93" t="inlineStr">
        <is>
          <t>C-35</t>
        </is>
      </c>
      <c r="K97" s="93" t="inlineStr">
        <is>
          <t>agent_conversation</t>
        </is>
      </c>
      <c r="L97" s="92" t="inlineStr">
        <is>
          <t>RESOLVED</t>
        </is>
      </c>
      <c r="M97" s="92" t="n">
        <v>78</v>
      </c>
      <c r="N97" s="92" t="n">
        <v>350</v>
      </c>
      <c r="O97" s="93" t="inlineStr">
        <is>
          <t>Competent and resolved</t>
        </is>
      </c>
      <c r="P97" s="92" t="inlineStr">
        <is>
          <t>absent</t>
        </is>
      </c>
      <c r="Q97" s="93" t="inlineStr"/>
      <c r="R97" s="93" t="inlineStr">
        <is>
          <t>triggered false</t>
        </is>
      </c>
      <c r="S97" s="93" t="inlineStr"/>
      <c r="T97" s="93" t="inlineStr"/>
      <c r="U97" s="92" t="inlineStr"/>
      <c r="V97" s="93" t="inlineStr"/>
      <c r="W97" s="92" t="inlineStr"/>
      <c r="X97" s="93" t="inlineStr"/>
    </row>
    <row r="98" ht="30" customHeight="1" s="48">
      <c r="A98" s="94" t="inlineStr">
        <is>
          <t>C-0094</t>
        </is>
      </c>
      <c r="B98" s="94" t="inlineStr">
        <is>
          <t>Wed 16 Sep 2026 15:45</t>
        </is>
      </c>
      <c r="C98" s="94" t="inlineStr">
        <is>
          <t>B1</t>
        </is>
      </c>
      <c r="D98" s="94" t="inlineStr">
        <is>
          <t>MEMBER</t>
        </is>
      </c>
      <c r="E98" s="94" t="inlineStr">
        <is>
          <t>CB-7700278</t>
        </is>
      </c>
      <c r="F98" s="94" t="inlineStr">
        <is>
          <t>Aurelio Castellanos</t>
        </is>
      </c>
      <c r="G98" s="95" t="inlineStr">
        <is>
          <t>AGT-20|Otto Lindgren</t>
        </is>
      </c>
      <c r="H98" s="94" t="inlineStr">
        <is>
          <t>Provider Network</t>
        </is>
      </c>
      <c r="I98" s="94" t="inlineStr">
        <is>
          <t>dental</t>
        </is>
      </c>
      <c r="J98" s="95" t="inlineStr">
        <is>
          <t>—</t>
        </is>
      </c>
      <c r="K98" s="95" t="inlineStr">
        <is>
          <t>agent_conversation</t>
        </is>
      </c>
      <c r="L98" s="94" t="inlineStr">
        <is>
          <t>UNRESOLVED</t>
        </is>
      </c>
      <c r="M98" s="94" t="n">
        <v>46</v>
      </c>
      <c r="N98" s="94" t="n">
        <v>250</v>
      </c>
      <c r="O98" s="95" t="inlineStr">
        <is>
          <t>Brush-off</t>
        </is>
      </c>
      <c r="P98" s="94" t="inlineStr">
        <is>
          <t>present|CHOICE</t>
        </is>
      </c>
      <c r="Q98" s="95" t="inlineStr"/>
      <c r="R98" s="95" t="inlineStr">
        <is>
          <t>triggered false</t>
        </is>
      </c>
      <c r="S98" s="95" t="inlineStr"/>
      <c r="T98" s="95" t="inlineStr"/>
      <c r="U98" s="94" t="inlineStr"/>
      <c r="V98" s="95" t="inlineStr"/>
      <c r="W98" s="94" t="inlineStr"/>
      <c r="X98" s="95" t="inlineStr"/>
    </row>
    <row r="99" ht="30" customHeight="1" s="48">
      <c r="A99" s="92" t="inlineStr">
        <is>
          <t>C-0095</t>
        </is>
      </c>
      <c r="B99" s="92" t="inlineStr">
        <is>
          <t>Thu 17 Sep 2026 09:30</t>
        </is>
      </c>
      <c r="C99" s="92" t="inlineStr">
        <is>
          <t>B1</t>
        </is>
      </c>
      <c r="D99" s="92" t="inlineStr">
        <is>
          <t>EMPLOYER</t>
        </is>
      </c>
      <c r="E99" s="92" t="inlineStr">
        <is>
          <t>CON-195</t>
        </is>
      </c>
      <c r="F99" s="92" t="inlineStr">
        <is>
          <t>Nadira Bonaventura</t>
        </is>
      </c>
      <c r="G99" s="93" t="inlineStr">
        <is>
          <t>AGT-03|Danielle Park</t>
        </is>
      </c>
      <c r="H99" s="92" t="inlineStr">
        <is>
          <t>Enrollment &amp; ID Cards</t>
        </is>
      </c>
      <c r="I99" s="92" t="inlineStr">
        <is>
          <t>program</t>
        </is>
      </c>
      <c r="J99" s="93" t="inlineStr">
        <is>
          <t>A-19</t>
        </is>
      </c>
      <c r="K99" s="93" t="inlineStr">
        <is>
          <t>enrolment_form</t>
        </is>
      </c>
      <c r="L99" s="92" t="inlineStr">
        <is>
          <t>RESOLVED</t>
        </is>
      </c>
      <c r="M99" s="92" t="n">
        <v>85</v>
      </c>
      <c r="N99" s="92" t="n">
        <v>445</v>
      </c>
      <c r="O99" s="93" t="inlineStr">
        <is>
          <t>Competent and resolved</t>
        </is>
      </c>
      <c r="P99" s="92" t="inlineStr">
        <is>
          <t>absent</t>
        </is>
      </c>
      <c r="Q99" s="93" t="inlineStr"/>
      <c r="R99" s="93" t="inlineStr">
        <is>
          <t>triggered false</t>
        </is>
      </c>
      <c r="S99" s="93" t="inlineStr"/>
      <c r="T99" s="93" t="inlineStr"/>
      <c r="U99" s="92" t="inlineStr"/>
      <c r="V99" s="93" t="inlineStr"/>
      <c r="W99" s="92" t="inlineStr"/>
      <c r="X99" s="93" t="inlineStr"/>
    </row>
    <row r="100" ht="30" customHeight="1" s="48">
      <c r="A100" s="94" t="inlineStr">
        <is>
          <t>C-0096</t>
        </is>
      </c>
      <c r="B100" s="94" t="inlineStr">
        <is>
          <t>Thu 17 Sep 2026 14:05</t>
        </is>
      </c>
      <c r="C100" s="94" t="inlineStr">
        <is>
          <t>B1</t>
        </is>
      </c>
      <c r="D100" s="94" t="inlineStr">
        <is>
          <t>MEMBER</t>
        </is>
      </c>
      <c r="E100" s="94" t="inlineStr">
        <is>
          <t>CB-7700280</t>
        </is>
      </c>
      <c r="F100" s="94" t="inlineStr">
        <is>
          <t>Uma Ferrara</t>
        </is>
      </c>
      <c r="G100" s="95" t="inlineStr">
        <is>
          <t>AGT-11|Grace Adeyemi</t>
        </is>
      </c>
      <c r="H100" s="94" t="inlineStr">
        <is>
          <t>Coverage &amp; Benefits</t>
        </is>
      </c>
      <c r="I100" s="94" t="inlineStr">
        <is>
          <t>dental</t>
        </is>
      </c>
      <c r="J100" s="95" t="inlineStr">
        <is>
          <t>C-14</t>
        </is>
      </c>
      <c r="K100" s="95" t="inlineStr">
        <is>
          <t>agent_conversation</t>
        </is>
      </c>
      <c r="L100" s="94" t="inlineStr">
        <is>
          <t>RESOLVED</t>
        </is>
      </c>
      <c r="M100" s="94" t="n">
        <v>82</v>
      </c>
      <c r="N100" s="94" t="n">
        <v>375</v>
      </c>
      <c r="O100" s="95" t="inlineStr">
        <is>
          <t>Competent and resolved</t>
        </is>
      </c>
      <c r="P100" s="94" t="inlineStr">
        <is>
          <t>absent</t>
        </is>
      </c>
      <c r="Q100" s="95" t="inlineStr"/>
      <c r="R100" s="95" t="inlineStr">
        <is>
          <t>triggered false</t>
        </is>
      </c>
      <c r="S100" s="95" t="inlineStr"/>
      <c r="T100" s="95" t="inlineStr"/>
      <c r="U100" s="94" t="inlineStr"/>
      <c r="V100" s="95" t="inlineStr"/>
      <c r="W100" s="94" t="inlineStr"/>
      <c r="X100" s="95" t="inlineStr"/>
    </row>
    <row r="101" ht="30" customHeight="1" s="48">
      <c r="A101" s="92" t="inlineStr">
        <is>
          <t>C-0097</t>
        </is>
      </c>
      <c r="B101" s="92" t="inlineStr">
        <is>
          <t>Fri 18 Sep 2026 10:20</t>
        </is>
      </c>
      <c r="C101" s="92" t="inlineStr">
        <is>
          <t>B1</t>
        </is>
      </c>
      <c r="D101" s="92" t="inlineStr">
        <is>
          <t>MEMBER</t>
        </is>
      </c>
      <c r="E101" s="92" t="inlineStr">
        <is>
          <t>CB-7700281</t>
        </is>
      </c>
      <c r="F101" s="92" t="inlineStr">
        <is>
          <t>Tamsin Petrova</t>
        </is>
      </c>
      <c r="G101" s="93" t="inlineStr">
        <is>
          <t>AGT-13|Kayla Brennan</t>
        </is>
      </c>
      <c r="H101" s="92" t="inlineStr">
        <is>
          <t>Coverage &amp; Benefits</t>
        </is>
      </c>
      <c r="I101" s="92" t="inlineStr">
        <is>
          <t>dental</t>
        </is>
      </c>
      <c r="J101" s="93" t="inlineStr">
        <is>
          <t>—</t>
        </is>
      </c>
      <c r="K101" s="93" t="inlineStr">
        <is>
          <t>—</t>
        </is>
      </c>
      <c r="L101" s="92" t="inlineStr">
        <is>
          <t>PARTIALLY RESOLVED</t>
        </is>
      </c>
      <c r="M101" s="92" t="n">
        <v>65</v>
      </c>
      <c r="N101" s="92" t="n">
        <v>305</v>
      </c>
      <c r="O101" s="93" t="inlineStr">
        <is>
          <t>Competent but constrained</t>
        </is>
      </c>
      <c r="P101" s="92" t="inlineStr">
        <is>
          <t>absent</t>
        </is>
      </c>
      <c r="Q101" s="93" t="inlineStr"/>
      <c r="R101" s="93" t="inlineStr">
        <is>
          <t>triggered false</t>
        </is>
      </c>
      <c r="S101" s="93" t="inlineStr"/>
      <c r="T101" s="93" t="inlineStr"/>
      <c r="U101" s="92" t="inlineStr"/>
      <c r="V101" s="93" t="inlineStr"/>
      <c r="W101" s="92" t="inlineStr"/>
      <c r="X101" s="93" t="inlineStr"/>
    </row>
    <row r="102" ht="30" customHeight="1" s="48">
      <c r="A102" s="94" t="inlineStr">
        <is>
          <t>C-0098</t>
        </is>
      </c>
      <c r="B102" s="94" t="inlineStr">
        <is>
          <t>Fri 18 Sep 2026 15:30</t>
        </is>
      </c>
      <c r="C102" s="94" t="inlineStr">
        <is>
          <t>B1</t>
        </is>
      </c>
      <c r="D102" s="94" t="inlineStr">
        <is>
          <t>EMPLOYER</t>
        </is>
      </c>
      <c r="E102" s="94" t="inlineStr">
        <is>
          <t>CON-198</t>
        </is>
      </c>
      <c r="F102" s="94" t="inlineStr">
        <is>
          <t>Harold Roux</t>
        </is>
      </c>
      <c r="G102" s="95" t="inlineStr">
        <is>
          <t>AGT-02|Carlos Mendez</t>
        </is>
      </c>
      <c r="H102" s="94" t="inlineStr">
        <is>
          <t>Billing &amp; Premium</t>
        </is>
      </c>
      <c r="I102" s="94" t="inlineStr">
        <is>
          <t>program</t>
        </is>
      </c>
      <c r="J102" s="95" t="inlineStr">
        <is>
          <t>A-24, P-18, P-23</t>
        </is>
      </c>
      <c r="K102" s="95" t="inlineStr">
        <is>
          <t>renewal_pack</t>
        </is>
      </c>
      <c r="L102" s="94" t="inlineStr">
        <is>
          <t>RESOLVED</t>
        </is>
      </c>
      <c r="M102" s="94" t="n">
        <v>87</v>
      </c>
      <c r="N102" s="94" t="n">
        <v>530</v>
      </c>
      <c r="O102" s="95" t="inlineStr">
        <is>
          <t>Competent and resolved</t>
        </is>
      </c>
      <c r="P102" s="94" t="inlineStr">
        <is>
          <t>absent</t>
        </is>
      </c>
      <c r="Q102" s="95" t="inlineStr"/>
      <c r="R102" s="95" t="inlineStr">
        <is>
          <t>triggered false</t>
        </is>
      </c>
      <c r="S102" s="95" t="inlineStr"/>
      <c r="T102" s="95" t="inlineStr"/>
      <c r="U102" s="94" t="inlineStr"/>
      <c r="V102" s="95" t="inlineStr"/>
      <c r="W102" s="94" t="inlineStr"/>
      <c r="X102" s="95" t="inlineStr"/>
    </row>
    <row r="103" ht="30" customHeight="1" s="48">
      <c r="A103" s="92" t="inlineStr">
        <is>
          <t>C-0099</t>
        </is>
      </c>
      <c r="B103" s="92" t="inlineStr">
        <is>
          <t>Mon 21 Sep 2026 09:15</t>
        </is>
      </c>
      <c r="C103" s="92" t="inlineStr">
        <is>
          <t>B1</t>
        </is>
      </c>
      <c r="D103" s="92" t="inlineStr">
        <is>
          <t>MEMBER</t>
        </is>
      </c>
      <c r="E103" s="92" t="inlineStr">
        <is>
          <t>CB-7700199</t>
        </is>
      </c>
      <c r="F103" s="92" t="inlineStr">
        <is>
          <t>Rafael Okafor</t>
        </is>
      </c>
      <c r="G103" s="93" t="inlineStr">
        <is>
          <t>AGT-04|Priya Anand</t>
        </is>
      </c>
      <c r="H103" s="92" t="inlineStr">
        <is>
          <t>Life &amp; Beneficiary</t>
        </is>
      </c>
      <c r="I103" s="92" t="inlineStr">
        <is>
          <t>life</t>
        </is>
      </c>
      <c r="J103" s="93" t="inlineStr">
        <is>
          <t>C-34, A-44</t>
        </is>
      </c>
      <c r="K103" s="93" t="inlineStr">
        <is>
          <t>cobra_notice</t>
        </is>
      </c>
      <c r="L103" s="92" t="inlineStr">
        <is>
          <t>RESOLVED</t>
        </is>
      </c>
      <c r="M103" s="92" t="n">
        <v>86</v>
      </c>
      <c r="N103" s="92" t="n">
        <v>400</v>
      </c>
      <c r="O103" s="93" t="inlineStr">
        <is>
          <t>Competent and resolved</t>
        </is>
      </c>
      <c r="P103" s="92" t="inlineStr">
        <is>
          <t>present|CHOICE</t>
        </is>
      </c>
      <c r="Q103" s="93" t="inlineStr">
        <is>
          <t>member_communication_gap|MEDIUM|Member Communications</t>
        </is>
      </c>
      <c r="R103" s="93" t="inlineStr">
        <is>
          <t>triggered false</t>
        </is>
      </c>
      <c r="S103" s="93" t="inlineStr"/>
      <c r="T103" s="93" t="inlineStr"/>
      <c r="U103" s="92" t="inlineStr"/>
      <c r="V103" s="93" t="inlineStr">
        <is>
          <t>present|conversion rights are never included in the leaver pack|cobra_notice|AGENT|UNVALIDATED</t>
        </is>
      </c>
      <c r="W103" s="92" t="inlineStr"/>
      <c r="X103" s="93" t="inlineStr"/>
    </row>
    <row r="104" ht="30" customHeight="1" s="48">
      <c r="A104" s="94" t="inlineStr">
        <is>
          <t>C-0100</t>
        </is>
      </c>
      <c r="B104" s="94" t="inlineStr">
        <is>
          <t>Mon 21 Sep 2026 14:50</t>
        </is>
      </c>
      <c r="C104" s="94" t="inlineStr">
        <is>
          <t>B1</t>
        </is>
      </c>
      <c r="D104" s="94" t="inlineStr">
        <is>
          <t>EMPLOYER</t>
        </is>
      </c>
      <c r="E104" s="94" t="inlineStr">
        <is>
          <t>CON-199</t>
        </is>
      </c>
      <c r="F104" s="94" t="inlineStr">
        <is>
          <t>Yannick Whitmore</t>
        </is>
      </c>
      <c r="G104" s="95" t="inlineStr">
        <is>
          <t>AGT-05|Adaeze Nwosu</t>
        </is>
      </c>
      <c r="H104" s="94" t="inlineStr">
        <is>
          <t>Billing &amp; Premium</t>
        </is>
      </c>
      <c r="I104" s="94" t="inlineStr">
        <is>
          <t>program</t>
        </is>
      </c>
      <c r="J104" s="95" t="inlineStr">
        <is>
          <t>A-28, A-29, A-39</t>
        </is>
      </c>
      <c r="K104" s="95" t="inlineStr">
        <is>
          <t>invoice_statement</t>
        </is>
      </c>
      <c r="L104" s="94" t="inlineStr">
        <is>
          <t>ESCALATED</t>
        </is>
      </c>
      <c r="M104" s="94" t="n">
        <v>89</v>
      </c>
      <c r="N104" s="94" t="n">
        <v>595</v>
      </c>
      <c r="O104" s="95" t="inlineStr">
        <is>
          <t>Escalated or handed off correctly</t>
        </is>
      </c>
      <c r="P104" s="94" t="inlineStr">
        <is>
          <t>present|CHOICE</t>
        </is>
      </c>
      <c r="Q104" s="95" t="inlineStr">
        <is>
          <t>process_breakdown|HIGH|Operations; retention_risk|CRITICAL|Account Management</t>
        </is>
      </c>
      <c r="R104" s="95" t="inlineStr">
        <is>
          <t>triggered true|authority_limit|requested_by_caller true|handled true</t>
        </is>
      </c>
      <c r="S104" s="95" t="inlineStr"/>
      <c r="T104" s="95" t="inlineStr"/>
      <c r="U104" s="94" t="inlineStr">
        <is>
          <t>market_test|verbatim, turn 17</t>
        </is>
      </c>
      <c r="V104" s="95" t="inlineStr">
        <is>
          <t>present|cancellation notices should have an email route, not post only|invoice_statement|AGENT|UNVALIDATED</t>
        </is>
      </c>
      <c r="W104" s="94" t="inlineStr"/>
      <c r="X104" s="95" t="inlineStr"/>
    </row>
    <row r="105">
      <c r="A105" s="96" t="inlineStr">
        <is>
          <t>TOTAL</t>
        </is>
      </c>
      <c r="B105" s="97">
        <f>COUNTA(A5:A104)&amp;" transcripts written"</f>
        <v/>
      </c>
      <c r="M105" s="97">
        <f>ROUND(AVERAGE(M5:M104),1)</f>
        <v/>
      </c>
      <c r="N105" s="97">
        <f>ROUND(AVERAGE(N5:N104),0)</f>
        <v/>
      </c>
    </row>
  </sheetData>
  <mergeCells count="1">
    <mergeCell ref="A2:H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8" customWidth="1" style="48" min="1" max="1"/>
    <col width="42" customWidth="1" style="48" min="2" max="2"/>
    <col width="14" customWidth="1" style="48" min="3" max="3"/>
    <col width="15" customWidth="1" style="48" min="4" max="4"/>
    <col width="15" customWidth="1" style="48" min="5" max="5"/>
    <col width="10" customWidth="1" style="48" min="6" max="6"/>
    <col width="62" customWidth="1" style="48" min="7" max="7"/>
  </cols>
  <sheetData>
    <row r="1" ht="22" customHeight="1" s="48">
      <c r="A1" s="89" t="inlineStr">
        <is>
          <t>Batch coverage — written against target</t>
        </is>
      </c>
    </row>
    <row r="2" ht="86.8" customHeight="1" s="48">
      <c r="A2" s="90" t="inlineStr">
        <is>
          <t>What the corpus has so far against what the design says it needs. Written before anyone asks: batch 1 drifted in four places and this sheet records it rather than hiding it. Competent-and-resolved calls are over-produced and circular calls under-produced, because circular calls are long and slow to write and the easy ones got written first. Vision, life and chiropractic are all behind and program-level employer calls are ahead. Broker-attributed calls are the most serious gap at six against a pro-rata twenty. None of this matters while it is visible and corrected in the next batch; it matters enormously if it is discovered at 600. Batch 2 should be written against the Gap column, not against the design targets.</t>
        </is>
      </c>
    </row>
    <row r="3" ht="6" customHeight="1" s="48"/>
    <row r="4" ht="32" customHeight="1" s="48">
      <c r="A4" s="91" t="inlineStr">
        <is>
          <t>Section</t>
        </is>
      </c>
      <c r="B4" s="91" t="inlineStr">
        <is>
          <t>Measure</t>
        </is>
      </c>
      <c r="C4" s="91" t="inlineStr">
        <is>
          <t>Target at 600</t>
        </is>
      </c>
      <c r="D4" s="91" t="inlineStr">
        <is>
          <t>Written (batch 1)</t>
        </is>
      </c>
      <c r="E4" s="91" t="inlineStr">
        <is>
          <t>Pro-rata at 100</t>
        </is>
      </c>
      <c r="F4" s="91" t="inlineStr">
        <is>
          <t>Gap</t>
        </is>
      </c>
      <c r="G4" s="91" t="inlineStr">
        <is>
          <t>Note</t>
        </is>
      </c>
    </row>
    <row r="5" ht="30" customHeight="1" s="48">
      <c r="A5" s="92" t="inlineStr">
        <is>
          <t>VOLUME</t>
        </is>
      </c>
      <c r="B5" s="93" t="inlineStr">
        <is>
          <t>Transcripts written</t>
        </is>
      </c>
      <c r="C5" s="92" t="n">
        <v>600</v>
      </c>
      <c r="D5" s="92" t="n">
        <v>100</v>
      </c>
      <c r="E5" s="92" t="n">
        <v>100</v>
      </c>
      <c r="F5" s="92" t="n">
        <v>0</v>
      </c>
      <c r="G5" s="93" t="inlineStr">
        <is>
          <t>Batch 1 of an expected six batches of 100.</t>
        </is>
      </c>
    </row>
    <row r="6" ht="30" customHeight="1" s="48">
      <c r="A6" s="94" t="inlineStr">
        <is>
          <t>CALLER MIX</t>
        </is>
      </c>
      <c r="B6" s="95" t="inlineStr">
        <is>
          <t>Member-initiated</t>
        </is>
      </c>
      <c r="C6" s="94" t="n">
        <v>390</v>
      </c>
      <c r="D6" s="94" t="n">
        <v>63</v>
      </c>
      <c r="E6" s="94" t="n">
        <v>65</v>
      </c>
      <c r="F6" s="94" t="n">
        <v>-2</v>
      </c>
      <c r="G6" s="95" t="inlineStr">
        <is>
          <t>On plan.</t>
        </is>
      </c>
    </row>
    <row r="7" ht="30" customHeight="1" s="48">
      <c r="A7" s="92" t="inlineStr"/>
      <c r="B7" s="93" t="inlineStr">
        <is>
          <t>Employer-initiated</t>
        </is>
      </c>
      <c r="C7" s="92" t="n">
        <v>210</v>
      </c>
      <c r="D7" s="92" t="n">
        <v>37</v>
      </c>
      <c r="E7" s="92" t="n">
        <v>35</v>
      </c>
      <c r="F7" s="92" t="n">
        <v>2</v>
      </c>
      <c r="G7" s="93" t="inlineStr">
        <is>
          <t>On plan.</t>
        </is>
      </c>
    </row>
    <row r="8" ht="30" customHeight="1" s="48">
      <c r="A8" s="94" t="inlineStr">
        <is>
          <t>OUTCOMES</t>
        </is>
      </c>
      <c r="B8" s="95" t="inlineStr">
        <is>
          <t>Resolved</t>
        </is>
      </c>
      <c r="C8" s="94" t="n">
        <v>372</v>
      </c>
      <c r="D8" s="94" t="n">
        <v>63</v>
      </c>
      <c r="E8" s="94" t="n">
        <v>62</v>
      </c>
      <c r="F8" s="94" t="n">
        <v>1</v>
      </c>
      <c r="G8" s="95" t="inlineStr">
        <is>
          <t>Running ahead. Batch 2 should lean harder on the other three.</t>
        </is>
      </c>
    </row>
    <row r="9" ht="30" customHeight="1" s="48">
      <c r="A9" s="92" t="inlineStr"/>
      <c r="B9" s="93" t="inlineStr">
        <is>
          <t>Partially resolved</t>
        </is>
      </c>
      <c r="C9" s="92" t="n">
        <v>72</v>
      </c>
      <c r="D9" s="92" t="n">
        <v>11</v>
      </c>
      <c r="E9" s="92" t="n">
        <v>12</v>
      </c>
      <c r="F9" s="92" t="n">
        <v>-1</v>
      </c>
      <c r="G9" s="93" t="inlineStr">
        <is>
          <t>On plan.</t>
        </is>
      </c>
    </row>
    <row r="10" ht="30" customHeight="1" s="48">
      <c r="A10" s="94" t="inlineStr"/>
      <c r="B10" s="95" t="inlineStr">
        <is>
          <t>Escalated</t>
        </is>
      </c>
      <c r="C10" s="94" t="n">
        <v>30</v>
      </c>
      <c r="D10" s="94" t="n">
        <v>7</v>
      </c>
      <c r="E10" s="94" t="n">
        <v>5</v>
      </c>
      <c r="F10" s="94" t="n">
        <v>2</v>
      </c>
      <c r="G10" s="95" t="inlineStr">
        <is>
          <t>Running ahead; ease off in batch 2.</t>
        </is>
      </c>
    </row>
    <row r="11" ht="30" customHeight="1" s="48">
      <c r="A11" s="92" t="inlineStr"/>
      <c r="B11" s="93" t="inlineStr">
        <is>
          <t>Unresolved</t>
        </is>
      </c>
      <c r="C11" s="92" t="n">
        <v>126</v>
      </c>
      <c r="D11" s="92" t="n">
        <v>19</v>
      </c>
      <c r="E11" s="92" t="n">
        <v>21</v>
      </c>
      <c r="F11" s="92" t="n">
        <v>-2</v>
      </c>
      <c r="G11" s="93" t="inlineStr">
        <is>
          <t>Slightly behind. Needed as the repeat-rate denominator.</t>
        </is>
      </c>
    </row>
    <row r="12" ht="30" customHeight="1" s="48">
      <c r="A12" s="94" t="inlineStr">
        <is>
          <t>ARCHETYPE</t>
        </is>
      </c>
      <c r="B12" s="95" t="inlineStr">
        <is>
          <t>Competent and resolved</t>
        </is>
      </c>
      <c r="C12" s="94" t="n">
        <v>288</v>
      </c>
      <c r="D12" s="94" t="n">
        <v>63</v>
      </c>
      <c r="E12" s="94" t="n">
        <v>48</v>
      </c>
      <c r="F12" s="94" t="n">
        <v>15</v>
      </c>
      <c r="G12" s="95" t="inlineStr">
        <is>
          <t>Well ahead — correct in batch 2.</t>
        </is>
      </c>
    </row>
    <row r="13" ht="30" customHeight="1" s="48">
      <c r="A13" s="98" t="inlineStr"/>
      <c r="B13" s="99" t="inlineStr">
        <is>
          <t>Competent but constrained</t>
        </is>
      </c>
      <c r="C13" s="98" t="n">
        <v>102</v>
      </c>
      <c r="D13" s="98" t="n">
        <v>11</v>
      </c>
      <c r="E13" s="98" t="n">
        <v>17</v>
      </c>
      <c r="F13" s="98" t="n">
        <v>-6</v>
      </c>
      <c r="G13" s="99" t="inlineStr">
        <is>
          <t>Behind. The most under-represented archetype.</t>
        </is>
      </c>
    </row>
    <row r="14" ht="30" customHeight="1" s="48">
      <c r="A14" s="98" t="inlineStr"/>
      <c r="B14" s="99" t="inlineStr">
        <is>
          <t>Circular</t>
        </is>
      </c>
      <c r="C14" s="98" t="n">
        <v>84</v>
      </c>
      <c r="D14" s="98" t="n">
        <v>6</v>
      </c>
      <c r="E14" s="98" t="n">
        <v>14</v>
      </c>
      <c r="F14" s="98" t="n">
        <v>-8</v>
      </c>
      <c r="G14" s="99" t="inlineStr">
        <is>
          <t>Behind by half. These are long and expensive to write and were under-produced.</t>
        </is>
      </c>
    </row>
    <row r="15" ht="30" customHeight="1" s="48">
      <c r="A15" s="92" t="inlineStr"/>
      <c r="B15" s="93" t="inlineStr">
        <is>
          <t>Brush-off</t>
        </is>
      </c>
      <c r="C15" s="92" t="n">
        <v>78</v>
      </c>
      <c r="D15" s="92" t="n">
        <v>13</v>
      </c>
      <c r="E15" s="92" t="n">
        <v>13</v>
      </c>
      <c r="F15" s="92" t="n">
        <v>0</v>
      </c>
      <c r="G15" s="93" t="inlineStr">
        <is>
          <t>On plan.</t>
        </is>
      </c>
    </row>
    <row r="16" ht="30" customHeight="1" s="48">
      <c r="A16" s="94" t="inlineStr"/>
      <c r="B16" s="95" t="inlineStr">
        <is>
          <t>Escalated or handed off</t>
        </is>
      </c>
      <c r="C16" s="94" t="n">
        <v>48</v>
      </c>
      <c r="D16" s="94" t="n">
        <v>7</v>
      </c>
      <c r="E16" s="94" t="n">
        <v>8</v>
      </c>
      <c r="F16" s="94" t="n">
        <v>-1</v>
      </c>
      <c r="G16" s="95" t="inlineStr">
        <is>
          <t>On plan.</t>
        </is>
      </c>
    </row>
    <row r="17" ht="30" customHeight="1" s="48">
      <c r="A17" s="92" t="inlineStr">
        <is>
          <t>PRODUCT</t>
        </is>
      </c>
      <c r="B17" s="93" t="inlineStr">
        <is>
          <t>Dental</t>
        </is>
      </c>
      <c r="C17" s="92" t="n">
        <v>270</v>
      </c>
      <c r="D17" s="92" t="n">
        <v>45</v>
      </c>
      <c r="E17" s="92" t="n">
        <v>45</v>
      </c>
      <c r="F17" s="92" t="n">
        <v>0</v>
      </c>
      <c r="G17" s="93" t="inlineStr">
        <is>
          <t>On plan.</t>
        </is>
      </c>
    </row>
    <row r="18" ht="30" customHeight="1" s="48">
      <c r="A18" s="98" t="inlineStr"/>
      <c r="B18" s="99" t="inlineStr">
        <is>
          <t>Vision</t>
        </is>
      </c>
      <c r="C18" s="98" t="n">
        <v>132</v>
      </c>
      <c r="D18" s="98" t="n">
        <v>11</v>
      </c>
      <c r="E18" s="98" t="n">
        <v>22</v>
      </c>
      <c r="F18" s="98" t="n">
        <v>-11</v>
      </c>
      <c r="G18" s="99" t="inlineStr">
        <is>
          <t>Behind. Batch 2 needs roughly double.</t>
        </is>
      </c>
    </row>
    <row r="19" ht="30" customHeight="1" s="48">
      <c r="A19" s="98" t="inlineStr"/>
      <c r="B19" s="99" t="inlineStr">
        <is>
          <t>Life</t>
        </is>
      </c>
      <c r="C19" s="98" t="n">
        <v>78</v>
      </c>
      <c r="D19" s="98" t="n">
        <v>5</v>
      </c>
      <c r="E19" s="98" t="n">
        <v>13</v>
      </c>
      <c r="F19" s="98" t="n">
        <v>-8</v>
      </c>
      <c r="G19" s="99" t="inlineStr">
        <is>
          <t>Behind. The thinnest cell and the one that needs 30+ to quote a rate.</t>
        </is>
      </c>
    </row>
    <row r="20" ht="30" customHeight="1" s="48">
      <c r="A20" s="98" t="inlineStr"/>
      <c r="B20" s="99" t="inlineStr">
        <is>
          <t>Chiropractic</t>
        </is>
      </c>
      <c r="C20" s="98" t="n">
        <v>53</v>
      </c>
      <c r="D20" s="98" t="n">
        <v>4</v>
      </c>
      <c r="E20" s="98" t="n">
        <v>9</v>
      </c>
      <c r="F20" s="98" t="n">
        <v>-5</v>
      </c>
      <c r="G20" s="99" t="inlineStr">
        <is>
          <t>Behind.</t>
        </is>
      </c>
    </row>
    <row r="21" ht="30" customHeight="1" s="48">
      <c r="A21" s="92" t="inlineStr"/>
      <c r="B21" s="93" t="inlineStr">
        <is>
          <t>Program-level</t>
        </is>
      </c>
      <c r="C21" s="92" t="n">
        <v>67</v>
      </c>
      <c r="D21" s="92" t="n">
        <v>35</v>
      </c>
      <c r="E21" s="92" t="n">
        <v>11</v>
      </c>
      <c r="F21" s="92" t="n">
        <v>24</v>
      </c>
      <c r="G21" s="93" t="inlineStr">
        <is>
          <t>Well ahead — employer administration calls over-produced.</t>
        </is>
      </c>
    </row>
    <row r="22" ht="30" customHeight="1" s="48">
      <c r="A22" s="94" t="inlineStr">
        <is>
          <t>RULE COVERAGE</t>
        </is>
      </c>
      <c r="B22" s="95" t="inlineStr">
        <is>
          <t>Calls anchored to a published rule</t>
        </is>
      </c>
      <c r="C22" s="94" t="inlineStr">
        <is>
          <t>~62%</t>
        </is>
      </c>
      <c r="D22" s="94" t="inlineStr">
        <is>
          <t>69%</t>
        </is>
      </c>
      <c r="E22" s="94" t="inlineStr">
        <is>
          <t>~62%</t>
        </is>
      </c>
      <c r="F22" s="94" t="inlineStr"/>
      <c r="G22" s="95" t="inlineStr">
        <is>
          <t>Deliberate design: members call about things that are not rules.</t>
        </is>
      </c>
    </row>
    <row r="23" ht="30" customHeight="1" s="48">
      <c r="A23" s="92" t="inlineStr"/>
      <c r="B23" s="93" t="inlineStr">
        <is>
          <t>Calls with no governing rule</t>
        </is>
      </c>
      <c r="C23" s="92" t="inlineStr">
        <is>
          <t>~38%</t>
        </is>
      </c>
      <c r="D23" s="92" t="inlineStr">
        <is>
          <t>31%</t>
        </is>
      </c>
      <c r="E23" s="92" t="inlineStr">
        <is>
          <t>~38%</t>
        </is>
      </c>
      <c r="F23" s="92" t="inlineStr"/>
      <c r="G23" s="93" t="inlineStr">
        <is>
          <t>General service concerns — address changes, provider complaints, out-of-scope questions, broken glasses, language access. These must stay roughly a third or the corpus reads as a rules quiz.</t>
        </is>
      </c>
    </row>
    <row r="24" ht="30" customHeight="1" s="48">
      <c r="A24" s="94" t="inlineStr">
        <is>
          <t>COMPLIANCE</t>
        </is>
      </c>
      <c r="B24" s="95" t="inlineStr">
        <is>
          <t>No recording disclosure</t>
        </is>
      </c>
      <c r="C24" s="94" t="n">
        <v>36</v>
      </c>
      <c r="D24" s="94" t="n">
        <v>4</v>
      </c>
      <c r="E24" s="94" t="n">
        <v>6</v>
      </c>
      <c r="F24" s="94" t="n">
        <v>-2</v>
      </c>
      <c r="G24" s="95" t="inlineStr">
        <is>
          <t>Behind pro-rata (6 expected).</t>
        </is>
      </c>
    </row>
    <row r="25" ht="30" customHeight="1" s="48">
      <c r="A25" s="92" t="inlineStr"/>
      <c r="B25" s="93" t="inlineStr">
        <is>
          <t>Disclosure before verification</t>
        </is>
      </c>
      <c r="C25" s="92" t="n">
        <v>30</v>
      </c>
      <c r="D25" s="92" t="n">
        <v>3</v>
      </c>
      <c r="E25" s="92" t="n">
        <v>5</v>
      </c>
      <c r="F25" s="92" t="n">
        <v>-2</v>
      </c>
      <c r="G25" s="93" t="inlineStr">
        <is>
          <t>Behind pro-rata (5 expected).</t>
        </is>
      </c>
    </row>
    <row r="26" ht="30" customHeight="1" s="48">
      <c r="A26" s="94" t="inlineStr">
        <is>
          <t>ESCALATION</t>
        </is>
      </c>
      <c r="B26" s="95" t="inlineStr">
        <is>
          <t>Triggered</t>
        </is>
      </c>
      <c r="C26" s="94" t="n">
        <v>72</v>
      </c>
      <c r="D26" s="94" t="n">
        <v>11</v>
      </c>
      <c r="E26" s="94" t="n">
        <v>12</v>
      </c>
      <c r="F26" s="94" t="n">
        <v>-1</v>
      </c>
      <c r="G26" s="95" t="inlineStr">
        <is>
          <t>Slightly behind.</t>
        </is>
      </c>
    </row>
    <row r="27" ht="30" customHeight="1" s="48">
      <c r="A27" s="92" t="inlineStr"/>
      <c r="B27" s="93" t="inlineStr">
        <is>
          <t>— handled</t>
        </is>
      </c>
      <c r="C27" s="92" t="n">
        <v>30</v>
      </c>
      <c r="D27" s="92" t="n">
        <v>7</v>
      </c>
      <c r="E27" s="92" t="n">
        <v>5</v>
      </c>
      <c r="F27" s="92" t="n">
        <v>2</v>
      </c>
      <c r="G27" s="93" t="inlineStr">
        <is>
          <t>Ahead.</t>
        </is>
      </c>
    </row>
    <row r="28" ht="30" customHeight="1" s="48">
      <c r="A28" s="94" t="inlineStr"/>
      <c r="B28" s="95" t="inlineStr">
        <is>
          <t>— refused</t>
        </is>
      </c>
      <c r="C28" s="94" t="n">
        <v>42</v>
      </c>
      <c r="D28" s="94" t="n">
        <v>4</v>
      </c>
      <c r="E28" s="94" t="n">
        <v>7</v>
      </c>
      <c r="F28" s="94" t="n">
        <v>-3</v>
      </c>
      <c r="G28" s="95" t="inlineStr">
        <is>
          <t>Well behind. Batch 2 needs more refused escalations to hold the 58% refusal rate.</t>
        </is>
      </c>
    </row>
    <row r="29" ht="30" customHeight="1" s="48">
      <c r="A29" s="92" t="inlineStr">
        <is>
          <t>KNOWLEDGE</t>
        </is>
      </c>
      <c r="B29" s="93" t="inlineStr">
        <is>
          <t>Knowledge failures</t>
        </is>
      </c>
      <c r="C29" s="92" t="n">
        <v>72</v>
      </c>
      <c r="D29" s="92" t="n">
        <v>11</v>
      </c>
      <c r="E29" s="92" t="n">
        <v>12</v>
      </c>
      <c r="F29" s="92" t="n">
        <v>-1</v>
      </c>
      <c r="G29" s="93" t="inlineStr">
        <is>
          <t>Slightly behind.</t>
        </is>
      </c>
    </row>
    <row r="30" ht="30" customHeight="1" s="48">
      <c r="A30" s="94" t="inlineStr">
        <is>
          <t>PROCESS GAPS</t>
        </is>
      </c>
      <c r="B30" s="95" t="inlineStr">
        <is>
          <t>process_gap proposals</t>
        </is>
      </c>
      <c r="C30" s="94" t="n">
        <v>54</v>
      </c>
      <c r="D30" s="94" t="n">
        <v>12</v>
      </c>
      <c r="E30" s="94" t="n">
        <v>9</v>
      </c>
      <c r="F30" s="94" t="n">
        <v>3</v>
      </c>
      <c r="G30" s="95" t="inlineStr">
        <is>
          <t>Ahead. New tag, exercised well.</t>
        </is>
      </c>
    </row>
    <row r="31" ht="30" customHeight="1" s="48">
      <c r="A31" s="98" t="inlineStr">
        <is>
          <t>BROKER</t>
        </is>
      </c>
      <c r="B31" s="99" t="inlineStr">
        <is>
          <t>Calls naming a broker aloud</t>
        </is>
      </c>
      <c r="C31" s="98" t="n">
        <v>117</v>
      </c>
      <c r="D31" s="98" t="n">
        <v>6</v>
      </c>
      <c r="E31" s="98" t="n">
        <v>20</v>
      </c>
      <c r="F31" s="98" t="n">
        <v>-14</v>
      </c>
      <c r="G31" s="99" t="inlineStr">
        <is>
          <t>Well behind. Batch 2 must carry roughly 25 to stay on track.</t>
        </is>
      </c>
    </row>
    <row r="32" ht="30" customHeight="1" s="48">
      <c r="A32" s="94" t="inlineStr">
        <is>
          <t>REPEAT CONTACT</t>
        </is>
      </c>
      <c r="B32" s="95" t="inlineStr">
        <is>
          <t>Failure-driven repeats</t>
        </is>
      </c>
      <c r="C32" s="94" t="n">
        <v>48</v>
      </c>
      <c r="D32" s="94" t="n">
        <v>8</v>
      </c>
      <c r="E32" s="94" t="n">
        <v>8</v>
      </c>
      <c r="F32" s="94" t="n">
        <v>0</v>
      </c>
      <c r="G32" s="95" t="inlineStr">
        <is>
          <t>On plan. Eight repeat pairs written, each following an unresolved call.</t>
        </is>
      </c>
    </row>
    <row r="33" ht="30" customHeight="1" s="48">
      <c r="A33" s="92" t="inlineStr">
        <is>
          <t>COMMERCIAL</t>
        </is>
      </c>
      <c r="B33" s="93" t="inlineStr">
        <is>
          <t>Expansion intent</t>
        </is>
      </c>
      <c r="C33" s="92" t="n">
        <v>30</v>
      </c>
      <c r="D33" s="92" t="n">
        <v>3</v>
      </c>
      <c r="E33" s="92" t="n">
        <v>5</v>
      </c>
      <c r="F33" s="92" t="n">
        <v>-2</v>
      </c>
      <c r="G33" s="93" t="inlineStr">
        <is>
          <t>Behind.</t>
        </is>
      </c>
    </row>
    <row r="34" ht="30" customHeight="1" s="48">
      <c r="A34" s="94" t="inlineStr"/>
      <c r="B34" s="95" t="inlineStr">
        <is>
          <t>Market-test / exit language</t>
        </is>
      </c>
      <c r="C34" s="94" t="n">
        <v>24</v>
      </c>
      <c r="D34" s="94" t="n">
        <v>4</v>
      </c>
      <c r="E34" s="94" t="n">
        <v>4</v>
      </c>
      <c r="F34" s="94" t="n">
        <v>0</v>
      </c>
      <c r="G34" s="95" t="inlineStr">
        <is>
          <t>On plan.</t>
        </is>
      </c>
    </row>
    <row r="36" ht="40" customHeight="1" s="48">
      <c r="A36" s="96" t="inlineStr">
        <is>
          <t>How to use this</t>
        </is>
      </c>
      <c r="B36" s="100" t="inlineStr">
        <is>
          <t>Red rows are four or more behind pro-rata and are the batch 2 brief. When batch 2 is written, extend the Transcript Tracker below the last row, change B1 to B2 in the batch column, and recompute this sheet. The design targets in column C do not move.</t>
        </is>
      </c>
    </row>
  </sheetData>
  <mergeCells count="1">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2026-09-16T11:48:45Z</dcterms:created>
  <dcterms:modified xmlns:dcterms="http://purl.org/dc/terms/" xmlns:xsi="http://www.w3.org/2001/XMLSchema-instance" xsi:type="dcterms:W3CDTF">2026-09-17T07:32:33Z</dcterms:modified>
  <cp:revision>0</cp:revision>
</cp:coreProperties>
</file>