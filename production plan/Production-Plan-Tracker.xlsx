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chnossus\Code\NanoVox-V3\production plan\"/>
    </mc:Choice>
  </mc:AlternateContent>
  <xr:revisionPtr revIDLastSave="0" documentId="13_ncr:1_{3C7B4EB1-F07F-4300-B884-C32A682182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s" sheetId="1" r:id="rId1"/>
    <sheet name="Summary" sheetId="2" r:id="rId2"/>
  </sheets>
  <definedNames>
    <definedName name="_xlnm._FilterDatabase" localSheetId="0" hidden="1">Tasks!$A$1:$M$68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30" i="2"/>
  <c r="D27" i="2"/>
  <c r="C27" i="2"/>
  <c r="B27" i="2"/>
  <c r="E27" i="2" s="1"/>
  <c r="D26" i="2"/>
  <c r="C26" i="2"/>
  <c r="B26" i="2"/>
  <c r="E26" i="2" s="1"/>
  <c r="D25" i="2"/>
  <c r="C25" i="2"/>
  <c r="B25" i="2"/>
  <c r="E25" i="2" s="1"/>
  <c r="D24" i="2"/>
  <c r="C24" i="2"/>
  <c r="B24" i="2"/>
  <c r="E24" i="2" s="1"/>
  <c r="F12" i="2"/>
  <c r="E12" i="2"/>
  <c r="D12" i="2"/>
  <c r="C12" i="2"/>
  <c r="B20" i="2" s="1"/>
  <c r="B12" i="2"/>
  <c r="G12" i="2" s="1"/>
  <c r="F11" i="2"/>
  <c r="E11" i="2"/>
  <c r="D11" i="2"/>
  <c r="C11" i="2"/>
  <c r="B19" i="2" s="1"/>
  <c r="B11" i="2"/>
  <c r="G11" i="2" s="1"/>
  <c r="F10" i="2"/>
  <c r="E10" i="2"/>
  <c r="D10" i="2"/>
  <c r="C10" i="2"/>
  <c r="B10" i="2"/>
  <c r="G10" i="2" s="1"/>
  <c r="F9" i="2"/>
  <c r="E9" i="2"/>
  <c r="D9" i="2"/>
  <c r="C9" i="2"/>
  <c r="B9" i="2"/>
  <c r="G9" i="2" s="1"/>
  <c r="F8" i="2"/>
  <c r="E8" i="2"/>
  <c r="D8" i="2"/>
  <c r="C8" i="2"/>
  <c r="B8" i="2"/>
  <c r="G8" i="2" s="1"/>
  <c r="F7" i="2"/>
  <c r="E7" i="2"/>
  <c r="D7" i="2"/>
  <c r="D13" i="2" s="1"/>
  <c r="C7" i="2"/>
  <c r="B7" i="2"/>
  <c r="F6" i="2"/>
  <c r="E6" i="2"/>
  <c r="D6" i="2"/>
  <c r="C6" i="2"/>
  <c r="B6" i="2"/>
  <c r="G6" i="2" s="1"/>
  <c r="B13" i="2" l="1"/>
  <c r="G13" i="2" s="1"/>
  <c r="E13" i="2"/>
  <c r="F13" i="2"/>
  <c r="C13" i="2"/>
  <c r="B16" i="2" s="1"/>
  <c r="B18" i="2" s="1"/>
  <c r="B32" i="2"/>
  <c r="G7" i="2"/>
</calcChain>
</file>

<file path=xl/sharedStrings.xml><?xml version="1.0" encoding="utf-8"?>
<sst xmlns="http://schemas.openxmlformats.org/spreadsheetml/2006/main" count="607" uniqueCount="234">
  <si>
    <t>ID</t>
  </si>
  <si>
    <t>Task</t>
  </si>
  <si>
    <t>Phase</t>
  </si>
  <si>
    <t>Track</t>
  </si>
  <si>
    <t>Owner</t>
  </si>
  <si>
    <t>Start</t>
  </si>
  <si>
    <t>Due</t>
  </si>
  <si>
    <t>Est (days)</t>
  </si>
  <si>
    <t>Depends on</t>
  </si>
  <si>
    <t>Status</t>
  </si>
  <si>
    <t>% complete</t>
  </si>
  <si>
    <t>Actual days</t>
  </si>
  <si>
    <t>Notes</t>
  </si>
  <si>
    <t>D0.1</t>
  </si>
  <si>
    <t>Confirm Postgres tier and region (B1ms, West US 3); raise the request</t>
  </si>
  <si>
    <t>0 - Decisions</t>
  </si>
  <si>
    <t>Platform</t>
  </si>
  <si>
    <t>Dev A</t>
  </si>
  <si>
    <t>2026-10-12</t>
  </si>
  <si>
    <t>Not started</t>
  </si>
  <si>
    <t>D0.2</t>
  </si>
  <si>
    <t>Decide SWA linked-backend vs explicit CORS - spike both, pick one</t>
  </si>
  <si>
    <t>Application</t>
  </si>
  <si>
    <t>Dev B</t>
  </si>
  <si>
    <t>2026-10-13</t>
  </si>
  <si>
    <t>D0.3</t>
  </si>
  <si>
    <t>Start the Azure OpenAI / BAA conversation with legal - long lead</t>
  </si>
  <si>
    <t>D0.4</t>
  </si>
  <si>
    <t>Agree environment names and the staging story (slot vs second RG)</t>
  </si>
  <si>
    <t>Both</t>
  </si>
  <si>
    <t>Dev A + B</t>
  </si>
  <si>
    <t>D0.5</t>
  </si>
  <si>
    <t>Confirm the pilot runs on the fictional corpus - write the gate down</t>
  </si>
  <si>
    <t>D0.7</t>
  </si>
  <si>
    <t>ASK THE CLIENT: data volume, source system, export format, a sample</t>
  </si>
  <si>
    <t>COSTS NOTHING, WORTH THE MOST - the answer sizes all of Phase 6</t>
  </si>
  <si>
    <t>A1.1</t>
  </si>
  <si>
    <t>Provision Postgres Flexible Server B1ms, private endpoint, firewall</t>
  </si>
  <si>
    <t>1 - Postgres</t>
  </si>
  <si>
    <t>2026-10-14</t>
  </si>
  <si>
    <t>A1.2</t>
  </si>
  <si>
    <t>Enable PITR (7 day); confirm automated backup schedule</t>
  </si>
  <si>
    <t>A1.3</t>
  </si>
  <si>
    <t>Create DB, role, least-privilege grants - app user is not owner</t>
  </si>
  <si>
    <t>2026-10-15</t>
  </si>
  <si>
    <t>B1.1</t>
  </si>
  <si>
    <t>Run all 15 migrations against Postgres; fix dialect assumptions</t>
  </si>
  <si>
    <t>B1.2</t>
  </si>
  <si>
    <t>Run the full backend suite against Postgres, not SQLite</t>
  </si>
  <si>
    <t>B1.3</t>
  </si>
  <si>
    <t>Corpus loader: ingest into Postgres, repeatable and idempotent</t>
  </si>
  <si>
    <t>2026-10-16</t>
  </si>
  <si>
    <t>B1.4</t>
  </si>
  <si>
    <t>Decide backup.py's fate - SQLite-only, already no-ops elsewhere</t>
  </si>
  <si>
    <t>A1.4</t>
  </si>
  <si>
    <t>Size the asyncpg pool against the B1ms connection limit</t>
  </si>
  <si>
    <t>A1.5</t>
  </si>
  <si>
    <t>CI runs the suite against Postgres, not SQLite - service container</t>
  </si>
  <si>
    <t>DO NOT CUT - without it CI tests a database you no longer use</t>
  </si>
  <si>
    <t>B1.5</t>
  </si>
  <si>
    <t>Documented rollback to SQLite if Postgres fails mid-pilot</t>
  </si>
  <si>
    <t>M1</t>
  </si>
  <si>
    <t>MILESTONE: app runs on Postgres, suite green</t>
  </si>
  <si>
    <t>A1.4,B1.3</t>
  </si>
  <si>
    <t>A2.1</t>
  </si>
  <si>
    <t>Provision Static Web App (Standard) - nanovox-web</t>
  </si>
  <si>
    <t>2 - Split</t>
  </si>
  <si>
    <t>2026-10-19</t>
  </si>
  <si>
    <t>A2.2</t>
  </si>
  <si>
    <t>Rename/retarget App Service as API-only - nanovox-api</t>
  </si>
  <si>
    <t>A2.3</t>
  </si>
  <si>
    <t>Wire SWA linked backend; confirm /api/* proxies same-origin</t>
  </si>
  <si>
    <t>2026-10-20</t>
  </si>
  <si>
    <t>A2.1,A2.2</t>
  </si>
  <si>
    <t>B2.1</t>
  </si>
  <si>
    <t>Frontend build artefact independent of the backend package</t>
  </si>
  <si>
    <t>B2.2</t>
  </si>
  <si>
    <t>CORS middleware + CORS_ORIGINS - fallback if A2.3 fails</t>
  </si>
  <si>
    <t>2026-10-21</t>
  </si>
  <si>
    <t>FALLBACK CUT 3 - disappears on its own if the linked backend works</t>
  </si>
  <si>
    <t>B2.3</t>
  </si>
  <si>
    <t>Keep spa.py working for local/container; test it still serves</t>
  </si>
  <si>
    <t>A2.4</t>
  </si>
  <si>
    <t>One pipeline, two deploy stages: build both, deploy API then web</t>
  </si>
  <si>
    <t>2026-10-23</t>
  </si>
  <si>
    <t>A2.3,B2.1</t>
  </si>
  <si>
    <t>A2.5</t>
  </si>
  <si>
    <t>Deploy ordering + rollback: API first, web second, both revertible</t>
  </si>
  <si>
    <t>A2.6</t>
  </si>
  <si>
    <t>Authentication after the split - where sign-in lives, SWA vs API</t>
  </si>
  <si>
    <t>2026-10-26</t>
  </si>
  <si>
    <t>2026-10-27</t>
  </si>
  <si>
    <t>The plan previously never mentioned authentication at all</t>
  </si>
  <si>
    <t>M2</t>
  </si>
  <si>
    <t>MILESTONE: both resources deploy from one pipeline run, signed in</t>
  </si>
  <si>
    <t>A2.5,B2.2,A2.6</t>
  </si>
  <si>
    <t>A3.1</t>
  </si>
  <si>
    <t>Key Vault + system-assigned managed identity on the API</t>
  </si>
  <si>
    <t>3 - Hardening</t>
  </si>
  <si>
    <t>2026-10-28</t>
  </si>
  <si>
    <t>A3.2</t>
  </si>
  <si>
    <t>Move OPENAI_API_KEY and DATABASE_URL to Key Vault references</t>
  </si>
  <si>
    <t>2026-10-29</t>
  </si>
  <si>
    <t>A3.3</t>
  </si>
  <si>
    <t>Application Insights on the API; connection string via Key Vault</t>
  </si>
  <si>
    <t>2026-10-30</t>
  </si>
  <si>
    <t>A3.4</t>
  </si>
  <si>
    <t>Staging slot on the API; pipeline deploys to staging then swaps</t>
  </si>
  <si>
    <t>2026-11-02</t>
  </si>
  <si>
    <t>2026-11-03</t>
  </si>
  <si>
    <t>DO NOT CUT - staging slot is the rollback path</t>
  </si>
  <si>
    <t>A3.5</t>
  </si>
  <si>
    <t>Alerts: availability, 5xx rate, p95 latency, DB connection failures</t>
  </si>
  <si>
    <t>2026-11-04</t>
  </si>
  <si>
    <t>2026-11-05</t>
  </si>
  <si>
    <t>B3.1</t>
  </si>
  <si>
    <t>Structured request logging with correlation id into App Insights</t>
  </si>
  <si>
    <t>B3.2</t>
  </si>
  <si>
    <t>Health endpoint reports DB and provider reachability for probes</t>
  </si>
  <si>
    <t>B3.3</t>
  </si>
  <si>
    <t>/risk payload 204 KB - split or trim before real volume</t>
  </si>
  <si>
    <t>FALLBACK CUT 1 - only if the week-3 check-in is behind. 204 KB works today.</t>
  </si>
  <si>
    <t>B3.4</t>
  </si>
  <si>
    <t>Rate limiting on /insights/generated - it costs money per call</t>
  </si>
  <si>
    <t>2026-11-06</t>
  </si>
  <si>
    <t>A3.6</t>
  </si>
  <si>
    <t>Azure budget alert on the subscription, and on OpenAI spend</t>
  </si>
  <si>
    <t>2026-11-09</t>
  </si>
  <si>
    <t>M3</t>
  </si>
  <si>
    <t>MILESTONE: staging swap works, telemetry flowing, alerts fire</t>
  </si>
  <si>
    <t>A3.5,B3.4</t>
  </si>
  <si>
    <t>A4.1</t>
  </si>
  <si>
    <t>Restore drill: restore Postgres from PITR into a scratch server</t>
  </si>
  <si>
    <t>4 - Cutover</t>
  </si>
  <si>
    <t>DO NOT CUT - a pilot without a tested restore is an outage with an audience</t>
  </si>
  <si>
    <t>A4.2</t>
  </si>
  <si>
    <t>Runbook: deploy, roll back, restore, rotate a secret, read an alert</t>
  </si>
  <si>
    <t>2026-11-10</t>
  </si>
  <si>
    <t>2026-11-11</t>
  </si>
  <si>
    <t>DO NOT CUT - the runbook is what makes the rota possible</t>
  </si>
  <si>
    <t>A4.3</t>
  </si>
  <si>
    <t>Entra sign-in re-enabled and tested for the pilot audience</t>
  </si>
  <si>
    <t>2026-11-12</t>
  </si>
  <si>
    <t>B4.1</t>
  </si>
  <si>
    <t>Load test: 20 concurrent readers against /exec and /risk</t>
  </si>
  <si>
    <t>FALLBACK CUT 2 - replace with a 30-min smoke under concurrency</t>
  </si>
  <si>
    <t>B4.2</t>
  </si>
  <si>
    <t>Full acceptance pass - nine screens, write path, CSV export</t>
  </si>
  <si>
    <t>B4.3</t>
  </si>
  <si>
    <t>Error budget check: no unhandled 5xx in 48 h of staging</t>
  </si>
  <si>
    <t>2026-11-13</t>
  </si>
  <si>
    <t>M4</t>
  </si>
  <si>
    <t>MILESTONE: dress rehearsal - deploy, swap, verify, roll back</t>
  </si>
  <si>
    <t>A4.4</t>
  </si>
  <si>
    <t>Production cutover</t>
  </si>
  <si>
    <t>2026-11-19</t>
  </si>
  <si>
    <t>M4,B4.4</t>
  </si>
  <si>
    <t>A4.6</t>
  </si>
  <si>
    <t>Decide RG-NanoVox-POC's fate - torn down, or kept as staging</t>
  </si>
  <si>
    <t>2026-11-17</t>
  </si>
  <si>
    <t>B4.4</t>
  </si>
  <si>
    <t>CLIENT ACCEPTANCE: the client signs off, not a developer</t>
  </si>
  <si>
    <t>2026-11-16</t>
  </si>
  <si>
    <t>DO NOT CUT - a developer's acceptance is not the client's</t>
  </si>
  <si>
    <t>A4.5</t>
  </si>
  <si>
    <t>Buffer / contingency</t>
  </si>
  <si>
    <t>2026-11-20</t>
  </si>
  <si>
    <t>P1</t>
  </si>
  <si>
    <t>Move from OpenAI to Azure OpenAI under a signed BAA</t>
  </si>
  <si>
    <t>5 - PHI (outside window)</t>
  </si>
  <si>
    <t>TBD</t>
  </si>
  <si>
    <t>P2</t>
  </si>
  <si>
    <t>De-identification before any model call</t>
  </si>
  <si>
    <t>P3</t>
  </si>
  <si>
    <t>Encryption and key management review</t>
  </si>
  <si>
    <t>P4</t>
  </si>
  <si>
    <t>Access control and audit logging</t>
  </si>
  <si>
    <t>P5</t>
  </si>
  <si>
    <t>Retention and deletion, including backups and the stage cache</t>
  </si>
  <si>
    <t>P6</t>
  </si>
  <si>
    <t>Private networking - VNet, private endpoints (design with P1)</t>
  </si>
  <si>
    <t>P7</t>
  </si>
  <si>
    <t>SOC 2 readiness assessment (not development)</t>
  </si>
  <si>
    <t>Compliance</t>
  </si>
  <si>
    <t>P8</t>
  </si>
  <si>
    <t>Change management evidence</t>
  </si>
  <si>
    <t>P9</t>
  </si>
  <si>
    <t>Incident response plan and on-call</t>
  </si>
  <si>
    <t>P10</t>
  </si>
  <si>
    <t>Vendor management register</t>
  </si>
  <si>
    <t>P11</t>
  </si>
  <si>
    <t>Penetration test (external, 2-4 weeks lead)</t>
  </si>
  <si>
    <t>R1</t>
  </si>
  <si>
    <t>Obtain a real data sample and its format from the client</t>
  </si>
  <si>
    <t>6 - Real data (outside window)</t>
  </si>
  <si>
    <t>R2</t>
  </si>
  <si>
    <t>TranscriptSource adapter for the client's real format</t>
  </si>
  <si>
    <t>Cannot be estimated properly until R1 lands a sample. 7.5 d is a placeholder.</t>
  </si>
  <si>
    <t>R3</t>
  </si>
  <si>
    <t>Re-size Postgres, App Service and /risk against real volume</t>
  </si>
  <si>
    <t>R4</t>
  </si>
  <si>
    <t>Model the extraction cost at real volume before running it</t>
  </si>
  <si>
    <t>R5</t>
  </si>
  <si>
    <t>Data onboarding runbook and a repeatable re-ingest path</t>
  </si>
  <si>
    <t>R6</t>
  </si>
  <si>
    <t>UAT with the client on real data</t>
  </si>
  <si>
    <t>R2,R5</t>
  </si>
  <si>
    <t>R7</t>
  </si>
  <si>
    <t>Define and agree an uptime target, and measure against it</t>
  </si>
  <si>
    <t>NanoVox Insights - production readiness</t>
  </si>
  <si>
    <t>12 Oct - 20 Nov 2026  |  6 weeks  |  2 developers, part time  |  30 person-days</t>
  </si>
  <si>
    <t>By phase</t>
  </si>
  <si>
    <t>Tasks</t>
  </si>
  <si>
    <t>Done</t>
  </si>
  <si>
    <t>In progress</t>
  </si>
  <si>
    <t>Blocked</t>
  </si>
  <si>
    <t>Total</t>
  </si>
  <si>
    <t>Capacity check</t>
  </si>
  <si>
    <t>In-window estimate (Phases 0-4)</t>
  </si>
  <si>
    <t>Capacity: 30 working days x 2 devs x 50%</t>
  </si>
  <si>
    <t>Headroom (days)</t>
  </si>
  <si>
    <t>Phase 5 - PHI, not in this window</t>
  </si>
  <si>
    <t>Phase 6 - real data, not in this window</t>
  </si>
  <si>
    <t>By track</t>
  </si>
  <si>
    <t>Effort</t>
  </si>
  <si>
    <t>Estimated (all phases)</t>
  </si>
  <si>
    <t>Actual logged</t>
  </si>
  <si>
    <t>Variance (actual - estimate)</t>
  </si>
  <si>
    <t>How to use this</t>
  </si>
  <si>
    <t>Edit only the yellow cells: Status, % complete, Actual days, Notes.</t>
  </si>
  <si>
    <t>Everything on this sheet is a formula and follows automatically.</t>
  </si>
  <si>
    <t>Green rows are milestones. Amber rows are gates - a gate not met blocks what follows.</t>
  </si>
  <si>
    <t>Phase 5 carries no dates: it is outside this window and starts with a contract, not code.</t>
  </si>
  <si>
    <t>The hard rule: no production PHI until P1-P6 are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</si>
</sst>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1F3864"/>
      <name val="Arial"/>
    </font>
    <font>
      <i/>
      <sz val="10"/>
      <color rgb="FF595959"/>
      <name val="Arial"/>
    </font>
    <font>
      <sz val="10"/>
      <color rgb="FF0000FF"/>
      <name val="Arial"/>
    </font>
    <font>
      <i/>
      <sz val="9"/>
      <name val="Arial"/>
    </font>
    <font>
      <b/>
      <i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2" fontId="3" fillId="5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2" customWidth="1"/>
    <col min="3" max="3" width="24" customWidth="1"/>
    <col min="4" max="4" width="13" customWidth="1"/>
    <col min="5" max="7" width="12" customWidth="1"/>
    <col min="8" max="8" width="11" customWidth="1"/>
    <col min="9" max="10" width="14" customWidth="1"/>
    <col min="11" max="11" width="11" customWidth="1"/>
    <col min="12" max="12" width="12" customWidth="1"/>
    <col min="13" max="13" width="34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4">
        <v>0.25</v>
      </c>
      <c r="I2" s="2"/>
      <c r="J2" s="5" t="s">
        <v>19</v>
      </c>
      <c r="K2" s="6">
        <v>0</v>
      </c>
      <c r="L2" s="4"/>
      <c r="M2" s="3"/>
    </row>
    <row r="3" spans="1:13" x14ac:dyDescent="0.3">
      <c r="A3" s="2" t="s">
        <v>20</v>
      </c>
      <c r="B3" s="3" t="s">
        <v>21</v>
      </c>
      <c r="C3" s="2" t="s">
        <v>15</v>
      </c>
      <c r="D3" s="2" t="s">
        <v>22</v>
      </c>
      <c r="E3" s="2" t="s">
        <v>23</v>
      </c>
      <c r="F3" s="2" t="s">
        <v>18</v>
      </c>
      <c r="G3" s="2" t="s">
        <v>24</v>
      </c>
      <c r="H3" s="4">
        <v>0.5</v>
      </c>
      <c r="I3" s="2"/>
      <c r="J3" s="5" t="s">
        <v>19</v>
      </c>
      <c r="K3" s="6">
        <v>0</v>
      </c>
      <c r="L3" s="4"/>
      <c r="M3" s="3"/>
    </row>
    <row r="4" spans="1:13" x14ac:dyDescent="0.3">
      <c r="A4" s="7" t="s">
        <v>25</v>
      </c>
      <c r="B4" s="8" t="s">
        <v>26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18</v>
      </c>
      <c r="H4" s="9">
        <v>0.25</v>
      </c>
      <c r="I4" s="7"/>
      <c r="J4" s="10" t="s">
        <v>19</v>
      </c>
      <c r="K4" s="11">
        <v>0</v>
      </c>
      <c r="L4" s="9"/>
      <c r="M4" s="8"/>
    </row>
    <row r="5" spans="1:13" x14ac:dyDescent="0.3">
      <c r="A5" s="2" t="s">
        <v>27</v>
      </c>
      <c r="B5" s="3" t="s">
        <v>28</v>
      </c>
      <c r="C5" s="2" t="s">
        <v>15</v>
      </c>
      <c r="D5" s="2" t="s">
        <v>29</v>
      </c>
      <c r="E5" s="2" t="s">
        <v>30</v>
      </c>
      <c r="F5" s="2" t="s">
        <v>24</v>
      </c>
      <c r="G5" s="2" t="s">
        <v>24</v>
      </c>
      <c r="H5" s="4">
        <v>0.25</v>
      </c>
      <c r="I5" s="2"/>
      <c r="J5" s="5" t="s">
        <v>19</v>
      </c>
      <c r="K5" s="6">
        <v>0</v>
      </c>
      <c r="L5" s="4"/>
      <c r="M5" s="3"/>
    </row>
    <row r="6" spans="1:13" x14ac:dyDescent="0.3">
      <c r="A6" s="7" t="s">
        <v>31</v>
      </c>
      <c r="B6" s="8" t="s">
        <v>32</v>
      </c>
      <c r="C6" s="7" t="s">
        <v>15</v>
      </c>
      <c r="D6" s="7" t="s">
        <v>29</v>
      </c>
      <c r="E6" s="7" t="s">
        <v>30</v>
      </c>
      <c r="F6" s="7" t="s">
        <v>24</v>
      </c>
      <c r="G6" s="7" t="s">
        <v>24</v>
      </c>
      <c r="H6" s="9">
        <v>0.25</v>
      </c>
      <c r="I6" s="7"/>
      <c r="J6" s="10" t="s">
        <v>19</v>
      </c>
      <c r="K6" s="11">
        <v>0</v>
      </c>
      <c r="L6" s="9"/>
      <c r="M6" s="8"/>
    </row>
    <row r="7" spans="1:13" ht="26.4" x14ac:dyDescent="0.3">
      <c r="A7" s="7" t="s">
        <v>33</v>
      </c>
      <c r="B7" s="8" t="s">
        <v>34</v>
      </c>
      <c r="C7" s="7" t="s">
        <v>15</v>
      </c>
      <c r="D7" s="7" t="s">
        <v>29</v>
      </c>
      <c r="E7" s="7" t="s">
        <v>30</v>
      </c>
      <c r="F7" s="7" t="s">
        <v>18</v>
      </c>
      <c r="G7" s="7" t="s">
        <v>24</v>
      </c>
      <c r="H7" s="9">
        <v>0</v>
      </c>
      <c r="I7" s="7"/>
      <c r="J7" s="10" t="s">
        <v>19</v>
      </c>
      <c r="K7" s="11">
        <v>0</v>
      </c>
      <c r="L7" s="9"/>
      <c r="M7" s="27" t="s">
        <v>35</v>
      </c>
    </row>
    <row r="8" spans="1:13" x14ac:dyDescent="0.3">
      <c r="A8" s="2" t="s">
        <v>36</v>
      </c>
      <c r="B8" s="3" t="s">
        <v>37</v>
      </c>
      <c r="C8" s="2" t="s">
        <v>38</v>
      </c>
      <c r="D8" s="2" t="s">
        <v>16</v>
      </c>
      <c r="E8" s="2" t="s">
        <v>17</v>
      </c>
      <c r="F8" s="2" t="s">
        <v>39</v>
      </c>
      <c r="G8" s="2" t="s">
        <v>39</v>
      </c>
      <c r="H8" s="4">
        <v>0.5</v>
      </c>
      <c r="I8" s="2" t="s">
        <v>13</v>
      </c>
      <c r="J8" s="5" t="s">
        <v>19</v>
      </c>
      <c r="K8" s="6">
        <v>0</v>
      </c>
      <c r="L8" s="4"/>
      <c r="M8" s="3"/>
    </row>
    <row r="9" spans="1:13" x14ac:dyDescent="0.3">
      <c r="A9" s="2" t="s">
        <v>40</v>
      </c>
      <c r="B9" s="3" t="s">
        <v>41</v>
      </c>
      <c r="C9" s="2" t="s">
        <v>38</v>
      </c>
      <c r="D9" s="2" t="s">
        <v>16</v>
      </c>
      <c r="E9" s="2" t="s">
        <v>17</v>
      </c>
      <c r="F9" s="2" t="s">
        <v>39</v>
      </c>
      <c r="G9" s="2" t="s">
        <v>39</v>
      </c>
      <c r="H9" s="4">
        <v>0.25</v>
      </c>
      <c r="I9" s="2" t="s">
        <v>36</v>
      </c>
      <c r="J9" s="5" t="s">
        <v>19</v>
      </c>
      <c r="K9" s="6">
        <v>0</v>
      </c>
      <c r="L9" s="4"/>
      <c r="M9" s="3"/>
    </row>
    <row r="10" spans="1:13" x14ac:dyDescent="0.3">
      <c r="A10" s="2" t="s">
        <v>42</v>
      </c>
      <c r="B10" s="3" t="s">
        <v>43</v>
      </c>
      <c r="C10" s="2" t="s">
        <v>38</v>
      </c>
      <c r="D10" s="2" t="s">
        <v>16</v>
      </c>
      <c r="E10" s="2" t="s">
        <v>17</v>
      </c>
      <c r="F10" s="2" t="s">
        <v>44</v>
      </c>
      <c r="G10" s="2" t="s">
        <v>44</v>
      </c>
      <c r="H10" s="4">
        <v>0.5</v>
      </c>
      <c r="I10" s="2" t="s">
        <v>36</v>
      </c>
      <c r="J10" s="5" t="s">
        <v>19</v>
      </c>
      <c r="K10" s="6">
        <v>0</v>
      </c>
      <c r="L10" s="4"/>
      <c r="M10" s="3"/>
    </row>
    <row r="11" spans="1:13" x14ac:dyDescent="0.3">
      <c r="A11" s="2" t="s">
        <v>45</v>
      </c>
      <c r="B11" s="3" t="s">
        <v>46</v>
      </c>
      <c r="C11" s="2" t="s">
        <v>38</v>
      </c>
      <c r="D11" s="2" t="s">
        <v>22</v>
      </c>
      <c r="E11" s="2" t="s">
        <v>23</v>
      </c>
      <c r="F11" s="2" t="s">
        <v>39</v>
      </c>
      <c r="G11" s="2" t="s">
        <v>44</v>
      </c>
      <c r="H11" s="4">
        <v>1</v>
      </c>
      <c r="I11" s="2" t="s">
        <v>36</v>
      </c>
      <c r="J11" s="5" t="s">
        <v>19</v>
      </c>
      <c r="K11" s="6">
        <v>0</v>
      </c>
      <c r="L11" s="4"/>
      <c r="M11" s="3"/>
    </row>
    <row r="12" spans="1:13" x14ac:dyDescent="0.3">
      <c r="A12" s="2" t="s">
        <v>47</v>
      </c>
      <c r="B12" s="3" t="s">
        <v>48</v>
      </c>
      <c r="C12" s="2" t="s">
        <v>38</v>
      </c>
      <c r="D12" s="2" t="s">
        <v>22</v>
      </c>
      <c r="E12" s="2" t="s">
        <v>23</v>
      </c>
      <c r="F12" s="2" t="s">
        <v>44</v>
      </c>
      <c r="G12" s="2" t="s">
        <v>44</v>
      </c>
      <c r="H12" s="4">
        <v>0.5</v>
      </c>
      <c r="I12" s="2" t="s">
        <v>45</v>
      </c>
      <c r="J12" s="5" t="s">
        <v>19</v>
      </c>
      <c r="K12" s="6">
        <v>0</v>
      </c>
      <c r="L12" s="4"/>
      <c r="M12" s="3"/>
    </row>
    <row r="13" spans="1:13" x14ac:dyDescent="0.3">
      <c r="A13" s="2" t="s">
        <v>49</v>
      </c>
      <c r="B13" s="3" t="s">
        <v>50</v>
      </c>
      <c r="C13" s="2" t="s">
        <v>38</v>
      </c>
      <c r="D13" s="2" t="s">
        <v>22</v>
      </c>
      <c r="E13" s="2" t="s">
        <v>23</v>
      </c>
      <c r="F13" s="2" t="s">
        <v>44</v>
      </c>
      <c r="G13" s="2" t="s">
        <v>51</v>
      </c>
      <c r="H13" s="4">
        <v>1</v>
      </c>
      <c r="I13" s="2" t="s">
        <v>45</v>
      </c>
      <c r="J13" s="5" t="s">
        <v>19</v>
      </c>
      <c r="K13" s="6">
        <v>0</v>
      </c>
      <c r="L13" s="4"/>
      <c r="M13" s="3"/>
    </row>
    <row r="14" spans="1:13" x14ac:dyDescent="0.3">
      <c r="A14" s="2" t="s">
        <v>52</v>
      </c>
      <c r="B14" s="3" t="s">
        <v>53</v>
      </c>
      <c r="C14" s="2" t="s">
        <v>38</v>
      </c>
      <c r="D14" s="2" t="s">
        <v>22</v>
      </c>
      <c r="E14" s="2" t="s">
        <v>23</v>
      </c>
      <c r="F14" s="2" t="s">
        <v>51</v>
      </c>
      <c r="G14" s="2" t="s">
        <v>51</v>
      </c>
      <c r="H14" s="4">
        <v>0.25</v>
      </c>
      <c r="I14" s="2" t="s">
        <v>45</v>
      </c>
      <c r="J14" s="5" t="s">
        <v>19</v>
      </c>
      <c r="K14" s="6">
        <v>0</v>
      </c>
      <c r="L14" s="4"/>
      <c r="M14" s="3"/>
    </row>
    <row r="15" spans="1:13" x14ac:dyDescent="0.3">
      <c r="A15" s="2" t="s">
        <v>54</v>
      </c>
      <c r="B15" s="3" t="s">
        <v>55</v>
      </c>
      <c r="C15" s="2" t="s">
        <v>38</v>
      </c>
      <c r="D15" s="2" t="s">
        <v>16</v>
      </c>
      <c r="E15" s="2" t="s">
        <v>17</v>
      </c>
      <c r="F15" s="2" t="s">
        <v>51</v>
      </c>
      <c r="G15" s="2" t="s">
        <v>51</v>
      </c>
      <c r="H15" s="4">
        <v>0.5</v>
      </c>
      <c r="I15" s="2" t="s">
        <v>45</v>
      </c>
      <c r="J15" s="5" t="s">
        <v>19</v>
      </c>
      <c r="K15" s="6">
        <v>0</v>
      </c>
      <c r="L15" s="4"/>
      <c r="M15" s="3"/>
    </row>
    <row r="16" spans="1:13" ht="22.8" x14ac:dyDescent="0.3">
      <c r="A16" s="2" t="s">
        <v>56</v>
      </c>
      <c r="B16" s="3" t="s">
        <v>57</v>
      </c>
      <c r="C16" s="2" t="s">
        <v>38</v>
      </c>
      <c r="D16" s="2" t="s">
        <v>16</v>
      </c>
      <c r="E16" s="2" t="s">
        <v>17</v>
      </c>
      <c r="F16" s="2" t="s">
        <v>51</v>
      </c>
      <c r="G16" s="2" t="s">
        <v>51</v>
      </c>
      <c r="H16" s="4">
        <v>0.5</v>
      </c>
      <c r="I16" s="2" t="s">
        <v>47</v>
      </c>
      <c r="J16" s="5" t="s">
        <v>19</v>
      </c>
      <c r="K16" s="6">
        <v>0</v>
      </c>
      <c r="L16" s="4"/>
      <c r="M16" s="28" t="s">
        <v>58</v>
      </c>
    </row>
    <row r="17" spans="1:13" x14ac:dyDescent="0.3">
      <c r="A17" s="2" t="s">
        <v>59</v>
      </c>
      <c r="B17" s="3" t="s">
        <v>60</v>
      </c>
      <c r="C17" s="2" t="s">
        <v>38</v>
      </c>
      <c r="D17" s="2" t="s">
        <v>22</v>
      </c>
      <c r="E17" s="2" t="s">
        <v>23</v>
      </c>
      <c r="F17" s="2" t="s">
        <v>51</v>
      </c>
      <c r="G17" s="2" t="s">
        <v>51</v>
      </c>
      <c r="H17" s="4">
        <v>0.5</v>
      </c>
      <c r="I17" s="2" t="s">
        <v>45</v>
      </c>
      <c r="J17" s="5" t="s">
        <v>19</v>
      </c>
      <c r="K17" s="6">
        <v>0</v>
      </c>
      <c r="L17" s="4"/>
      <c r="M17" s="3"/>
    </row>
    <row r="18" spans="1:13" x14ac:dyDescent="0.3">
      <c r="A18" s="12" t="s">
        <v>61</v>
      </c>
      <c r="B18" s="13" t="s">
        <v>62</v>
      </c>
      <c r="C18" s="12" t="s">
        <v>38</v>
      </c>
      <c r="D18" s="12" t="s">
        <v>29</v>
      </c>
      <c r="E18" s="12" t="s">
        <v>30</v>
      </c>
      <c r="F18" s="12" t="s">
        <v>51</v>
      </c>
      <c r="G18" s="12" t="s">
        <v>51</v>
      </c>
      <c r="H18" s="14">
        <v>0</v>
      </c>
      <c r="I18" s="12" t="s">
        <v>63</v>
      </c>
      <c r="J18" s="10" t="s">
        <v>19</v>
      </c>
      <c r="K18" s="11">
        <v>0</v>
      </c>
      <c r="L18" s="14"/>
      <c r="M18" s="13"/>
    </row>
    <row r="19" spans="1:13" x14ac:dyDescent="0.3">
      <c r="A19" s="2" t="s">
        <v>64</v>
      </c>
      <c r="B19" s="3" t="s">
        <v>65</v>
      </c>
      <c r="C19" s="2" t="s">
        <v>66</v>
      </c>
      <c r="D19" s="2" t="s">
        <v>16</v>
      </c>
      <c r="E19" s="2" t="s">
        <v>17</v>
      </c>
      <c r="F19" s="2" t="s">
        <v>67</v>
      </c>
      <c r="G19" s="2" t="s">
        <v>67</v>
      </c>
      <c r="H19" s="4">
        <v>0.5</v>
      </c>
      <c r="I19" s="2" t="s">
        <v>20</v>
      </c>
      <c r="J19" s="5" t="s">
        <v>19</v>
      </c>
      <c r="K19" s="6">
        <v>0</v>
      </c>
      <c r="L19" s="4"/>
      <c r="M19" s="3"/>
    </row>
    <row r="20" spans="1:13" x14ac:dyDescent="0.3">
      <c r="A20" s="2" t="s">
        <v>68</v>
      </c>
      <c r="B20" s="3" t="s">
        <v>69</v>
      </c>
      <c r="C20" s="2" t="s">
        <v>66</v>
      </c>
      <c r="D20" s="2" t="s">
        <v>16</v>
      </c>
      <c r="E20" s="2" t="s">
        <v>17</v>
      </c>
      <c r="F20" s="2" t="s">
        <v>67</v>
      </c>
      <c r="G20" s="2" t="s">
        <v>67</v>
      </c>
      <c r="H20" s="4">
        <v>0.5</v>
      </c>
      <c r="I20" s="2"/>
      <c r="J20" s="5" t="s">
        <v>19</v>
      </c>
      <c r="K20" s="6">
        <v>0</v>
      </c>
      <c r="L20" s="4"/>
      <c r="M20" s="3"/>
    </row>
    <row r="21" spans="1:13" x14ac:dyDescent="0.3">
      <c r="A21" s="2" t="s">
        <v>70</v>
      </c>
      <c r="B21" s="3" t="s">
        <v>71</v>
      </c>
      <c r="C21" s="2" t="s">
        <v>66</v>
      </c>
      <c r="D21" s="2" t="s">
        <v>16</v>
      </c>
      <c r="E21" s="2" t="s">
        <v>17</v>
      </c>
      <c r="F21" s="2" t="s">
        <v>72</v>
      </c>
      <c r="G21" s="2" t="s">
        <v>72</v>
      </c>
      <c r="H21" s="4">
        <v>0.5</v>
      </c>
      <c r="I21" s="2" t="s">
        <v>73</v>
      </c>
      <c r="J21" s="5" t="s">
        <v>19</v>
      </c>
      <c r="K21" s="6">
        <v>0</v>
      </c>
      <c r="L21" s="4"/>
      <c r="M21" s="3"/>
    </row>
    <row r="22" spans="1:13" x14ac:dyDescent="0.3">
      <c r="A22" s="2" t="s">
        <v>74</v>
      </c>
      <c r="B22" s="3" t="s">
        <v>75</v>
      </c>
      <c r="C22" s="2" t="s">
        <v>66</v>
      </c>
      <c r="D22" s="2" t="s">
        <v>22</v>
      </c>
      <c r="E22" s="2" t="s">
        <v>23</v>
      </c>
      <c r="F22" s="2" t="s">
        <v>67</v>
      </c>
      <c r="G22" s="2" t="s">
        <v>72</v>
      </c>
      <c r="H22" s="4">
        <v>1</v>
      </c>
      <c r="I22" s="2" t="s">
        <v>20</v>
      </c>
      <c r="J22" s="5" t="s">
        <v>19</v>
      </c>
      <c r="K22" s="6">
        <v>0</v>
      </c>
      <c r="L22" s="4"/>
      <c r="M22" s="3"/>
    </row>
    <row r="23" spans="1:13" ht="22.8" x14ac:dyDescent="0.3">
      <c r="A23" s="2" t="s">
        <v>76</v>
      </c>
      <c r="B23" s="3" t="s">
        <v>77</v>
      </c>
      <c r="C23" s="2" t="s">
        <v>66</v>
      </c>
      <c r="D23" s="2" t="s">
        <v>22</v>
      </c>
      <c r="E23" s="2" t="s">
        <v>23</v>
      </c>
      <c r="F23" s="2" t="s">
        <v>72</v>
      </c>
      <c r="G23" s="2" t="s">
        <v>78</v>
      </c>
      <c r="H23" s="4">
        <v>0.75</v>
      </c>
      <c r="I23" s="2" t="s">
        <v>70</v>
      </c>
      <c r="J23" s="5" t="s">
        <v>19</v>
      </c>
      <c r="K23" s="6">
        <v>0</v>
      </c>
      <c r="L23" s="4"/>
      <c r="M23" s="29" t="s">
        <v>79</v>
      </c>
    </row>
    <row r="24" spans="1:13" x14ac:dyDescent="0.3">
      <c r="A24" s="2" t="s">
        <v>80</v>
      </c>
      <c r="B24" s="3" t="s">
        <v>81</v>
      </c>
      <c r="C24" s="2" t="s">
        <v>66</v>
      </c>
      <c r="D24" s="2" t="s">
        <v>22</v>
      </c>
      <c r="E24" s="2" t="s">
        <v>23</v>
      </c>
      <c r="F24" s="2" t="s">
        <v>78</v>
      </c>
      <c r="G24" s="2" t="s">
        <v>78</v>
      </c>
      <c r="H24" s="4">
        <v>0.5</v>
      </c>
      <c r="I24" s="2"/>
      <c r="J24" s="5" t="s">
        <v>19</v>
      </c>
      <c r="K24" s="6">
        <v>0</v>
      </c>
      <c r="L24" s="4"/>
      <c r="M24" s="3"/>
    </row>
    <row r="25" spans="1:13" x14ac:dyDescent="0.3">
      <c r="A25" s="2" t="s">
        <v>82</v>
      </c>
      <c r="B25" s="3" t="s">
        <v>83</v>
      </c>
      <c r="C25" s="2" t="s">
        <v>66</v>
      </c>
      <c r="D25" s="2" t="s">
        <v>16</v>
      </c>
      <c r="E25" s="2" t="s">
        <v>17</v>
      </c>
      <c r="F25" s="2" t="s">
        <v>78</v>
      </c>
      <c r="G25" s="2" t="s">
        <v>84</v>
      </c>
      <c r="H25" s="4">
        <v>1.5</v>
      </c>
      <c r="I25" s="2" t="s">
        <v>85</v>
      </c>
      <c r="J25" s="5" t="s">
        <v>19</v>
      </c>
      <c r="K25" s="6">
        <v>0</v>
      </c>
      <c r="L25" s="4"/>
      <c r="M25" s="3"/>
    </row>
    <row r="26" spans="1:13" x14ac:dyDescent="0.3">
      <c r="A26" s="2" t="s">
        <v>86</v>
      </c>
      <c r="B26" s="3" t="s">
        <v>87</v>
      </c>
      <c r="C26" s="2" t="s">
        <v>66</v>
      </c>
      <c r="D26" s="2" t="s">
        <v>16</v>
      </c>
      <c r="E26" s="2" t="s">
        <v>17</v>
      </c>
      <c r="F26" s="2" t="s">
        <v>84</v>
      </c>
      <c r="G26" s="2" t="s">
        <v>84</v>
      </c>
      <c r="H26" s="4">
        <v>0.5</v>
      </c>
      <c r="I26" s="2" t="s">
        <v>82</v>
      </c>
      <c r="J26" s="5" t="s">
        <v>19</v>
      </c>
      <c r="K26" s="6">
        <v>0</v>
      </c>
      <c r="L26" s="4"/>
      <c r="M26" s="3"/>
    </row>
    <row r="27" spans="1:13" ht="22.8" x14ac:dyDescent="0.3">
      <c r="A27" s="2" t="s">
        <v>88</v>
      </c>
      <c r="B27" s="3" t="s">
        <v>89</v>
      </c>
      <c r="C27" s="2" t="s">
        <v>66</v>
      </c>
      <c r="D27" s="2" t="s">
        <v>16</v>
      </c>
      <c r="E27" s="2" t="s">
        <v>17</v>
      </c>
      <c r="F27" s="2" t="s">
        <v>90</v>
      </c>
      <c r="G27" s="2" t="s">
        <v>91</v>
      </c>
      <c r="H27" s="4">
        <v>1.5</v>
      </c>
      <c r="I27" s="2" t="s">
        <v>70</v>
      </c>
      <c r="J27" s="5" t="s">
        <v>19</v>
      </c>
      <c r="K27" s="6">
        <v>0</v>
      </c>
      <c r="L27" s="4"/>
      <c r="M27" s="27" t="s">
        <v>92</v>
      </c>
    </row>
    <row r="28" spans="1:13" x14ac:dyDescent="0.3">
      <c r="A28" s="12" t="s">
        <v>93</v>
      </c>
      <c r="B28" s="13" t="s">
        <v>94</v>
      </c>
      <c r="C28" s="12" t="s">
        <v>66</v>
      </c>
      <c r="D28" s="12" t="s">
        <v>29</v>
      </c>
      <c r="E28" s="12" t="s">
        <v>30</v>
      </c>
      <c r="F28" s="12" t="s">
        <v>91</v>
      </c>
      <c r="G28" s="12" t="s">
        <v>91</v>
      </c>
      <c r="H28" s="14">
        <v>0</v>
      </c>
      <c r="I28" s="12" t="s">
        <v>95</v>
      </c>
      <c r="J28" s="10" t="s">
        <v>19</v>
      </c>
      <c r="K28" s="11">
        <v>0</v>
      </c>
      <c r="L28" s="14"/>
      <c r="M28" s="13"/>
    </row>
    <row r="29" spans="1:13" x14ac:dyDescent="0.3">
      <c r="A29" s="2" t="s">
        <v>96</v>
      </c>
      <c r="B29" s="3" t="s">
        <v>97</v>
      </c>
      <c r="C29" s="2" t="s">
        <v>98</v>
      </c>
      <c r="D29" s="2" t="s">
        <v>16</v>
      </c>
      <c r="E29" s="2" t="s">
        <v>17</v>
      </c>
      <c r="F29" s="2" t="s">
        <v>99</v>
      </c>
      <c r="G29" s="2" t="s">
        <v>99</v>
      </c>
      <c r="H29" s="4">
        <v>0.5</v>
      </c>
      <c r="I29" s="2"/>
      <c r="J29" s="5" t="s">
        <v>19</v>
      </c>
      <c r="K29" s="6">
        <v>0</v>
      </c>
      <c r="L29" s="4"/>
      <c r="M29" s="3"/>
    </row>
    <row r="30" spans="1:13" x14ac:dyDescent="0.3">
      <c r="A30" s="2" t="s">
        <v>100</v>
      </c>
      <c r="B30" s="3" t="s">
        <v>101</v>
      </c>
      <c r="C30" s="2" t="s">
        <v>98</v>
      </c>
      <c r="D30" s="2" t="s">
        <v>16</v>
      </c>
      <c r="E30" s="2" t="s">
        <v>17</v>
      </c>
      <c r="F30" s="2" t="s">
        <v>102</v>
      </c>
      <c r="G30" s="2" t="s">
        <v>102</v>
      </c>
      <c r="H30" s="4">
        <v>0.5</v>
      </c>
      <c r="I30" s="2" t="s">
        <v>96</v>
      </c>
      <c r="J30" s="5" t="s">
        <v>19</v>
      </c>
      <c r="K30" s="6">
        <v>0</v>
      </c>
      <c r="L30" s="4"/>
      <c r="M30" s="3"/>
    </row>
    <row r="31" spans="1:13" x14ac:dyDescent="0.3">
      <c r="A31" s="2" t="s">
        <v>103</v>
      </c>
      <c r="B31" s="3" t="s">
        <v>104</v>
      </c>
      <c r="C31" s="2" t="s">
        <v>98</v>
      </c>
      <c r="D31" s="2" t="s">
        <v>16</v>
      </c>
      <c r="E31" s="2" t="s">
        <v>17</v>
      </c>
      <c r="F31" s="2" t="s">
        <v>105</v>
      </c>
      <c r="G31" s="2" t="s">
        <v>105</v>
      </c>
      <c r="H31" s="4">
        <v>0.5</v>
      </c>
      <c r="I31" s="2" t="s">
        <v>96</v>
      </c>
      <c r="J31" s="5" t="s">
        <v>19</v>
      </c>
      <c r="K31" s="6">
        <v>0</v>
      </c>
      <c r="L31" s="4"/>
      <c r="M31" s="3"/>
    </row>
    <row r="32" spans="1:13" ht="22.8" x14ac:dyDescent="0.3">
      <c r="A32" s="2" t="s">
        <v>106</v>
      </c>
      <c r="B32" s="3" t="s">
        <v>107</v>
      </c>
      <c r="C32" s="2" t="s">
        <v>98</v>
      </c>
      <c r="D32" s="2" t="s">
        <v>16</v>
      </c>
      <c r="E32" s="2" t="s">
        <v>17</v>
      </c>
      <c r="F32" s="2" t="s">
        <v>108</v>
      </c>
      <c r="G32" s="2" t="s">
        <v>109</v>
      </c>
      <c r="H32" s="4">
        <v>1</v>
      </c>
      <c r="I32" s="2" t="s">
        <v>82</v>
      </c>
      <c r="J32" s="5" t="s">
        <v>19</v>
      </c>
      <c r="K32" s="6">
        <v>0</v>
      </c>
      <c r="L32" s="4"/>
      <c r="M32" s="28" t="s">
        <v>110</v>
      </c>
    </row>
    <row r="33" spans="1:13" x14ac:dyDescent="0.3">
      <c r="A33" s="2" t="s">
        <v>111</v>
      </c>
      <c r="B33" s="3" t="s">
        <v>112</v>
      </c>
      <c r="C33" s="2" t="s">
        <v>98</v>
      </c>
      <c r="D33" s="2" t="s">
        <v>16</v>
      </c>
      <c r="E33" s="2" t="s">
        <v>17</v>
      </c>
      <c r="F33" s="2" t="s">
        <v>113</v>
      </c>
      <c r="G33" s="2" t="s">
        <v>114</v>
      </c>
      <c r="H33" s="4">
        <v>0.75</v>
      </c>
      <c r="I33" s="2" t="s">
        <v>103</v>
      </c>
      <c r="J33" s="5" t="s">
        <v>19</v>
      </c>
      <c r="K33" s="6">
        <v>0</v>
      </c>
      <c r="L33" s="4"/>
      <c r="M33" s="3"/>
    </row>
    <row r="34" spans="1:13" x14ac:dyDescent="0.3">
      <c r="A34" s="2" t="s">
        <v>115</v>
      </c>
      <c r="B34" s="3" t="s">
        <v>116</v>
      </c>
      <c r="C34" s="2" t="s">
        <v>98</v>
      </c>
      <c r="D34" s="2" t="s">
        <v>22</v>
      </c>
      <c r="E34" s="2" t="s">
        <v>23</v>
      </c>
      <c r="F34" s="2" t="s">
        <v>99</v>
      </c>
      <c r="G34" s="2" t="s">
        <v>102</v>
      </c>
      <c r="H34" s="4">
        <v>0.75</v>
      </c>
      <c r="I34" s="2" t="s">
        <v>103</v>
      </c>
      <c r="J34" s="5" t="s">
        <v>19</v>
      </c>
      <c r="K34" s="6">
        <v>0</v>
      </c>
      <c r="L34" s="4"/>
      <c r="M34" s="3"/>
    </row>
    <row r="35" spans="1:13" x14ac:dyDescent="0.3">
      <c r="A35" s="2" t="s">
        <v>117</v>
      </c>
      <c r="B35" s="3" t="s">
        <v>118</v>
      </c>
      <c r="C35" s="2" t="s">
        <v>98</v>
      </c>
      <c r="D35" s="2" t="s">
        <v>22</v>
      </c>
      <c r="E35" s="2" t="s">
        <v>23</v>
      </c>
      <c r="F35" s="2" t="s">
        <v>102</v>
      </c>
      <c r="G35" s="2" t="s">
        <v>105</v>
      </c>
      <c r="H35" s="4">
        <v>0.5</v>
      </c>
      <c r="I35" s="2"/>
      <c r="J35" s="5" t="s">
        <v>19</v>
      </c>
      <c r="K35" s="6">
        <v>0</v>
      </c>
      <c r="L35" s="4"/>
      <c r="M35" s="3"/>
    </row>
    <row r="36" spans="1:13" ht="22.8" x14ac:dyDescent="0.3">
      <c r="A36" s="2" t="s">
        <v>119</v>
      </c>
      <c r="B36" s="3" t="s">
        <v>120</v>
      </c>
      <c r="C36" s="2" t="s">
        <v>98</v>
      </c>
      <c r="D36" s="2" t="s">
        <v>22</v>
      </c>
      <c r="E36" s="2" t="s">
        <v>23</v>
      </c>
      <c r="F36" s="2" t="s">
        <v>108</v>
      </c>
      <c r="G36" s="2" t="s">
        <v>109</v>
      </c>
      <c r="H36" s="4">
        <v>1.5</v>
      </c>
      <c r="I36" s="2"/>
      <c r="J36" s="5" t="s">
        <v>19</v>
      </c>
      <c r="K36" s="6">
        <v>0</v>
      </c>
      <c r="L36" s="4"/>
      <c r="M36" s="29" t="s">
        <v>121</v>
      </c>
    </row>
    <row r="37" spans="1:13" x14ac:dyDescent="0.3">
      <c r="A37" s="2" t="s">
        <v>122</v>
      </c>
      <c r="B37" s="3" t="s">
        <v>123</v>
      </c>
      <c r="C37" s="2" t="s">
        <v>98</v>
      </c>
      <c r="D37" s="2" t="s">
        <v>22</v>
      </c>
      <c r="E37" s="2" t="s">
        <v>23</v>
      </c>
      <c r="F37" s="2" t="s">
        <v>124</v>
      </c>
      <c r="G37" s="2" t="s">
        <v>124</v>
      </c>
      <c r="H37" s="4">
        <v>0.5</v>
      </c>
      <c r="I37" s="2"/>
      <c r="J37" s="5" t="s">
        <v>19</v>
      </c>
      <c r="K37" s="6">
        <v>0</v>
      </c>
      <c r="L37" s="4"/>
      <c r="M37" s="3"/>
    </row>
    <row r="38" spans="1:13" x14ac:dyDescent="0.3">
      <c r="A38" s="2" t="s">
        <v>125</v>
      </c>
      <c r="B38" s="3" t="s">
        <v>126</v>
      </c>
      <c r="C38" s="2" t="s">
        <v>98</v>
      </c>
      <c r="D38" s="2" t="s">
        <v>16</v>
      </c>
      <c r="E38" s="2" t="s">
        <v>17</v>
      </c>
      <c r="F38" s="2" t="s">
        <v>127</v>
      </c>
      <c r="G38" s="2" t="s">
        <v>127</v>
      </c>
      <c r="H38" s="4">
        <v>0.25</v>
      </c>
      <c r="I38" s="2"/>
      <c r="J38" s="5" t="s">
        <v>19</v>
      </c>
      <c r="K38" s="6">
        <v>0</v>
      </c>
      <c r="L38" s="4"/>
      <c r="M38" s="3"/>
    </row>
    <row r="39" spans="1:13" x14ac:dyDescent="0.3">
      <c r="A39" s="12" t="s">
        <v>128</v>
      </c>
      <c r="B39" s="13" t="s">
        <v>129</v>
      </c>
      <c r="C39" s="12" t="s">
        <v>98</v>
      </c>
      <c r="D39" s="12" t="s">
        <v>29</v>
      </c>
      <c r="E39" s="12" t="s">
        <v>30</v>
      </c>
      <c r="F39" s="12" t="s">
        <v>124</v>
      </c>
      <c r="G39" s="12" t="s">
        <v>124</v>
      </c>
      <c r="H39" s="14">
        <v>0</v>
      </c>
      <c r="I39" s="12" t="s">
        <v>130</v>
      </c>
      <c r="J39" s="10" t="s">
        <v>19</v>
      </c>
      <c r="K39" s="11">
        <v>0</v>
      </c>
      <c r="L39" s="14"/>
      <c r="M39" s="13"/>
    </row>
    <row r="40" spans="1:13" ht="22.8" x14ac:dyDescent="0.3">
      <c r="A40" s="2" t="s">
        <v>131</v>
      </c>
      <c r="B40" s="3" t="s">
        <v>132</v>
      </c>
      <c r="C40" s="2" t="s">
        <v>133</v>
      </c>
      <c r="D40" s="2" t="s">
        <v>16</v>
      </c>
      <c r="E40" s="2" t="s">
        <v>17</v>
      </c>
      <c r="F40" s="2" t="s">
        <v>127</v>
      </c>
      <c r="G40" s="2" t="s">
        <v>127</v>
      </c>
      <c r="H40" s="4">
        <v>0.75</v>
      </c>
      <c r="I40" s="2" t="s">
        <v>40</v>
      </c>
      <c r="J40" s="5" t="s">
        <v>19</v>
      </c>
      <c r="K40" s="6">
        <v>0</v>
      </c>
      <c r="L40" s="4"/>
      <c r="M40" s="28" t="s">
        <v>134</v>
      </c>
    </row>
    <row r="41" spans="1:13" ht="22.8" x14ac:dyDescent="0.3">
      <c r="A41" s="2" t="s">
        <v>135</v>
      </c>
      <c r="B41" s="3" t="s">
        <v>136</v>
      </c>
      <c r="C41" s="2" t="s">
        <v>133</v>
      </c>
      <c r="D41" s="2" t="s">
        <v>16</v>
      </c>
      <c r="E41" s="2" t="s">
        <v>17</v>
      </c>
      <c r="F41" s="2" t="s">
        <v>137</v>
      </c>
      <c r="G41" s="2" t="s">
        <v>138</v>
      </c>
      <c r="H41" s="4">
        <v>1</v>
      </c>
      <c r="I41" s="2" t="s">
        <v>111</v>
      </c>
      <c r="J41" s="5" t="s">
        <v>19</v>
      </c>
      <c r="K41" s="6">
        <v>0</v>
      </c>
      <c r="L41" s="4"/>
      <c r="M41" s="28" t="s">
        <v>139</v>
      </c>
    </row>
    <row r="42" spans="1:13" x14ac:dyDescent="0.3">
      <c r="A42" s="2" t="s">
        <v>140</v>
      </c>
      <c r="B42" s="3" t="s">
        <v>141</v>
      </c>
      <c r="C42" s="2" t="s">
        <v>133</v>
      </c>
      <c r="D42" s="2" t="s">
        <v>16</v>
      </c>
      <c r="E42" s="2" t="s">
        <v>17</v>
      </c>
      <c r="F42" s="2" t="s">
        <v>142</v>
      </c>
      <c r="G42" s="2" t="s">
        <v>142</v>
      </c>
      <c r="H42" s="4">
        <v>0.5</v>
      </c>
      <c r="I42" s="2"/>
      <c r="J42" s="5" t="s">
        <v>19</v>
      </c>
      <c r="K42" s="6">
        <v>0</v>
      </c>
      <c r="L42" s="4"/>
      <c r="M42" s="3"/>
    </row>
    <row r="43" spans="1:13" ht="22.8" x14ac:dyDescent="0.3">
      <c r="A43" s="2" t="s">
        <v>143</v>
      </c>
      <c r="B43" s="3" t="s">
        <v>144</v>
      </c>
      <c r="C43" s="2" t="s">
        <v>133</v>
      </c>
      <c r="D43" s="2" t="s">
        <v>22</v>
      </c>
      <c r="E43" s="2" t="s">
        <v>23</v>
      </c>
      <c r="F43" s="2" t="s">
        <v>127</v>
      </c>
      <c r="G43" s="2" t="s">
        <v>137</v>
      </c>
      <c r="H43" s="4">
        <v>1</v>
      </c>
      <c r="I43" s="2" t="s">
        <v>119</v>
      </c>
      <c r="J43" s="5" t="s">
        <v>19</v>
      </c>
      <c r="K43" s="6">
        <v>0</v>
      </c>
      <c r="L43" s="4"/>
      <c r="M43" s="29" t="s">
        <v>145</v>
      </c>
    </row>
    <row r="44" spans="1:13" x14ac:dyDescent="0.3">
      <c r="A44" s="2" t="s">
        <v>146</v>
      </c>
      <c r="B44" s="3" t="s">
        <v>147</v>
      </c>
      <c r="C44" s="2" t="s">
        <v>133</v>
      </c>
      <c r="D44" s="2" t="s">
        <v>22</v>
      </c>
      <c r="E44" s="2" t="s">
        <v>23</v>
      </c>
      <c r="F44" s="2" t="s">
        <v>138</v>
      </c>
      <c r="G44" s="2" t="s">
        <v>142</v>
      </c>
      <c r="H44" s="4">
        <v>0.75</v>
      </c>
      <c r="I44" s="2"/>
      <c r="J44" s="5" t="s">
        <v>19</v>
      </c>
      <c r="K44" s="6">
        <v>0</v>
      </c>
      <c r="L44" s="4"/>
      <c r="M44" s="3"/>
    </row>
    <row r="45" spans="1:13" x14ac:dyDescent="0.3">
      <c r="A45" s="2" t="s">
        <v>148</v>
      </c>
      <c r="B45" s="3" t="s">
        <v>149</v>
      </c>
      <c r="C45" s="2" t="s">
        <v>133</v>
      </c>
      <c r="D45" s="2" t="s">
        <v>22</v>
      </c>
      <c r="E45" s="2" t="s">
        <v>23</v>
      </c>
      <c r="F45" s="2" t="s">
        <v>142</v>
      </c>
      <c r="G45" s="2" t="s">
        <v>150</v>
      </c>
      <c r="H45" s="4">
        <v>0.5</v>
      </c>
      <c r="I45" s="2" t="s">
        <v>106</v>
      </c>
      <c r="J45" s="5" t="s">
        <v>19</v>
      </c>
      <c r="K45" s="6">
        <v>0</v>
      </c>
      <c r="L45" s="4"/>
      <c r="M45" s="3"/>
    </row>
    <row r="46" spans="1:13" x14ac:dyDescent="0.3">
      <c r="A46" s="12" t="s">
        <v>151</v>
      </c>
      <c r="B46" s="13" t="s">
        <v>152</v>
      </c>
      <c r="C46" s="12" t="s">
        <v>133</v>
      </c>
      <c r="D46" s="12" t="s">
        <v>29</v>
      </c>
      <c r="E46" s="12" t="s">
        <v>30</v>
      </c>
      <c r="F46" s="12" t="s">
        <v>150</v>
      </c>
      <c r="G46" s="12" t="s">
        <v>150</v>
      </c>
      <c r="H46" s="14">
        <v>0.5</v>
      </c>
      <c r="I46" s="12"/>
      <c r="J46" s="10" t="s">
        <v>19</v>
      </c>
      <c r="K46" s="11">
        <v>0</v>
      </c>
      <c r="L46" s="14"/>
      <c r="M46" s="13"/>
    </row>
    <row r="47" spans="1:13" x14ac:dyDescent="0.3">
      <c r="A47" s="2" t="s">
        <v>153</v>
      </c>
      <c r="B47" s="3" t="s">
        <v>154</v>
      </c>
      <c r="C47" s="2" t="s">
        <v>133</v>
      </c>
      <c r="D47" s="2" t="s">
        <v>29</v>
      </c>
      <c r="E47" s="2" t="s">
        <v>30</v>
      </c>
      <c r="F47" s="2" t="s">
        <v>155</v>
      </c>
      <c r="G47" s="2" t="s">
        <v>155</v>
      </c>
      <c r="H47" s="4">
        <v>0.5</v>
      </c>
      <c r="I47" s="2" t="s">
        <v>156</v>
      </c>
      <c r="J47" s="5" t="s">
        <v>19</v>
      </c>
      <c r="K47" s="6">
        <v>0</v>
      </c>
      <c r="L47" s="4"/>
      <c r="M47" s="3"/>
    </row>
    <row r="48" spans="1:13" x14ac:dyDescent="0.3">
      <c r="A48" s="2" t="s">
        <v>157</v>
      </c>
      <c r="B48" s="3" t="s">
        <v>158</v>
      </c>
      <c r="C48" s="2" t="s">
        <v>133</v>
      </c>
      <c r="D48" s="2" t="s">
        <v>16</v>
      </c>
      <c r="E48" s="2" t="s">
        <v>17</v>
      </c>
      <c r="F48" s="2" t="s">
        <v>159</v>
      </c>
      <c r="G48" s="2" t="s">
        <v>159</v>
      </c>
      <c r="H48" s="4">
        <v>0.25</v>
      </c>
      <c r="I48" s="2"/>
      <c r="J48" s="5" t="s">
        <v>19</v>
      </c>
      <c r="K48" s="6">
        <v>0</v>
      </c>
      <c r="L48" s="4"/>
      <c r="M48" s="3"/>
    </row>
    <row r="49" spans="1:13" ht="22.8" x14ac:dyDescent="0.3">
      <c r="A49" s="7" t="s">
        <v>160</v>
      </c>
      <c r="B49" s="8" t="s">
        <v>161</v>
      </c>
      <c r="C49" s="7" t="s">
        <v>133</v>
      </c>
      <c r="D49" s="7" t="s">
        <v>29</v>
      </c>
      <c r="E49" s="7" t="s">
        <v>30</v>
      </c>
      <c r="F49" s="7" t="s">
        <v>162</v>
      </c>
      <c r="G49" s="7" t="s">
        <v>159</v>
      </c>
      <c r="H49" s="9">
        <v>0.5</v>
      </c>
      <c r="I49" s="7" t="s">
        <v>151</v>
      </c>
      <c r="J49" s="10" t="s">
        <v>19</v>
      </c>
      <c r="K49" s="11">
        <v>0</v>
      </c>
      <c r="L49" s="9"/>
      <c r="M49" s="28" t="s">
        <v>163</v>
      </c>
    </row>
    <row r="50" spans="1:13" x14ac:dyDescent="0.3">
      <c r="A50" s="2" t="s">
        <v>164</v>
      </c>
      <c r="B50" s="3" t="s">
        <v>165</v>
      </c>
      <c r="C50" s="2" t="s">
        <v>133</v>
      </c>
      <c r="D50" s="2" t="s">
        <v>29</v>
      </c>
      <c r="E50" s="2" t="s">
        <v>30</v>
      </c>
      <c r="F50" s="2" t="s">
        <v>166</v>
      </c>
      <c r="G50" s="2" t="s">
        <v>166</v>
      </c>
      <c r="H50" s="4">
        <v>1</v>
      </c>
      <c r="I50" s="2"/>
      <c r="J50" s="5" t="s">
        <v>19</v>
      </c>
      <c r="K50" s="6">
        <v>0</v>
      </c>
      <c r="L50" s="4"/>
      <c r="M50" s="3"/>
    </row>
    <row r="51" spans="1:13" x14ac:dyDescent="0.3">
      <c r="A51" s="7" t="s">
        <v>167</v>
      </c>
      <c r="B51" s="8" t="s">
        <v>168</v>
      </c>
      <c r="C51" s="7" t="s">
        <v>169</v>
      </c>
      <c r="D51" s="7" t="s">
        <v>16</v>
      </c>
      <c r="E51" s="7" t="s">
        <v>170</v>
      </c>
      <c r="F51" s="7"/>
      <c r="G51" s="7"/>
      <c r="H51" s="9">
        <v>6.5</v>
      </c>
      <c r="I51" s="7" t="s">
        <v>25</v>
      </c>
      <c r="J51" s="10" t="s">
        <v>19</v>
      </c>
      <c r="K51" s="11">
        <v>0</v>
      </c>
      <c r="L51" s="9"/>
      <c r="M51" s="8"/>
    </row>
    <row r="52" spans="1:13" x14ac:dyDescent="0.3">
      <c r="A52" s="7" t="s">
        <v>171</v>
      </c>
      <c r="B52" s="8" t="s">
        <v>172</v>
      </c>
      <c r="C52" s="7" t="s">
        <v>169</v>
      </c>
      <c r="D52" s="7" t="s">
        <v>22</v>
      </c>
      <c r="E52" s="7" t="s">
        <v>170</v>
      </c>
      <c r="F52" s="7"/>
      <c r="G52" s="7"/>
      <c r="H52" s="9">
        <v>6.5</v>
      </c>
      <c r="I52" s="7"/>
      <c r="J52" s="10" t="s">
        <v>19</v>
      </c>
      <c r="K52" s="11">
        <v>0</v>
      </c>
      <c r="L52" s="9"/>
      <c r="M52" s="8"/>
    </row>
    <row r="53" spans="1:13" x14ac:dyDescent="0.3">
      <c r="A53" s="7" t="s">
        <v>173</v>
      </c>
      <c r="B53" s="8" t="s">
        <v>174</v>
      </c>
      <c r="C53" s="7" t="s">
        <v>169</v>
      </c>
      <c r="D53" s="7" t="s">
        <v>16</v>
      </c>
      <c r="E53" s="7" t="s">
        <v>170</v>
      </c>
      <c r="F53" s="7"/>
      <c r="G53" s="7"/>
      <c r="H53" s="9">
        <v>2.5</v>
      </c>
      <c r="I53" s="7"/>
      <c r="J53" s="10" t="s">
        <v>19</v>
      </c>
      <c r="K53" s="11">
        <v>0</v>
      </c>
      <c r="L53" s="9"/>
      <c r="M53" s="8"/>
    </row>
    <row r="54" spans="1:13" x14ac:dyDescent="0.3">
      <c r="A54" s="7" t="s">
        <v>175</v>
      </c>
      <c r="B54" s="8" t="s">
        <v>176</v>
      </c>
      <c r="C54" s="7" t="s">
        <v>169</v>
      </c>
      <c r="D54" s="7" t="s">
        <v>22</v>
      </c>
      <c r="E54" s="7" t="s">
        <v>170</v>
      </c>
      <c r="F54" s="7"/>
      <c r="G54" s="7"/>
      <c r="H54" s="9">
        <v>5</v>
      </c>
      <c r="I54" s="7"/>
      <c r="J54" s="10" t="s">
        <v>19</v>
      </c>
      <c r="K54" s="11">
        <v>0</v>
      </c>
      <c r="L54" s="9"/>
      <c r="M54" s="8"/>
    </row>
    <row r="55" spans="1:13" x14ac:dyDescent="0.3">
      <c r="A55" s="7" t="s">
        <v>177</v>
      </c>
      <c r="B55" s="8" t="s">
        <v>178</v>
      </c>
      <c r="C55" s="7" t="s">
        <v>169</v>
      </c>
      <c r="D55" s="7" t="s">
        <v>22</v>
      </c>
      <c r="E55" s="7" t="s">
        <v>170</v>
      </c>
      <c r="F55" s="7"/>
      <c r="G55" s="7"/>
      <c r="H55" s="9">
        <v>4</v>
      </c>
      <c r="I55" s="7"/>
      <c r="J55" s="10" t="s">
        <v>19</v>
      </c>
      <c r="K55" s="11">
        <v>0</v>
      </c>
      <c r="L55" s="9"/>
      <c r="M55" s="8"/>
    </row>
    <row r="56" spans="1:13" x14ac:dyDescent="0.3">
      <c r="A56" s="7" t="s">
        <v>179</v>
      </c>
      <c r="B56" s="8" t="s">
        <v>180</v>
      </c>
      <c r="C56" s="7" t="s">
        <v>169</v>
      </c>
      <c r="D56" s="7" t="s">
        <v>16</v>
      </c>
      <c r="E56" s="7" t="s">
        <v>170</v>
      </c>
      <c r="F56" s="7"/>
      <c r="G56" s="7"/>
      <c r="H56" s="9">
        <v>3.5</v>
      </c>
      <c r="I56" s="7" t="s">
        <v>167</v>
      </c>
      <c r="J56" s="10" t="s">
        <v>19</v>
      </c>
      <c r="K56" s="11">
        <v>0</v>
      </c>
      <c r="L56" s="9"/>
      <c r="M56" s="8"/>
    </row>
    <row r="57" spans="1:13" x14ac:dyDescent="0.3">
      <c r="A57" s="2" t="s">
        <v>181</v>
      </c>
      <c r="B57" s="3" t="s">
        <v>182</v>
      </c>
      <c r="C57" s="2" t="s">
        <v>169</v>
      </c>
      <c r="D57" s="2" t="s">
        <v>183</v>
      </c>
      <c r="E57" s="2" t="s">
        <v>170</v>
      </c>
      <c r="F57" s="2"/>
      <c r="G57" s="2"/>
      <c r="H57" s="4">
        <v>0</v>
      </c>
      <c r="I57" s="2"/>
      <c r="J57" s="5" t="s">
        <v>19</v>
      </c>
      <c r="K57" s="6">
        <v>0</v>
      </c>
      <c r="L57" s="4"/>
      <c r="M57" s="3"/>
    </row>
    <row r="58" spans="1:13" x14ac:dyDescent="0.3">
      <c r="A58" s="2" t="s">
        <v>184</v>
      </c>
      <c r="B58" s="3" t="s">
        <v>185</v>
      </c>
      <c r="C58" s="2" t="s">
        <v>169</v>
      </c>
      <c r="D58" s="2" t="s">
        <v>16</v>
      </c>
      <c r="E58" s="2" t="s">
        <v>170</v>
      </c>
      <c r="F58" s="2"/>
      <c r="G58" s="2"/>
      <c r="H58" s="4">
        <v>2</v>
      </c>
      <c r="I58" s="2"/>
      <c r="J58" s="5" t="s">
        <v>19</v>
      </c>
      <c r="K58" s="6">
        <v>0</v>
      </c>
      <c r="L58" s="4"/>
      <c r="M58" s="3"/>
    </row>
    <row r="59" spans="1:13" x14ac:dyDescent="0.3">
      <c r="A59" s="2" t="s">
        <v>186</v>
      </c>
      <c r="B59" s="3" t="s">
        <v>187</v>
      </c>
      <c r="C59" s="2" t="s">
        <v>169</v>
      </c>
      <c r="D59" s="2" t="s">
        <v>16</v>
      </c>
      <c r="E59" s="2" t="s">
        <v>170</v>
      </c>
      <c r="F59" s="2"/>
      <c r="G59" s="2"/>
      <c r="H59" s="4">
        <v>2</v>
      </c>
      <c r="I59" s="2"/>
      <c r="J59" s="5" t="s">
        <v>19</v>
      </c>
      <c r="K59" s="6">
        <v>0</v>
      </c>
      <c r="L59" s="4"/>
      <c r="M59" s="3"/>
    </row>
    <row r="60" spans="1:13" x14ac:dyDescent="0.3">
      <c r="A60" s="2" t="s">
        <v>188</v>
      </c>
      <c r="B60" s="3" t="s">
        <v>189</v>
      </c>
      <c r="C60" s="2" t="s">
        <v>169</v>
      </c>
      <c r="D60" s="2" t="s">
        <v>183</v>
      </c>
      <c r="E60" s="2" t="s">
        <v>170</v>
      </c>
      <c r="F60" s="2"/>
      <c r="G60" s="2"/>
      <c r="H60" s="4">
        <v>1</v>
      </c>
      <c r="I60" s="2"/>
      <c r="J60" s="5" t="s">
        <v>19</v>
      </c>
      <c r="K60" s="6">
        <v>0</v>
      </c>
      <c r="L60" s="4"/>
      <c r="M60" s="3"/>
    </row>
    <row r="61" spans="1:13" x14ac:dyDescent="0.3">
      <c r="A61" s="2" t="s">
        <v>190</v>
      </c>
      <c r="B61" s="3" t="s">
        <v>191</v>
      </c>
      <c r="C61" s="2" t="s">
        <v>169</v>
      </c>
      <c r="D61" s="2" t="s">
        <v>183</v>
      </c>
      <c r="E61" s="2" t="s">
        <v>170</v>
      </c>
      <c r="F61" s="2"/>
      <c r="G61" s="2"/>
      <c r="H61" s="4">
        <v>0</v>
      </c>
      <c r="I61" s="2"/>
      <c r="J61" s="5" t="s">
        <v>19</v>
      </c>
      <c r="K61" s="6">
        <v>0</v>
      </c>
      <c r="L61" s="4"/>
      <c r="M61" s="3"/>
    </row>
    <row r="62" spans="1:13" x14ac:dyDescent="0.3">
      <c r="A62" s="7" t="s">
        <v>192</v>
      </c>
      <c r="B62" s="8" t="s">
        <v>193</v>
      </c>
      <c r="C62" s="7" t="s">
        <v>194</v>
      </c>
      <c r="D62" s="7" t="s">
        <v>29</v>
      </c>
      <c r="E62" s="7" t="s">
        <v>170</v>
      </c>
      <c r="F62" s="7"/>
      <c r="G62" s="7"/>
      <c r="H62" s="9">
        <v>0</v>
      </c>
      <c r="I62" s="7" t="s">
        <v>33</v>
      </c>
      <c r="J62" s="10" t="s">
        <v>19</v>
      </c>
      <c r="K62" s="11">
        <v>0</v>
      </c>
      <c r="L62" s="9"/>
      <c r="M62" s="8"/>
    </row>
    <row r="63" spans="1:13" ht="22.8" x14ac:dyDescent="0.3">
      <c r="A63" s="7" t="s">
        <v>195</v>
      </c>
      <c r="B63" s="8" t="s">
        <v>196</v>
      </c>
      <c r="C63" s="7" t="s">
        <v>194</v>
      </c>
      <c r="D63" s="7" t="s">
        <v>22</v>
      </c>
      <c r="E63" s="7" t="s">
        <v>170</v>
      </c>
      <c r="F63" s="7"/>
      <c r="G63" s="7"/>
      <c r="H63" s="9">
        <v>7.5</v>
      </c>
      <c r="I63" s="7" t="s">
        <v>192</v>
      </c>
      <c r="J63" s="10" t="s">
        <v>19</v>
      </c>
      <c r="K63" s="11">
        <v>0</v>
      </c>
      <c r="L63" s="9"/>
      <c r="M63" s="27" t="s">
        <v>197</v>
      </c>
    </row>
    <row r="64" spans="1:13" x14ac:dyDescent="0.3">
      <c r="A64" s="2" t="s">
        <v>198</v>
      </c>
      <c r="B64" s="3" t="s">
        <v>199</v>
      </c>
      <c r="C64" s="2" t="s">
        <v>194</v>
      </c>
      <c r="D64" s="2" t="s">
        <v>16</v>
      </c>
      <c r="E64" s="2" t="s">
        <v>170</v>
      </c>
      <c r="F64" s="2"/>
      <c r="G64" s="2"/>
      <c r="H64" s="4">
        <v>2</v>
      </c>
      <c r="I64" s="2" t="s">
        <v>192</v>
      </c>
      <c r="J64" s="5" t="s">
        <v>19</v>
      </c>
      <c r="K64" s="6">
        <v>0</v>
      </c>
      <c r="L64" s="4"/>
      <c r="M64" s="3"/>
    </row>
    <row r="65" spans="1:13" x14ac:dyDescent="0.3">
      <c r="A65" s="7" t="s">
        <v>200</v>
      </c>
      <c r="B65" s="8" t="s">
        <v>201</v>
      </c>
      <c r="C65" s="7" t="s">
        <v>194</v>
      </c>
      <c r="D65" s="7" t="s">
        <v>29</v>
      </c>
      <c r="E65" s="7" t="s">
        <v>170</v>
      </c>
      <c r="F65" s="7"/>
      <c r="G65" s="7"/>
      <c r="H65" s="9">
        <v>1</v>
      </c>
      <c r="I65" s="7" t="s">
        <v>192</v>
      </c>
      <c r="J65" s="10" t="s">
        <v>19</v>
      </c>
      <c r="K65" s="11">
        <v>0</v>
      </c>
      <c r="L65" s="9"/>
      <c r="M65" s="8"/>
    </row>
    <row r="66" spans="1:13" x14ac:dyDescent="0.3">
      <c r="A66" s="2" t="s">
        <v>202</v>
      </c>
      <c r="B66" s="3" t="s">
        <v>203</v>
      </c>
      <c r="C66" s="2" t="s">
        <v>194</v>
      </c>
      <c r="D66" s="2" t="s">
        <v>22</v>
      </c>
      <c r="E66" s="2" t="s">
        <v>170</v>
      </c>
      <c r="F66" s="2"/>
      <c r="G66" s="2"/>
      <c r="H66" s="4">
        <v>2</v>
      </c>
      <c r="I66" s="2" t="s">
        <v>195</v>
      </c>
      <c r="J66" s="5" t="s">
        <v>19</v>
      </c>
      <c r="K66" s="6">
        <v>0</v>
      </c>
      <c r="L66" s="4"/>
      <c r="M66" s="3"/>
    </row>
    <row r="67" spans="1:13" x14ac:dyDescent="0.3">
      <c r="A67" s="7" t="s">
        <v>204</v>
      </c>
      <c r="B67" s="8" t="s">
        <v>205</v>
      </c>
      <c r="C67" s="7" t="s">
        <v>194</v>
      </c>
      <c r="D67" s="7" t="s">
        <v>29</v>
      </c>
      <c r="E67" s="7" t="s">
        <v>170</v>
      </c>
      <c r="F67" s="7"/>
      <c r="G67" s="7"/>
      <c r="H67" s="9">
        <v>2</v>
      </c>
      <c r="I67" s="7" t="s">
        <v>206</v>
      </c>
      <c r="J67" s="10" t="s">
        <v>19</v>
      </c>
      <c r="K67" s="11">
        <v>0</v>
      </c>
      <c r="L67" s="9"/>
      <c r="M67" s="8"/>
    </row>
    <row r="68" spans="1:13" x14ac:dyDescent="0.3">
      <c r="A68" s="2" t="s">
        <v>207</v>
      </c>
      <c r="B68" s="3" t="s">
        <v>208</v>
      </c>
      <c r="C68" s="2" t="s">
        <v>194</v>
      </c>
      <c r="D68" s="2" t="s">
        <v>16</v>
      </c>
      <c r="E68" s="2" t="s">
        <v>170</v>
      </c>
      <c r="F68" s="2"/>
      <c r="G68" s="2"/>
      <c r="H68" s="4">
        <v>1</v>
      </c>
      <c r="I68" s="2"/>
      <c r="J68" s="5" t="s">
        <v>19</v>
      </c>
      <c r="K68" s="6">
        <v>0</v>
      </c>
      <c r="L68" s="4"/>
      <c r="M68" s="3"/>
    </row>
  </sheetData>
  <autoFilter ref="A1:M68" xr:uid="{00000000-0009-0000-0000-000000000000}"/>
  <dataValidations count="1">
    <dataValidation type="list" sqref="J2:J68" xr:uid="{00000000-0002-0000-0000-000000000000}">
      <formula1>"Not started,In progress,Blocked,Done,Cut"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showGridLines="0" workbookViewId="0"/>
  </sheetViews>
  <sheetFormatPr defaultRowHeight="14.4" x14ac:dyDescent="0.3"/>
  <cols>
    <col min="1" max="1" width="30" customWidth="1"/>
    <col min="2" max="7" width="14" customWidth="1"/>
  </cols>
  <sheetData>
    <row r="1" spans="1:7" ht="16.8" x14ac:dyDescent="0.3">
      <c r="A1" s="15" t="s">
        <v>209</v>
      </c>
    </row>
    <row r="2" spans="1:7" x14ac:dyDescent="0.3">
      <c r="A2" s="16" t="s">
        <v>210</v>
      </c>
    </row>
    <row r="4" spans="1:7" ht="16.8" x14ac:dyDescent="0.3">
      <c r="A4" s="15" t="s">
        <v>211</v>
      </c>
    </row>
    <row r="5" spans="1:7" x14ac:dyDescent="0.3">
      <c r="A5" s="17" t="s">
        <v>2</v>
      </c>
      <c r="B5" s="17" t="s">
        <v>212</v>
      </c>
      <c r="C5" s="17" t="s">
        <v>7</v>
      </c>
      <c r="D5" s="17" t="s">
        <v>213</v>
      </c>
      <c r="E5" s="17" t="s">
        <v>214</v>
      </c>
      <c r="F5" s="17" t="s">
        <v>215</v>
      </c>
      <c r="G5" s="17" t="s">
        <v>10</v>
      </c>
    </row>
    <row r="6" spans="1:7" x14ac:dyDescent="0.3">
      <c r="A6" s="18" t="s">
        <v>15</v>
      </c>
      <c r="B6" s="19">
        <f>COUNTIF(Tasks!$C$2:$C$68,$A6)</f>
        <v>6</v>
      </c>
      <c r="C6" s="20">
        <f>SUMIF(Tasks!$C$2:$C$68,$A6,Tasks!$H$2:$H$68)</f>
        <v>1.5</v>
      </c>
      <c r="D6" s="19">
        <f>COUNTIFS(Tasks!$C$2:$C$68,$A6,Tasks!$J$2:$J$68,"Done")</f>
        <v>0</v>
      </c>
      <c r="E6" s="19">
        <f>COUNTIFS(Tasks!$C$2:$C$68,$A6,Tasks!$J$2:$J$68,"In progress")</f>
        <v>0</v>
      </c>
      <c r="F6" s="19">
        <f>COUNTIFS(Tasks!$C$2:$C$68,$A6,Tasks!$J$2:$J$68,"Blocked")</f>
        <v>0</v>
      </c>
      <c r="G6" s="21">
        <f>IFERROR(SUMIF(Tasks!$C$2:$C$68,$A6,Tasks!$K$2:$K$68)/B6,0)</f>
        <v>0</v>
      </c>
    </row>
    <row r="7" spans="1:7" x14ac:dyDescent="0.3">
      <c r="A7" s="18" t="s">
        <v>38</v>
      </c>
      <c r="B7" s="19">
        <f>COUNTIF(Tasks!$C$2:$C$68,$A7)</f>
        <v>11</v>
      </c>
      <c r="C7" s="20">
        <f>SUMIF(Tasks!$C$2:$C$68,$A7,Tasks!$H$2:$H$68)</f>
        <v>5.5</v>
      </c>
      <c r="D7" s="19">
        <f>COUNTIFS(Tasks!$C$2:$C$68,$A7,Tasks!$J$2:$J$68,"Done")</f>
        <v>0</v>
      </c>
      <c r="E7" s="19">
        <f>COUNTIFS(Tasks!$C$2:$C$68,$A7,Tasks!$J$2:$J$68,"In progress")</f>
        <v>0</v>
      </c>
      <c r="F7" s="19">
        <f>COUNTIFS(Tasks!$C$2:$C$68,$A7,Tasks!$J$2:$J$68,"Blocked")</f>
        <v>0</v>
      </c>
      <c r="G7" s="21">
        <f>IFERROR(SUMIF(Tasks!$C$2:$C$68,$A7,Tasks!$K$2:$K$68)/B7,0)</f>
        <v>0</v>
      </c>
    </row>
    <row r="8" spans="1:7" x14ac:dyDescent="0.3">
      <c r="A8" s="18" t="s">
        <v>66</v>
      </c>
      <c r="B8" s="19">
        <f>COUNTIF(Tasks!$C$2:$C$68,$A8)</f>
        <v>10</v>
      </c>
      <c r="C8" s="20">
        <f>SUMIF(Tasks!$C$2:$C$68,$A8,Tasks!$H$2:$H$68)</f>
        <v>7.25</v>
      </c>
      <c r="D8" s="19">
        <f>COUNTIFS(Tasks!$C$2:$C$68,$A8,Tasks!$J$2:$J$68,"Done")</f>
        <v>0</v>
      </c>
      <c r="E8" s="19">
        <f>COUNTIFS(Tasks!$C$2:$C$68,$A8,Tasks!$J$2:$J$68,"In progress")</f>
        <v>0</v>
      </c>
      <c r="F8" s="19">
        <f>COUNTIFS(Tasks!$C$2:$C$68,$A8,Tasks!$J$2:$J$68,"Blocked")</f>
        <v>0</v>
      </c>
      <c r="G8" s="21">
        <f>IFERROR(SUMIF(Tasks!$C$2:$C$68,$A8,Tasks!$K$2:$K$68)/B8,0)</f>
        <v>0</v>
      </c>
    </row>
    <row r="9" spans="1:7" x14ac:dyDescent="0.3">
      <c r="A9" s="18" t="s">
        <v>98</v>
      </c>
      <c r="B9" s="19">
        <f>COUNTIF(Tasks!$C$2:$C$68,$A9)</f>
        <v>11</v>
      </c>
      <c r="C9" s="20">
        <f>SUMIF(Tasks!$C$2:$C$68,$A9,Tasks!$H$2:$H$68)</f>
        <v>6.75</v>
      </c>
      <c r="D9" s="19">
        <f>COUNTIFS(Tasks!$C$2:$C$68,$A9,Tasks!$J$2:$J$68,"Done")</f>
        <v>0</v>
      </c>
      <c r="E9" s="19">
        <f>COUNTIFS(Tasks!$C$2:$C$68,$A9,Tasks!$J$2:$J$68,"In progress")</f>
        <v>0</v>
      </c>
      <c r="F9" s="19">
        <f>COUNTIFS(Tasks!$C$2:$C$68,$A9,Tasks!$J$2:$J$68,"Blocked")</f>
        <v>0</v>
      </c>
      <c r="G9" s="21">
        <f>IFERROR(SUMIF(Tasks!$C$2:$C$68,$A9,Tasks!$K$2:$K$68)/B9,0)</f>
        <v>0</v>
      </c>
    </row>
    <row r="10" spans="1:7" x14ac:dyDescent="0.3">
      <c r="A10" s="18" t="s">
        <v>133</v>
      </c>
      <c r="B10" s="19">
        <f>COUNTIF(Tasks!$C$2:$C$68,$A10)</f>
        <v>11</v>
      </c>
      <c r="C10" s="20">
        <f>SUMIF(Tasks!$C$2:$C$68,$A10,Tasks!$H$2:$H$68)</f>
        <v>7.25</v>
      </c>
      <c r="D10" s="19">
        <f>COUNTIFS(Tasks!$C$2:$C$68,$A10,Tasks!$J$2:$J$68,"Done")</f>
        <v>0</v>
      </c>
      <c r="E10" s="19">
        <f>COUNTIFS(Tasks!$C$2:$C$68,$A10,Tasks!$J$2:$J$68,"In progress")</f>
        <v>0</v>
      </c>
      <c r="F10" s="19">
        <f>COUNTIFS(Tasks!$C$2:$C$68,$A10,Tasks!$J$2:$J$68,"Blocked")</f>
        <v>0</v>
      </c>
      <c r="G10" s="21">
        <f>IFERROR(SUMIF(Tasks!$C$2:$C$68,$A10,Tasks!$K$2:$K$68)/B10,0)</f>
        <v>0</v>
      </c>
    </row>
    <row r="11" spans="1:7" x14ac:dyDescent="0.3">
      <c r="A11" s="18" t="s">
        <v>169</v>
      </c>
      <c r="B11" s="19">
        <f>COUNTIF(Tasks!$C$2:$C$68,$A11)</f>
        <v>11</v>
      </c>
      <c r="C11" s="20">
        <f>SUMIF(Tasks!$C$2:$C$68,$A11,Tasks!$H$2:$H$68)</f>
        <v>33</v>
      </c>
      <c r="D11" s="19">
        <f>COUNTIFS(Tasks!$C$2:$C$68,$A11,Tasks!$J$2:$J$68,"Done")</f>
        <v>0</v>
      </c>
      <c r="E11" s="19">
        <f>COUNTIFS(Tasks!$C$2:$C$68,$A11,Tasks!$J$2:$J$68,"In progress")</f>
        <v>0</v>
      </c>
      <c r="F11" s="19">
        <f>COUNTIFS(Tasks!$C$2:$C$68,$A11,Tasks!$J$2:$J$68,"Blocked")</f>
        <v>0</v>
      </c>
      <c r="G11" s="21">
        <f>IFERROR(SUMIF(Tasks!$C$2:$C$68,$A11,Tasks!$K$2:$K$68)/B11,0)</f>
        <v>0</v>
      </c>
    </row>
    <row r="12" spans="1:7" x14ac:dyDescent="0.3">
      <c r="A12" s="18" t="s">
        <v>194</v>
      </c>
      <c r="B12" s="19">
        <f>COUNTIF(Tasks!$C$2:$C$68,$A12)</f>
        <v>7</v>
      </c>
      <c r="C12" s="20">
        <f>SUMIF(Tasks!$C$2:$C$68,$A12,Tasks!$H$2:$H$68)</f>
        <v>15.5</v>
      </c>
      <c r="D12" s="19">
        <f>COUNTIFS(Tasks!$C$2:$C$68,$A12,Tasks!$J$2:$J$68,"Done")</f>
        <v>0</v>
      </c>
      <c r="E12" s="19">
        <f>COUNTIFS(Tasks!$C$2:$C$68,$A12,Tasks!$J$2:$J$68,"In progress")</f>
        <v>0</v>
      </c>
      <c r="F12" s="19">
        <f>COUNTIFS(Tasks!$C$2:$C$68,$A12,Tasks!$J$2:$J$68,"Blocked")</f>
        <v>0</v>
      </c>
      <c r="G12" s="21">
        <f>IFERROR(SUMIF(Tasks!$C$2:$C$68,$A12,Tasks!$K$2:$K$68)/B12,0)</f>
        <v>0</v>
      </c>
    </row>
    <row r="13" spans="1:7" x14ac:dyDescent="0.3">
      <c r="A13" s="22" t="s">
        <v>216</v>
      </c>
      <c r="B13" s="23">
        <f>SUM(B6:B12)</f>
        <v>67</v>
      </c>
      <c r="C13" s="24">
        <f>SUM(C6:C12)</f>
        <v>76.75</v>
      </c>
      <c r="D13" s="23">
        <f>SUM(D6:D12)</f>
        <v>0</v>
      </c>
      <c r="E13" s="23">
        <f>SUM(E6:E12)</f>
        <v>0</v>
      </c>
      <c r="F13" s="23">
        <f>SUM(F6:F12)</f>
        <v>0</v>
      </c>
      <c r="G13" s="25">
        <f>IFERROR(SUM(Tasks!$K$2:$K$68)/B13,0)</f>
        <v>0</v>
      </c>
    </row>
    <row r="15" spans="1:7" ht="16.8" x14ac:dyDescent="0.3">
      <c r="A15" s="15" t="s">
        <v>217</v>
      </c>
    </row>
    <row r="16" spans="1:7" x14ac:dyDescent="0.3">
      <c r="A16" s="22" t="s">
        <v>218</v>
      </c>
      <c r="B16" s="20">
        <f>C13-C11-C12</f>
        <v>28.25</v>
      </c>
    </row>
    <row r="17" spans="1:5" x14ac:dyDescent="0.3">
      <c r="A17" s="22" t="s">
        <v>219</v>
      </c>
      <c r="B17" s="26">
        <v>30</v>
      </c>
    </row>
    <row r="18" spans="1:5" x14ac:dyDescent="0.3">
      <c r="A18" s="22" t="s">
        <v>220</v>
      </c>
      <c r="B18" s="24">
        <f>B17-B16</f>
        <v>1.75</v>
      </c>
    </row>
    <row r="19" spans="1:5" x14ac:dyDescent="0.3">
      <c r="A19" s="22" t="s">
        <v>221</v>
      </c>
      <c r="B19" s="24">
        <f>C11</f>
        <v>33</v>
      </c>
    </row>
    <row r="20" spans="1:5" x14ac:dyDescent="0.3">
      <c r="A20" s="22" t="s">
        <v>222</v>
      </c>
      <c r="B20" s="24">
        <f>C12</f>
        <v>15.5</v>
      </c>
    </row>
    <row r="22" spans="1:5" ht="16.8" x14ac:dyDescent="0.3">
      <c r="A22" s="15" t="s">
        <v>223</v>
      </c>
    </row>
    <row r="23" spans="1:5" x14ac:dyDescent="0.3">
      <c r="A23" s="17" t="s">
        <v>3</v>
      </c>
      <c r="B23" s="17" t="s">
        <v>212</v>
      </c>
      <c r="C23" s="17" t="s">
        <v>7</v>
      </c>
      <c r="D23" s="17" t="s">
        <v>213</v>
      </c>
      <c r="E23" s="17" t="s">
        <v>10</v>
      </c>
    </row>
    <row r="24" spans="1:5" x14ac:dyDescent="0.3">
      <c r="A24" s="18" t="s">
        <v>16</v>
      </c>
      <c r="B24" s="19">
        <f>COUNTIF(Tasks!$D$2:$D$68,$A24)</f>
        <v>30</v>
      </c>
      <c r="C24" s="20">
        <f>SUMIF(Tasks!$D$2:$D$68,$A24,Tasks!$H$2:$H$68)</f>
        <v>33.25</v>
      </c>
      <c r="D24" s="19">
        <f>COUNTIFS(Tasks!$D$2:$D$68,$A24,Tasks!$J$2:$J$68,"Done")</f>
        <v>0</v>
      </c>
      <c r="E24" s="21">
        <f>IFERROR(SUMIF(Tasks!$D$2:$D$68,$A24,Tasks!$K$2:$K$68)/B24,0)</f>
        <v>0</v>
      </c>
    </row>
    <row r="25" spans="1:5" x14ac:dyDescent="0.3">
      <c r="A25" s="18" t="s">
        <v>22</v>
      </c>
      <c r="B25" s="19">
        <f>COUNTIF(Tasks!$D$2:$D$68,$A25)</f>
        <v>21</v>
      </c>
      <c r="C25" s="20">
        <f>SUMIF(Tasks!$D$2:$D$68,$A25,Tasks!$H$2:$H$68)</f>
        <v>36.5</v>
      </c>
      <c r="D25" s="19">
        <f>COUNTIFS(Tasks!$D$2:$D$68,$A25,Tasks!$J$2:$J$68,"Done")</f>
        <v>0</v>
      </c>
      <c r="E25" s="21">
        <f>IFERROR(SUMIF(Tasks!$D$2:$D$68,$A25,Tasks!$K$2:$K$68)/B25,0)</f>
        <v>0</v>
      </c>
    </row>
    <row r="26" spans="1:5" x14ac:dyDescent="0.3">
      <c r="A26" s="18" t="s">
        <v>29</v>
      </c>
      <c r="B26" s="19">
        <f>COUNTIF(Tasks!$D$2:$D$68,$A26)</f>
        <v>13</v>
      </c>
      <c r="C26" s="20">
        <f>SUMIF(Tasks!$D$2:$D$68,$A26,Tasks!$H$2:$H$68)</f>
        <v>6</v>
      </c>
      <c r="D26" s="19">
        <f>COUNTIFS(Tasks!$D$2:$D$68,$A26,Tasks!$J$2:$J$68,"Done")</f>
        <v>0</v>
      </c>
      <c r="E26" s="21">
        <f>IFERROR(SUMIF(Tasks!$D$2:$D$68,$A26,Tasks!$K$2:$K$68)/B26,0)</f>
        <v>0</v>
      </c>
    </row>
    <row r="27" spans="1:5" x14ac:dyDescent="0.3">
      <c r="A27" s="18" t="s">
        <v>183</v>
      </c>
      <c r="B27" s="19">
        <f>COUNTIF(Tasks!$D$2:$D$68,$A27)</f>
        <v>3</v>
      </c>
      <c r="C27" s="20">
        <f>SUMIF(Tasks!$D$2:$D$68,$A27,Tasks!$H$2:$H$68)</f>
        <v>1</v>
      </c>
      <c r="D27" s="19">
        <f>COUNTIFS(Tasks!$D$2:$D$68,$A27,Tasks!$J$2:$J$68,"Done")</f>
        <v>0</v>
      </c>
      <c r="E27" s="21">
        <f>IFERROR(SUMIF(Tasks!$D$2:$D$68,$A27,Tasks!$K$2:$K$68)/B27,0)</f>
        <v>0</v>
      </c>
    </row>
    <row r="29" spans="1:5" ht="16.8" x14ac:dyDescent="0.3">
      <c r="A29" s="15" t="s">
        <v>224</v>
      </c>
    </row>
    <row r="30" spans="1:5" x14ac:dyDescent="0.3">
      <c r="A30" s="18" t="s">
        <v>225</v>
      </c>
      <c r="B30" s="20">
        <f>SUM(Tasks!$H$2:$H$68)</f>
        <v>76.75</v>
      </c>
    </row>
    <row r="31" spans="1:5" x14ac:dyDescent="0.3">
      <c r="A31" s="18" t="s">
        <v>226</v>
      </c>
      <c r="B31" s="20">
        <f>SUM(Tasks!$L$2:$L$68)</f>
        <v>0</v>
      </c>
    </row>
    <row r="32" spans="1:5" x14ac:dyDescent="0.3">
      <c r="A32" s="18" t="s">
        <v>227</v>
      </c>
      <c r="B32" s="20">
        <f>B31-B30</f>
        <v>-76.75</v>
      </c>
    </row>
    <row r="34" spans="1:1" ht="16.8" x14ac:dyDescent="0.3">
      <c r="A34" s="15" t="s">
        <v>228</v>
      </c>
    </row>
    <row r="35" spans="1:1" x14ac:dyDescent="0.3">
      <c r="A35" s="16" t="s">
        <v>229</v>
      </c>
    </row>
    <row r="36" spans="1:1" x14ac:dyDescent="0.3">
      <c r="A36" s="16" t="s">
        <v>230</v>
      </c>
    </row>
    <row r="37" spans="1:1" x14ac:dyDescent="0.3">
      <c r="A37" s="16" t="s">
        <v>231</v>
      </c>
    </row>
    <row r="38" spans="1:1" x14ac:dyDescent="0.3">
      <c r="A38" s="16" t="s">
        <v>232</v>
      </c>
    </row>
    <row r="39" spans="1:1" x14ac:dyDescent="0.3">
      <c r="A39" s="16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 Sambhaji Savant</cp:lastModifiedBy>
  <dcterms:created xsi:type="dcterms:W3CDTF">2026-10-08T11:42:21Z</dcterms:created>
  <dcterms:modified xsi:type="dcterms:W3CDTF">2026-10-08T11:42:34Z</dcterms:modified>
</cp:coreProperties>
</file>